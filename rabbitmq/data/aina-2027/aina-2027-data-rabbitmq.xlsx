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0" yWindow="420" windowWidth="14980" windowHeight="6810" tabRatio="949" firstSheet="1" activeTab="1"/>
  </bookViews>
  <sheets>
    <sheet name="r-native-multi" sheetId="29" r:id="rId1"/>
    <sheet name="r-native-fixed" sheetId="31" r:id="rId2"/>
    <sheet name="r-pi-2" sheetId="19" r:id="rId3"/>
    <sheet name="r-pi-5" sheetId="17" r:id="rId4"/>
    <sheet name="r-pi-8" sheetId="10" r:id="rId5"/>
    <sheet name="r-pi-11" sheetId="16" r:id="rId6"/>
    <sheet name="r-pi-14" sheetId="20" r:id="rId7"/>
    <sheet name="r-pi-multi" sheetId="18" r:id="rId8"/>
    <sheet name="p-native-fixed" sheetId="32" r:id="rId9"/>
    <sheet name="p-native-multi" sheetId="30" r:id="rId10"/>
    <sheet name="p-pi-3" sheetId="21" r:id="rId11"/>
    <sheet name="p-pi-6" sheetId="24" r:id="rId12"/>
    <sheet name="p-pi-9" sheetId="25" r:id="rId13"/>
    <sheet name="p-pi-12" sheetId="26" r:id="rId14"/>
    <sheet name="p-pi-14" sheetId="27" r:id="rId15"/>
    <sheet name="p-pi-multi" sheetId="28" r:id="rId16"/>
    <sheet name="summary" sheetId="3" r:id="rId17"/>
  </sheets>
  <calcPr calcId="125725"/>
</workbook>
</file>

<file path=xl/calcChain.xml><?xml version="1.0" encoding="utf-8"?>
<calcChain xmlns="http://schemas.openxmlformats.org/spreadsheetml/2006/main">
  <c r="J3" i="31"/>
  <c r="I3"/>
  <c r="F5" i="3"/>
  <c r="H17"/>
  <c r="H18"/>
  <c r="I152" i="32"/>
  <c r="G152"/>
  <c r="F152"/>
  <c r="H152" s="1"/>
  <c r="E152"/>
  <c r="I151"/>
  <c r="G151"/>
  <c r="F151"/>
  <c r="H151" s="1"/>
  <c r="E151"/>
  <c r="I150"/>
  <c r="G150"/>
  <c r="F150"/>
  <c r="H150" s="1"/>
  <c r="E150"/>
  <c r="I149"/>
  <c r="G149"/>
  <c r="F149"/>
  <c r="H149" s="1"/>
  <c r="E149"/>
  <c r="I148"/>
  <c r="G148"/>
  <c r="F148"/>
  <c r="H148" s="1"/>
  <c r="E148"/>
  <c r="I147"/>
  <c r="G147"/>
  <c r="F147"/>
  <c r="H147" s="1"/>
  <c r="E147"/>
  <c r="I146"/>
  <c r="G146"/>
  <c r="F146"/>
  <c r="H146" s="1"/>
  <c r="E146"/>
  <c r="I145"/>
  <c r="G145"/>
  <c r="F145"/>
  <c r="H145" s="1"/>
  <c r="E145"/>
  <c r="I144"/>
  <c r="G144"/>
  <c r="F144"/>
  <c r="H144" s="1"/>
  <c r="E144"/>
  <c r="I143"/>
  <c r="G143"/>
  <c r="F143"/>
  <c r="H143" s="1"/>
  <c r="E143"/>
  <c r="I142"/>
  <c r="G142"/>
  <c r="F142"/>
  <c r="H142" s="1"/>
  <c r="E142"/>
  <c r="I141"/>
  <c r="G141"/>
  <c r="F141"/>
  <c r="H141" s="1"/>
  <c r="E141"/>
  <c r="I140"/>
  <c r="G140"/>
  <c r="F140"/>
  <c r="H140" s="1"/>
  <c r="E140"/>
  <c r="I139"/>
  <c r="G139"/>
  <c r="F139"/>
  <c r="H139" s="1"/>
  <c r="E139"/>
  <c r="I138"/>
  <c r="G138"/>
  <c r="F138"/>
  <c r="H138" s="1"/>
  <c r="E138"/>
  <c r="I137"/>
  <c r="G137"/>
  <c r="F137"/>
  <c r="H137" s="1"/>
  <c r="E137"/>
  <c r="I136"/>
  <c r="G136"/>
  <c r="F136"/>
  <c r="H136" s="1"/>
  <c r="E136"/>
  <c r="I135"/>
  <c r="G135"/>
  <c r="F135"/>
  <c r="H135" s="1"/>
  <c r="E135"/>
  <c r="I134"/>
  <c r="G134"/>
  <c r="F134"/>
  <c r="H134" s="1"/>
  <c r="E134"/>
  <c r="I133"/>
  <c r="G133"/>
  <c r="F133"/>
  <c r="H133" s="1"/>
  <c r="E133"/>
  <c r="I132"/>
  <c r="G132"/>
  <c r="F132"/>
  <c r="H132" s="1"/>
  <c r="E132"/>
  <c r="I131"/>
  <c r="G131"/>
  <c r="F131"/>
  <c r="H131" s="1"/>
  <c r="E131"/>
  <c r="I130"/>
  <c r="G130"/>
  <c r="F130"/>
  <c r="H130" s="1"/>
  <c r="E130"/>
  <c r="I129"/>
  <c r="G129"/>
  <c r="F129"/>
  <c r="H129" s="1"/>
  <c r="E129"/>
  <c r="I128"/>
  <c r="G128"/>
  <c r="F128"/>
  <c r="H128" s="1"/>
  <c r="E128"/>
  <c r="I127"/>
  <c r="G127"/>
  <c r="F127"/>
  <c r="H127" s="1"/>
  <c r="E127"/>
  <c r="I126"/>
  <c r="G126"/>
  <c r="F126"/>
  <c r="H126" s="1"/>
  <c r="E126"/>
  <c r="I125"/>
  <c r="H125"/>
  <c r="G125"/>
  <c r="F125"/>
  <c r="E125"/>
  <c r="I124"/>
  <c r="G124"/>
  <c r="F124"/>
  <c r="H124" s="1"/>
  <c r="E124"/>
  <c r="I123"/>
  <c r="G123"/>
  <c r="F123"/>
  <c r="H123" s="1"/>
  <c r="E123"/>
  <c r="I122"/>
  <c r="G122"/>
  <c r="F122"/>
  <c r="H122" s="1"/>
  <c r="E122"/>
  <c r="I121"/>
  <c r="G121"/>
  <c r="F121"/>
  <c r="H121" s="1"/>
  <c r="E121"/>
  <c r="I120"/>
  <c r="G120"/>
  <c r="F120"/>
  <c r="H120" s="1"/>
  <c r="E120"/>
  <c r="I119"/>
  <c r="G119"/>
  <c r="F119"/>
  <c r="H119" s="1"/>
  <c r="E119"/>
  <c r="I118"/>
  <c r="G118"/>
  <c r="F118"/>
  <c r="H118" s="1"/>
  <c r="E118"/>
  <c r="I117"/>
  <c r="G117"/>
  <c r="F117"/>
  <c r="H117" s="1"/>
  <c r="E117"/>
  <c r="I116"/>
  <c r="G116"/>
  <c r="F116"/>
  <c r="H116" s="1"/>
  <c r="E116"/>
  <c r="I115"/>
  <c r="G115"/>
  <c r="F115"/>
  <c r="H115" s="1"/>
  <c r="E115"/>
  <c r="I114"/>
  <c r="G114"/>
  <c r="F114"/>
  <c r="H114" s="1"/>
  <c r="E114"/>
  <c r="I113"/>
  <c r="G113"/>
  <c r="F113"/>
  <c r="H113" s="1"/>
  <c r="E113"/>
  <c r="I112"/>
  <c r="G112"/>
  <c r="F112"/>
  <c r="H112" s="1"/>
  <c r="E112"/>
  <c r="I111"/>
  <c r="G111"/>
  <c r="F111"/>
  <c r="H111" s="1"/>
  <c r="E111"/>
  <c r="I110"/>
  <c r="G110"/>
  <c r="F110"/>
  <c r="H110" s="1"/>
  <c r="E110"/>
  <c r="I109"/>
  <c r="G109"/>
  <c r="F109"/>
  <c r="H109" s="1"/>
  <c r="E109"/>
  <c r="I108"/>
  <c r="G108"/>
  <c r="F108"/>
  <c r="H108" s="1"/>
  <c r="E108"/>
  <c r="I107"/>
  <c r="H107"/>
  <c r="G107"/>
  <c r="F107"/>
  <c r="E107"/>
  <c r="I106"/>
  <c r="G106"/>
  <c r="F106"/>
  <c r="H106" s="1"/>
  <c r="E106"/>
  <c r="I105"/>
  <c r="G105"/>
  <c r="F105"/>
  <c r="H105" s="1"/>
  <c r="E105"/>
  <c r="I104"/>
  <c r="G104"/>
  <c r="F104"/>
  <c r="H104" s="1"/>
  <c r="E104"/>
  <c r="I103"/>
  <c r="G103"/>
  <c r="F103"/>
  <c r="H103" s="1"/>
  <c r="E103"/>
  <c r="I102"/>
  <c r="G102"/>
  <c r="F102"/>
  <c r="H102" s="1"/>
  <c r="E102"/>
  <c r="I101"/>
  <c r="G101"/>
  <c r="F101"/>
  <c r="H101" s="1"/>
  <c r="E101"/>
  <c r="I100"/>
  <c r="G100"/>
  <c r="F100"/>
  <c r="H100" s="1"/>
  <c r="E100"/>
  <c r="I99"/>
  <c r="G99"/>
  <c r="F99"/>
  <c r="H99" s="1"/>
  <c r="E99"/>
  <c r="I98"/>
  <c r="G98"/>
  <c r="F98"/>
  <c r="H98" s="1"/>
  <c r="E98"/>
  <c r="I97"/>
  <c r="G97"/>
  <c r="F97"/>
  <c r="H97" s="1"/>
  <c r="E97"/>
  <c r="I96"/>
  <c r="G96"/>
  <c r="F96"/>
  <c r="H96" s="1"/>
  <c r="E96"/>
  <c r="I95"/>
  <c r="G95"/>
  <c r="F95"/>
  <c r="H95" s="1"/>
  <c r="E95"/>
  <c r="I94"/>
  <c r="G94"/>
  <c r="F94"/>
  <c r="H94" s="1"/>
  <c r="E94"/>
  <c r="I93"/>
  <c r="G93"/>
  <c r="F93"/>
  <c r="H93" s="1"/>
  <c r="E93"/>
  <c r="I92"/>
  <c r="G92"/>
  <c r="F92"/>
  <c r="H92" s="1"/>
  <c r="E92"/>
  <c r="I91"/>
  <c r="G91"/>
  <c r="F91"/>
  <c r="H91" s="1"/>
  <c r="E91"/>
  <c r="I90"/>
  <c r="G90"/>
  <c r="F90"/>
  <c r="H90" s="1"/>
  <c r="E90"/>
  <c r="I89"/>
  <c r="G89"/>
  <c r="F89"/>
  <c r="H89" s="1"/>
  <c r="E89"/>
  <c r="I88"/>
  <c r="G88"/>
  <c r="F88"/>
  <c r="H88" s="1"/>
  <c r="E88"/>
  <c r="I87"/>
  <c r="G87"/>
  <c r="F87"/>
  <c r="H87" s="1"/>
  <c r="E87"/>
  <c r="I86"/>
  <c r="G86"/>
  <c r="F86"/>
  <c r="H86" s="1"/>
  <c r="E86"/>
  <c r="I85"/>
  <c r="G85"/>
  <c r="F85"/>
  <c r="H85" s="1"/>
  <c r="E85"/>
  <c r="I84"/>
  <c r="G84"/>
  <c r="F84"/>
  <c r="H84" s="1"/>
  <c r="E84"/>
  <c r="I83"/>
  <c r="G83"/>
  <c r="F83"/>
  <c r="H83" s="1"/>
  <c r="E83"/>
  <c r="I82"/>
  <c r="G82"/>
  <c r="F82"/>
  <c r="H82" s="1"/>
  <c r="E82"/>
  <c r="I81"/>
  <c r="G81"/>
  <c r="F81"/>
  <c r="H81" s="1"/>
  <c r="E81"/>
  <c r="I80"/>
  <c r="G80"/>
  <c r="F80"/>
  <c r="H80" s="1"/>
  <c r="E80"/>
  <c r="I79"/>
  <c r="G79"/>
  <c r="F79"/>
  <c r="H79" s="1"/>
  <c r="E79"/>
  <c r="I78"/>
  <c r="G78"/>
  <c r="F78"/>
  <c r="H78" s="1"/>
  <c r="E78"/>
  <c r="I77"/>
  <c r="G77"/>
  <c r="F77"/>
  <c r="H77" s="1"/>
  <c r="E77"/>
  <c r="I76"/>
  <c r="G76"/>
  <c r="F76"/>
  <c r="H76" s="1"/>
  <c r="E76"/>
  <c r="I75"/>
  <c r="G75"/>
  <c r="F75"/>
  <c r="H75" s="1"/>
  <c r="E75"/>
  <c r="I74"/>
  <c r="G74"/>
  <c r="F74"/>
  <c r="H74" s="1"/>
  <c r="E74"/>
  <c r="I73"/>
  <c r="G73"/>
  <c r="F73"/>
  <c r="H73" s="1"/>
  <c r="E73"/>
  <c r="I72"/>
  <c r="G72"/>
  <c r="F72"/>
  <c r="H72" s="1"/>
  <c r="E72"/>
  <c r="I71"/>
  <c r="H71"/>
  <c r="G71"/>
  <c r="F71"/>
  <c r="E71"/>
  <c r="I70"/>
  <c r="G70"/>
  <c r="F70"/>
  <c r="H70" s="1"/>
  <c r="E70"/>
  <c r="I69"/>
  <c r="G69"/>
  <c r="F69"/>
  <c r="H69" s="1"/>
  <c r="E69"/>
  <c r="I68"/>
  <c r="G68"/>
  <c r="F68"/>
  <c r="H68" s="1"/>
  <c r="E68"/>
  <c r="I67"/>
  <c r="G67"/>
  <c r="F67"/>
  <c r="H67" s="1"/>
  <c r="E67"/>
  <c r="I66"/>
  <c r="G66"/>
  <c r="F66"/>
  <c r="H66" s="1"/>
  <c r="E66"/>
  <c r="I65"/>
  <c r="G65"/>
  <c r="F65"/>
  <c r="H65" s="1"/>
  <c r="E65"/>
  <c r="I64"/>
  <c r="G64"/>
  <c r="F64"/>
  <c r="H64" s="1"/>
  <c r="E64"/>
  <c r="I63"/>
  <c r="G63"/>
  <c r="F63"/>
  <c r="H63" s="1"/>
  <c r="E63"/>
  <c r="I62"/>
  <c r="G62"/>
  <c r="F62"/>
  <c r="H62" s="1"/>
  <c r="E62"/>
  <c r="I61"/>
  <c r="G61"/>
  <c r="F61"/>
  <c r="H61" s="1"/>
  <c r="E61"/>
  <c r="I60"/>
  <c r="G60"/>
  <c r="F60"/>
  <c r="H60" s="1"/>
  <c r="E60"/>
  <c r="I59"/>
  <c r="G59"/>
  <c r="F59"/>
  <c r="H59" s="1"/>
  <c r="E59"/>
  <c r="I58"/>
  <c r="G58"/>
  <c r="F58"/>
  <c r="H58" s="1"/>
  <c r="E58"/>
  <c r="I57"/>
  <c r="G57"/>
  <c r="F57"/>
  <c r="H57" s="1"/>
  <c r="E57"/>
  <c r="I56"/>
  <c r="G56"/>
  <c r="F56"/>
  <c r="H56" s="1"/>
  <c r="E56"/>
  <c r="I55"/>
  <c r="G55"/>
  <c r="F55"/>
  <c r="H55" s="1"/>
  <c r="E55"/>
  <c r="I54"/>
  <c r="G54"/>
  <c r="F54"/>
  <c r="H54" s="1"/>
  <c r="E54"/>
  <c r="I53"/>
  <c r="G53"/>
  <c r="F53"/>
  <c r="H53" s="1"/>
  <c r="E53"/>
  <c r="I52"/>
  <c r="G52"/>
  <c r="F52"/>
  <c r="H52" s="1"/>
  <c r="E52"/>
  <c r="I51"/>
  <c r="G51"/>
  <c r="F51"/>
  <c r="H51" s="1"/>
  <c r="E51"/>
  <c r="I50"/>
  <c r="G50"/>
  <c r="F50"/>
  <c r="H50" s="1"/>
  <c r="E50"/>
  <c r="I49"/>
  <c r="G49"/>
  <c r="F49"/>
  <c r="H49" s="1"/>
  <c r="E49"/>
  <c r="I48"/>
  <c r="G48"/>
  <c r="F48"/>
  <c r="H48" s="1"/>
  <c r="E48"/>
  <c r="I47"/>
  <c r="G47"/>
  <c r="F47"/>
  <c r="H47" s="1"/>
  <c r="E47"/>
  <c r="I46"/>
  <c r="G46"/>
  <c r="F46"/>
  <c r="H46" s="1"/>
  <c r="E46"/>
  <c r="I45"/>
  <c r="G45"/>
  <c r="F45"/>
  <c r="H45" s="1"/>
  <c r="E45"/>
  <c r="I44"/>
  <c r="G44"/>
  <c r="F44"/>
  <c r="H44" s="1"/>
  <c r="E44"/>
  <c r="I43"/>
  <c r="G43"/>
  <c r="F43"/>
  <c r="H43" s="1"/>
  <c r="E43"/>
  <c r="I42"/>
  <c r="G42"/>
  <c r="F42"/>
  <c r="H42" s="1"/>
  <c r="E42"/>
  <c r="I41"/>
  <c r="G41"/>
  <c r="F41"/>
  <c r="H41" s="1"/>
  <c r="E41"/>
  <c r="I40"/>
  <c r="G40"/>
  <c r="F40"/>
  <c r="H40" s="1"/>
  <c r="E40"/>
  <c r="I39"/>
  <c r="G39"/>
  <c r="F39"/>
  <c r="H39" s="1"/>
  <c r="E39"/>
  <c r="I38"/>
  <c r="G38"/>
  <c r="F38"/>
  <c r="H38" s="1"/>
  <c r="E38"/>
  <c r="I37"/>
  <c r="G37"/>
  <c r="F37"/>
  <c r="H37" s="1"/>
  <c r="E37"/>
  <c r="I36"/>
  <c r="G36"/>
  <c r="F36"/>
  <c r="H36" s="1"/>
  <c r="E36"/>
  <c r="I35"/>
  <c r="G35"/>
  <c r="F35"/>
  <c r="H35" s="1"/>
  <c r="E35"/>
  <c r="I34"/>
  <c r="G34"/>
  <c r="F34"/>
  <c r="H34" s="1"/>
  <c r="E34"/>
  <c r="I33"/>
  <c r="G33"/>
  <c r="F33"/>
  <c r="H33" s="1"/>
  <c r="E33"/>
  <c r="I32"/>
  <c r="G32"/>
  <c r="F32"/>
  <c r="H32" s="1"/>
  <c r="E32"/>
  <c r="I31"/>
  <c r="G31"/>
  <c r="F31"/>
  <c r="H31" s="1"/>
  <c r="E31"/>
  <c r="I30"/>
  <c r="G30"/>
  <c r="F30"/>
  <c r="H30" s="1"/>
  <c r="E30"/>
  <c r="I29"/>
  <c r="G29"/>
  <c r="F29"/>
  <c r="H29" s="1"/>
  <c r="E29"/>
  <c r="I28"/>
  <c r="G28"/>
  <c r="F28"/>
  <c r="H28" s="1"/>
  <c r="E28"/>
  <c r="I27"/>
  <c r="G27"/>
  <c r="F27"/>
  <c r="H27" s="1"/>
  <c r="E27"/>
  <c r="I26"/>
  <c r="G26"/>
  <c r="F26"/>
  <c r="H26" s="1"/>
  <c r="E26"/>
  <c r="I25"/>
  <c r="G25"/>
  <c r="F25"/>
  <c r="H25" s="1"/>
  <c r="E25"/>
  <c r="I24"/>
  <c r="G24"/>
  <c r="F24"/>
  <c r="H24" s="1"/>
  <c r="E24"/>
  <c r="I23"/>
  <c r="G23"/>
  <c r="F23"/>
  <c r="H23" s="1"/>
  <c r="E23"/>
  <c r="I22"/>
  <c r="G22"/>
  <c r="F22"/>
  <c r="H22" s="1"/>
  <c r="E22"/>
  <c r="I21"/>
  <c r="G21"/>
  <c r="F21"/>
  <c r="H21" s="1"/>
  <c r="E21"/>
  <c r="I20"/>
  <c r="G20"/>
  <c r="F20"/>
  <c r="H20" s="1"/>
  <c r="E20"/>
  <c r="I19"/>
  <c r="G19"/>
  <c r="F19"/>
  <c r="H19" s="1"/>
  <c r="E19"/>
  <c r="I18"/>
  <c r="G18"/>
  <c r="F18"/>
  <c r="H18" s="1"/>
  <c r="E18"/>
  <c r="I17"/>
  <c r="G17"/>
  <c r="F17"/>
  <c r="H17" s="1"/>
  <c r="E17"/>
  <c r="I16"/>
  <c r="G16"/>
  <c r="F16"/>
  <c r="H16" s="1"/>
  <c r="E16"/>
  <c r="I15"/>
  <c r="G15"/>
  <c r="F15"/>
  <c r="H15" s="1"/>
  <c r="E15"/>
  <c r="I14"/>
  <c r="G14"/>
  <c r="F14"/>
  <c r="H14" s="1"/>
  <c r="E14"/>
  <c r="I13"/>
  <c r="G13"/>
  <c r="F13"/>
  <c r="H13" s="1"/>
  <c r="E13"/>
  <c r="I12"/>
  <c r="G12"/>
  <c r="F12"/>
  <c r="H12" s="1"/>
  <c r="E12"/>
  <c r="I11"/>
  <c r="G11"/>
  <c r="F11"/>
  <c r="H11" s="1"/>
  <c r="E11"/>
  <c r="I10"/>
  <c r="G10"/>
  <c r="F10"/>
  <c r="H10" s="1"/>
  <c r="E10"/>
  <c r="I9"/>
  <c r="G9"/>
  <c r="F9"/>
  <c r="H9" s="1"/>
  <c r="E9"/>
  <c r="I8"/>
  <c r="G8"/>
  <c r="F8"/>
  <c r="H8" s="1"/>
  <c r="E8"/>
  <c r="I7"/>
  <c r="G7"/>
  <c r="F7"/>
  <c r="H7" s="1"/>
  <c r="E7"/>
  <c r="I6"/>
  <c r="G6"/>
  <c r="F6"/>
  <c r="H6" s="1"/>
  <c r="E6"/>
  <c r="I5"/>
  <c r="G5"/>
  <c r="F5"/>
  <c r="H5" s="1"/>
  <c r="E5"/>
  <c r="I4"/>
  <c r="G4"/>
  <c r="F4"/>
  <c r="H4" s="1"/>
  <c r="E4"/>
  <c r="I3"/>
  <c r="G3"/>
  <c r="F3"/>
  <c r="H3" s="1"/>
  <c r="E3"/>
  <c r="H152" i="31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0" i="3"/>
  <c r="E153" i="29"/>
  <c r="F153"/>
  <c r="H153" s="1"/>
  <c r="G153"/>
  <c r="I153"/>
  <c r="E154"/>
  <c r="F154"/>
  <c r="H154" s="1"/>
  <c r="G154"/>
  <c r="I154"/>
  <c r="E155"/>
  <c r="F155"/>
  <c r="H155" s="1"/>
  <c r="G155"/>
  <c r="I155"/>
  <c r="E156"/>
  <c r="F156"/>
  <c r="G156"/>
  <c r="H156"/>
  <c r="I156"/>
  <c r="E157"/>
  <c r="F157"/>
  <c r="H157" s="1"/>
  <c r="G157"/>
  <c r="I157"/>
  <c r="E158"/>
  <c r="F158"/>
  <c r="G158"/>
  <c r="H158"/>
  <c r="I158"/>
  <c r="E159"/>
  <c r="F159"/>
  <c r="G159"/>
  <c r="H159"/>
  <c r="I159"/>
  <c r="E160"/>
  <c r="F160"/>
  <c r="H160" s="1"/>
  <c r="G160"/>
  <c r="I160"/>
  <c r="E161"/>
  <c r="F161"/>
  <c r="H161" s="1"/>
  <c r="G161"/>
  <c r="I161"/>
  <c r="E162"/>
  <c r="F162"/>
  <c r="G162"/>
  <c r="H162"/>
  <c r="I162"/>
  <c r="E163"/>
  <c r="F163"/>
  <c r="H163" s="1"/>
  <c r="G163"/>
  <c r="I163"/>
  <c r="E164"/>
  <c r="F164"/>
  <c r="G164"/>
  <c r="H164"/>
  <c r="I164"/>
  <c r="E165"/>
  <c r="F165"/>
  <c r="G165"/>
  <c r="H165"/>
  <c r="I165"/>
  <c r="E166"/>
  <c r="F166"/>
  <c r="H166" s="1"/>
  <c r="G166"/>
  <c r="I166"/>
  <c r="E167"/>
  <c r="F167"/>
  <c r="H167" s="1"/>
  <c r="G167"/>
  <c r="I167"/>
  <c r="E168"/>
  <c r="F168"/>
  <c r="G168"/>
  <c r="H168"/>
  <c r="I168"/>
  <c r="E169"/>
  <c r="F169"/>
  <c r="G169"/>
  <c r="H169"/>
  <c r="I169"/>
  <c r="E170"/>
  <c r="F170"/>
  <c r="G170"/>
  <c r="H170"/>
  <c r="I170"/>
  <c r="E171"/>
  <c r="F171"/>
  <c r="G171"/>
  <c r="H171"/>
  <c r="I171"/>
  <c r="E172"/>
  <c r="F172"/>
  <c r="H172" s="1"/>
  <c r="G172"/>
  <c r="I172"/>
  <c r="E173"/>
  <c r="F173"/>
  <c r="H173" s="1"/>
  <c r="G173"/>
  <c r="I173"/>
  <c r="E174"/>
  <c r="F174"/>
  <c r="G174"/>
  <c r="H174"/>
  <c r="I174"/>
  <c r="E175"/>
  <c r="F175"/>
  <c r="G175"/>
  <c r="H175"/>
  <c r="I175"/>
  <c r="E176"/>
  <c r="F176"/>
  <c r="G176"/>
  <c r="H176"/>
  <c r="I176"/>
  <c r="E177"/>
  <c r="F177"/>
  <c r="G177"/>
  <c r="H177"/>
  <c r="I177"/>
  <c r="E178"/>
  <c r="F178"/>
  <c r="H178" s="1"/>
  <c r="G178"/>
  <c r="I178"/>
  <c r="E179"/>
  <c r="F179"/>
  <c r="H179" s="1"/>
  <c r="G179"/>
  <c r="I179"/>
  <c r="E180"/>
  <c r="F180"/>
  <c r="H180" s="1"/>
  <c r="G180"/>
  <c r="I180"/>
  <c r="E181"/>
  <c r="F181"/>
  <c r="G181"/>
  <c r="H181"/>
  <c r="I181"/>
  <c r="E182"/>
  <c r="F182"/>
  <c r="G182"/>
  <c r="H182"/>
  <c r="I182"/>
  <c r="E183"/>
  <c r="F183"/>
  <c r="G183"/>
  <c r="H183"/>
  <c r="I183"/>
  <c r="E184"/>
  <c r="F184"/>
  <c r="H184" s="1"/>
  <c r="G184"/>
  <c r="I184"/>
  <c r="E185"/>
  <c r="F185"/>
  <c r="H185" s="1"/>
  <c r="G185"/>
  <c r="I185"/>
  <c r="E186"/>
  <c r="F186"/>
  <c r="H186" s="1"/>
  <c r="G186"/>
  <c r="I186"/>
  <c r="E187"/>
  <c r="F187"/>
  <c r="G187"/>
  <c r="H187"/>
  <c r="I187"/>
  <c r="E188"/>
  <c r="F188"/>
  <c r="G188"/>
  <c r="H188"/>
  <c r="I188"/>
  <c r="E189"/>
  <c r="F189"/>
  <c r="G189"/>
  <c r="H189"/>
  <c r="I189"/>
  <c r="E190"/>
  <c r="F190"/>
  <c r="H190" s="1"/>
  <c r="G190"/>
  <c r="I190"/>
  <c r="E191"/>
  <c r="F191"/>
  <c r="H191" s="1"/>
  <c r="G191"/>
  <c r="I191"/>
  <c r="E192"/>
  <c r="F192"/>
  <c r="H192" s="1"/>
  <c r="G192"/>
  <c r="I192"/>
  <c r="E193"/>
  <c r="F193"/>
  <c r="G193"/>
  <c r="H193"/>
  <c r="I193"/>
  <c r="E194"/>
  <c r="F194"/>
  <c r="G194"/>
  <c r="H194"/>
  <c r="I194"/>
  <c r="E195"/>
  <c r="F195"/>
  <c r="G195"/>
  <c r="H195"/>
  <c r="I195"/>
  <c r="E196"/>
  <c r="F196"/>
  <c r="H196" s="1"/>
  <c r="G196"/>
  <c r="I196"/>
  <c r="E197"/>
  <c r="F197"/>
  <c r="H197" s="1"/>
  <c r="G197"/>
  <c r="I197"/>
  <c r="E198"/>
  <c r="F198"/>
  <c r="H198" s="1"/>
  <c r="G198"/>
  <c r="I198"/>
  <c r="E199"/>
  <c r="F199"/>
  <c r="G199"/>
  <c r="H199"/>
  <c r="I199"/>
  <c r="E200"/>
  <c r="F200"/>
  <c r="G200"/>
  <c r="H200"/>
  <c r="I200"/>
  <c r="E201"/>
  <c r="F201"/>
  <c r="G201"/>
  <c r="H201"/>
  <c r="I201"/>
  <c r="E202"/>
  <c r="F202"/>
  <c r="H202" s="1"/>
  <c r="G202"/>
  <c r="I202"/>
  <c r="E203"/>
  <c r="F203"/>
  <c r="H203" s="1"/>
  <c r="G203"/>
  <c r="I203"/>
  <c r="E204"/>
  <c r="F204"/>
  <c r="H204" s="1"/>
  <c r="G204"/>
  <c r="I204"/>
  <c r="E205"/>
  <c r="F205"/>
  <c r="G205"/>
  <c r="H205"/>
  <c r="I205"/>
  <c r="E206"/>
  <c r="F206"/>
  <c r="G206"/>
  <c r="H206"/>
  <c r="I206"/>
  <c r="E207"/>
  <c r="F207"/>
  <c r="G207"/>
  <c r="H207"/>
  <c r="I207"/>
  <c r="E208"/>
  <c r="F208"/>
  <c r="H208" s="1"/>
  <c r="G208"/>
  <c r="I208"/>
  <c r="E209"/>
  <c r="F209"/>
  <c r="H209" s="1"/>
  <c r="G209"/>
  <c r="I209"/>
  <c r="E210"/>
  <c r="F210"/>
  <c r="H210" s="1"/>
  <c r="G210"/>
  <c r="I210"/>
  <c r="E211"/>
  <c r="F211"/>
  <c r="G211"/>
  <c r="H211"/>
  <c r="I211"/>
  <c r="E212"/>
  <c r="F212"/>
  <c r="G212"/>
  <c r="H212"/>
  <c r="I212"/>
  <c r="E213"/>
  <c r="F213"/>
  <c r="G213"/>
  <c r="H213"/>
  <c r="I213"/>
  <c r="E214"/>
  <c r="F214"/>
  <c r="H214" s="1"/>
  <c r="G214"/>
  <c r="I214"/>
  <c r="E215"/>
  <c r="F215"/>
  <c r="H215" s="1"/>
  <c r="G215"/>
  <c r="I215"/>
  <c r="E216"/>
  <c r="F216"/>
  <c r="H216" s="1"/>
  <c r="G216"/>
  <c r="I216"/>
  <c r="E217"/>
  <c r="F217"/>
  <c r="G217"/>
  <c r="H217"/>
  <c r="I217"/>
  <c r="E218"/>
  <c r="F218"/>
  <c r="G218"/>
  <c r="H218"/>
  <c r="I218"/>
  <c r="E219"/>
  <c r="F219"/>
  <c r="G219"/>
  <c r="H219"/>
  <c r="I219"/>
  <c r="E220"/>
  <c r="F220"/>
  <c r="H220" s="1"/>
  <c r="G220"/>
  <c r="I220"/>
  <c r="E221"/>
  <c r="F221"/>
  <c r="H221" s="1"/>
  <c r="G221"/>
  <c r="I221"/>
  <c r="E222"/>
  <c r="F222"/>
  <c r="H222" s="1"/>
  <c r="G222"/>
  <c r="I222"/>
  <c r="E223"/>
  <c r="F223"/>
  <c r="G223"/>
  <c r="H223"/>
  <c r="I223"/>
  <c r="E224"/>
  <c r="F224"/>
  <c r="G224"/>
  <c r="H224"/>
  <c r="I224"/>
  <c r="E225"/>
  <c r="F225"/>
  <c r="G225"/>
  <c r="H225"/>
  <c r="I225"/>
  <c r="E226"/>
  <c r="F226"/>
  <c r="H226" s="1"/>
  <c r="G226"/>
  <c r="I226"/>
  <c r="E227"/>
  <c r="F227"/>
  <c r="H227" s="1"/>
  <c r="G227"/>
  <c r="I227"/>
  <c r="E228"/>
  <c r="F228"/>
  <c r="H228" s="1"/>
  <c r="G228"/>
  <c r="I228"/>
  <c r="E229"/>
  <c r="F229"/>
  <c r="G229"/>
  <c r="H229"/>
  <c r="I229"/>
  <c r="E230"/>
  <c r="F230"/>
  <c r="G230"/>
  <c r="H230"/>
  <c r="I230"/>
  <c r="E231"/>
  <c r="F231"/>
  <c r="G231"/>
  <c r="H231"/>
  <c r="I231"/>
  <c r="E232"/>
  <c r="F232"/>
  <c r="H232" s="1"/>
  <c r="G232"/>
  <c r="I232"/>
  <c r="E233"/>
  <c r="F233"/>
  <c r="H233" s="1"/>
  <c r="G233"/>
  <c r="I233"/>
  <c r="E234"/>
  <c r="F234"/>
  <c r="H234" s="1"/>
  <c r="G234"/>
  <c r="I234"/>
  <c r="E235"/>
  <c r="F235"/>
  <c r="G235"/>
  <c r="H235"/>
  <c r="I235"/>
  <c r="E236"/>
  <c r="F236"/>
  <c r="G236"/>
  <c r="H236"/>
  <c r="I236"/>
  <c r="E237"/>
  <c r="F237"/>
  <c r="G237"/>
  <c r="H237"/>
  <c r="I237"/>
  <c r="E238"/>
  <c r="F238"/>
  <c r="H238" s="1"/>
  <c r="G238"/>
  <c r="I238"/>
  <c r="E239"/>
  <c r="F239"/>
  <c r="H239" s="1"/>
  <c r="G239"/>
  <c r="I239"/>
  <c r="E240"/>
  <c r="F240"/>
  <c r="H240" s="1"/>
  <c r="G240"/>
  <c r="I240"/>
  <c r="E241"/>
  <c r="F241"/>
  <c r="G241"/>
  <c r="H241"/>
  <c r="I241"/>
  <c r="E242"/>
  <c r="F242"/>
  <c r="G242"/>
  <c r="H242"/>
  <c r="I242"/>
  <c r="E243"/>
  <c r="F243"/>
  <c r="G243"/>
  <c r="H243"/>
  <c r="I243"/>
  <c r="E244"/>
  <c r="F244"/>
  <c r="H244" s="1"/>
  <c r="G244"/>
  <c r="I244"/>
  <c r="E245"/>
  <c r="F245"/>
  <c r="H245" s="1"/>
  <c r="G245"/>
  <c r="I245"/>
  <c r="E246"/>
  <c r="F246"/>
  <c r="H246" s="1"/>
  <c r="G246"/>
  <c r="I246"/>
  <c r="E247"/>
  <c r="F247"/>
  <c r="G247"/>
  <c r="H247"/>
  <c r="I247"/>
  <c r="E248"/>
  <c r="F248"/>
  <c r="G248"/>
  <c r="H248"/>
  <c r="I248"/>
  <c r="E249"/>
  <c r="F249"/>
  <c r="G249"/>
  <c r="H249"/>
  <c r="I249"/>
  <c r="E250"/>
  <c r="F250"/>
  <c r="G250"/>
  <c r="H250"/>
  <c r="I250"/>
  <c r="E251"/>
  <c r="F251"/>
  <c r="H251" s="1"/>
  <c r="G251"/>
  <c r="I251"/>
  <c r="E252"/>
  <c r="F252"/>
  <c r="H252" s="1"/>
  <c r="G252"/>
  <c r="I252"/>
  <c r="E253"/>
  <c r="F253"/>
  <c r="G253"/>
  <c r="H253"/>
  <c r="I253"/>
  <c r="E254"/>
  <c r="F254"/>
  <c r="G254"/>
  <c r="H254"/>
  <c r="I254"/>
  <c r="E255"/>
  <c r="F255"/>
  <c r="G255"/>
  <c r="H255"/>
  <c r="I255"/>
  <c r="E256"/>
  <c r="F256"/>
  <c r="G256"/>
  <c r="H256"/>
  <c r="I256"/>
  <c r="E257"/>
  <c r="F257"/>
  <c r="H257" s="1"/>
  <c r="G257"/>
  <c r="I257"/>
  <c r="E258"/>
  <c r="F258"/>
  <c r="H258" s="1"/>
  <c r="G258"/>
  <c r="I258"/>
  <c r="E259"/>
  <c r="F259"/>
  <c r="G259"/>
  <c r="H259"/>
  <c r="I259"/>
  <c r="E260"/>
  <c r="F260"/>
  <c r="G260"/>
  <c r="H260"/>
  <c r="I260"/>
  <c r="E261"/>
  <c r="F261"/>
  <c r="G261"/>
  <c r="H261"/>
  <c r="I261"/>
  <c r="E262"/>
  <c r="F262"/>
  <c r="G262"/>
  <c r="H262"/>
  <c r="I262"/>
  <c r="E263"/>
  <c r="F263"/>
  <c r="H263" s="1"/>
  <c r="G263"/>
  <c r="I263"/>
  <c r="E264"/>
  <c r="F264"/>
  <c r="H264" s="1"/>
  <c r="G264"/>
  <c r="I264"/>
  <c r="E265"/>
  <c r="F265"/>
  <c r="G265"/>
  <c r="H265"/>
  <c r="I265"/>
  <c r="E266"/>
  <c r="F266"/>
  <c r="G266"/>
  <c r="H266"/>
  <c r="I266"/>
  <c r="E267"/>
  <c r="F267"/>
  <c r="G267"/>
  <c r="H267"/>
  <c r="I267"/>
  <c r="E268"/>
  <c r="F268"/>
  <c r="G268"/>
  <c r="H268"/>
  <c r="I268"/>
  <c r="E269"/>
  <c r="F269"/>
  <c r="H269" s="1"/>
  <c r="G269"/>
  <c r="I269"/>
  <c r="E270"/>
  <c r="F270"/>
  <c r="H270" s="1"/>
  <c r="G270"/>
  <c r="I270"/>
  <c r="E271"/>
  <c r="F271"/>
  <c r="G271"/>
  <c r="H271"/>
  <c r="I271"/>
  <c r="E272"/>
  <c r="F272"/>
  <c r="G272"/>
  <c r="H272"/>
  <c r="I272"/>
  <c r="E273"/>
  <c r="F273"/>
  <c r="G273"/>
  <c r="H273"/>
  <c r="I273"/>
  <c r="E274"/>
  <c r="F274"/>
  <c r="G274"/>
  <c r="H274"/>
  <c r="I274"/>
  <c r="E275"/>
  <c r="F275"/>
  <c r="H275" s="1"/>
  <c r="G275"/>
  <c r="I275"/>
  <c r="E276"/>
  <c r="F276"/>
  <c r="H276" s="1"/>
  <c r="G276"/>
  <c r="I276"/>
  <c r="E277"/>
  <c r="F277"/>
  <c r="G277"/>
  <c r="H277"/>
  <c r="I277"/>
  <c r="E278"/>
  <c r="F278"/>
  <c r="G278"/>
  <c r="H278"/>
  <c r="I278"/>
  <c r="E279"/>
  <c r="F279"/>
  <c r="G279"/>
  <c r="H279"/>
  <c r="I279"/>
  <c r="E280"/>
  <c r="F280"/>
  <c r="H280" s="1"/>
  <c r="G280"/>
  <c r="I280"/>
  <c r="E281"/>
  <c r="F281"/>
  <c r="H281" s="1"/>
  <c r="G281"/>
  <c r="I281"/>
  <c r="E282"/>
  <c r="F282"/>
  <c r="H282" s="1"/>
  <c r="G282"/>
  <c r="I282"/>
  <c r="E283"/>
  <c r="F283"/>
  <c r="G283"/>
  <c r="H283"/>
  <c r="I283"/>
  <c r="E284"/>
  <c r="F284"/>
  <c r="G284"/>
  <c r="H284"/>
  <c r="I284"/>
  <c r="E285"/>
  <c r="F285"/>
  <c r="G285"/>
  <c r="H285"/>
  <c r="I285"/>
  <c r="E286"/>
  <c r="F286"/>
  <c r="H286" s="1"/>
  <c r="G286"/>
  <c r="I286"/>
  <c r="E287"/>
  <c r="F287"/>
  <c r="H287" s="1"/>
  <c r="G287"/>
  <c r="I287"/>
  <c r="E288"/>
  <c r="F288"/>
  <c r="H288" s="1"/>
  <c r="G288"/>
  <c r="I288"/>
  <c r="E289"/>
  <c r="F289"/>
  <c r="G289"/>
  <c r="H289"/>
  <c r="I289"/>
  <c r="E290"/>
  <c r="F290"/>
  <c r="G290"/>
  <c r="H290"/>
  <c r="I290"/>
  <c r="E291"/>
  <c r="F291"/>
  <c r="G291"/>
  <c r="H291"/>
  <c r="I291"/>
  <c r="E292"/>
  <c r="F292"/>
  <c r="G292"/>
  <c r="H292"/>
  <c r="I292"/>
  <c r="E293"/>
  <c r="F293"/>
  <c r="H293" s="1"/>
  <c r="G293"/>
  <c r="I293"/>
  <c r="E294"/>
  <c r="F294"/>
  <c r="H294" s="1"/>
  <c r="G294"/>
  <c r="I294"/>
  <c r="E295"/>
  <c r="F295"/>
  <c r="G295"/>
  <c r="H295"/>
  <c r="I295"/>
  <c r="E296"/>
  <c r="F296"/>
  <c r="G296"/>
  <c r="H296"/>
  <c r="I296"/>
  <c r="E297"/>
  <c r="F297"/>
  <c r="G297"/>
  <c r="H297"/>
  <c r="I297"/>
  <c r="E298"/>
  <c r="F298"/>
  <c r="G298"/>
  <c r="H298"/>
  <c r="I298"/>
  <c r="E299"/>
  <c r="F299"/>
  <c r="H299" s="1"/>
  <c r="G299"/>
  <c r="I299"/>
  <c r="E300"/>
  <c r="F300"/>
  <c r="H300" s="1"/>
  <c r="G300"/>
  <c r="I300"/>
  <c r="E301"/>
  <c r="F301"/>
  <c r="G301"/>
  <c r="H301"/>
  <c r="I301"/>
  <c r="E302"/>
  <c r="F302"/>
  <c r="G302"/>
  <c r="H302"/>
  <c r="I302"/>
  <c r="E303"/>
  <c r="F303"/>
  <c r="G303"/>
  <c r="H303"/>
  <c r="I303"/>
  <c r="E304"/>
  <c r="F304"/>
  <c r="G304"/>
  <c r="H304"/>
  <c r="I304"/>
  <c r="E305"/>
  <c r="F305"/>
  <c r="H305" s="1"/>
  <c r="G305"/>
  <c r="I305"/>
  <c r="E306"/>
  <c r="F306"/>
  <c r="H306" s="1"/>
  <c r="G306"/>
  <c r="I306"/>
  <c r="E307"/>
  <c r="F307"/>
  <c r="G307"/>
  <c r="H307"/>
  <c r="I307"/>
  <c r="E308"/>
  <c r="F308"/>
  <c r="G308"/>
  <c r="H308"/>
  <c r="I308"/>
  <c r="E309"/>
  <c r="F309"/>
  <c r="G309"/>
  <c r="H309"/>
  <c r="I309"/>
  <c r="E310"/>
  <c r="F310"/>
  <c r="G310"/>
  <c r="H310"/>
  <c r="I310"/>
  <c r="E311"/>
  <c r="F311"/>
  <c r="H311" s="1"/>
  <c r="G311"/>
  <c r="I311"/>
  <c r="E312"/>
  <c r="F312"/>
  <c r="H312" s="1"/>
  <c r="G312"/>
  <c r="I312"/>
  <c r="E313"/>
  <c r="F313"/>
  <c r="G313"/>
  <c r="H313"/>
  <c r="I313"/>
  <c r="E314"/>
  <c r="F314"/>
  <c r="G314"/>
  <c r="H314"/>
  <c r="I314"/>
  <c r="E315"/>
  <c r="F315"/>
  <c r="G315"/>
  <c r="H315"/>
  <c r="I315"/>
  <c r="E316"/>
  <c r="F316"/>
  <c r="G316"/>
  <c r="H316"/>
  <c r="I316"/>
  <c r="E317"/>
  <c r="F317"/>
  <c r="H317" s="1"/>
  <c r="G317"/>
  <c r="I317"/>
  <c r="E318"/>
  <c r="F318"/>
  <c r="H318" s="1"/>
  <c r="G318"/>
  <c r="I318"/>
  <c r="E319"/>
  <c r="F319"/>
  <c r="G319"/>
  <c r="H319"/>
  <c r="I319"/>
  <c r="E320"/>
  <c r="F320"/>
  <c r="G320"/>
  <c r="H320"/>
  <c r="I320"/>
  <c r="E321"/>
  <c r="F321"/>
  <c r="G321"/>
  <c r="H321"/>
  <c r="I321"/>
  <c r="E322"/>
  <c r="F322"/>
  <c r="G322"/>
  <c r="H322"/>
  <c r="I322"/>
  <c r="E323"/>
  <c r="F323"/>
  <c r="H323" s="1"/>
  <c r="G323"/>
  <c r="I323"/>
  <c r="E324"/>
  <c r="F324"/>
  <c r="H324" s="1"/>
  <c r="G324"/>
  <c r="I324"/>
  <c r="E325"/>
  <c r="F325"/>
  <c r="G325"/>
  <c r="H325"/>
  <c r="I325"/>
  <c r="E326"/>
  <c r="F326"/>
  <c r="G326"/>
  <c r="H326"/>
  <c r="I326"/>
  <c r="E327"/>
  <c r="F327"/>
  <c r="G327"/>
  <c r="H327"/>
  <c r="I327"/>
  <c r="E328"/>
  <c r="F328"/>
  <c r="G328"/>
  <c r="H328"/>
  <c r="I328"/>
  <c r="E329"/>
  <c r="F329"/>
  <c r="H329" s="1"/>
  <c r="G329"/>
  <c r="I329"/>
  <c r="E330"/>
  <c r="F330"/>
  <c r="H330" s="1"/>
  <c r="G330"/>
  <c r="I330"/>
  <c r="E331"/>
  <c r="F331"/>
  <c r="G331"/>
  <c r="H331"/>
  <c r="I331"/>
  <c r="E332"/>
  <c r="F332"/>
  <c r="G332"/>
  <c r="H332"/>
  <c r="I332"/>
  <c r="E333"/>
  <c r="F333"/>
  <c r="G333"/>
  <c r="H333"/>
  <c r="I333"/>
  <c r="E334"/>
  <c r="F334"/>
  <c r="G334"/>
  <c r="H334"/>
  <c r="I334"/>
  <c r="E335"/>
  <c r="F335"/>
  <c r="H335" s="1"/>
  <c r="G335"/>
  <c r="I335"/>
  <c r="E336"/>
  <c r="F336"/>
  <c r="H336" s="1"/>
  <c r="G336"/>
  <c r="I336"/>
  <c r="E337"/>
  <c r="F337"/>
  <c r="G337"/>
  <c r="H337"/>
  <c r="I337"/>
  <c r="E338"/>
  <c r="F338"/>
  <c r="G338"/>
  <c r="H338"/>
  <c r="I338"/>
  <c r="E339"/>
  <c r="F339"/>
  <c r="G339"/>
  <c r="H339"/>
  <c r="I339"/>
  <c r="E340"/>
  <c r="F340"/>
  <c r="G340"/>
  <c r="H340"/>
  <c r="I340"/>
  <c r="E341"/>
  <c r="F341"/>
  <c r="H341" s="1"/>
  <c r="G341"/>
  <c r="I341"/>
  <c r="E342"/>
  <c r="F342"/>
  <c r="H342" s="1"/>
  <c r="G342"/>
  <c r="I342"/>
  <c r="E343"/>
  <c r="F343"/>
  <c r="G343"/>
  <c r="H343"/>
  <c r="I343"/>
  <c r="E344"/>
  <c r="F344"/>
  <c r="G344"/>
  <c r="H344"/>
  <c r="I344"/>
  <c r="E345"/>
  <c r="F345"/>
  <c r="G345"/>
  <c r="H345"/>
  <c r="I345"/>
  <c r="E346"/>
  <c r="F346"/>
  <c r="G346"/>
  <c r="H346"/>
  <c r="I346"/>
  <c r="E347"/>
  <c r="F347"/>
  <c r="H347" s="1"/>
  <c r="G347"/>
  <c r="I347"/>
  <c r="E348"/>
  <c r="F348"/>
  <c r="H348" s="1"/>
  <c r="G348"/>
  <c r="I348"/>
  <c r="E349"/>
  <c r="F349"/>
  <c r="G349"/>
  <c r="H349"/>
  <c r="I349"/>
  <c r="E350"/>
  <c r="F350"/>
  <c r="G350"/>
  <c r="H350"/>
  <c r="I350"/>
  <c r="E351"/>
  <c r="F351"/>
  <c r="G351"/>
  <c r="H351"/>
  <c r="I351"/>
  <c r="E352"/>
  <c r="F352"/>
  <c r="G352"/>
  <c r="H352"/>
  <c r="I352"/>
  <c r="E353"/>
  <c r="F353"/>
  <c r="H353" s="1"/>
  <c r="G353"/>
  <c r="I353"/>
  <c r="E354"/>
  <c r="F354"/>
  <c r="H354" s="1"/>
  <c r="G354"/>
  <c r="I354"/>
  <c r="E355"/>
  <c r="F355"/>
  <c r="G355"/>
  <c r="H355"/>
  <c r="I355"/>
  <c r="E356"/>
  <c r="F356"/>
  <c r="G356"/>
  <c r="H356"/>
  <c r="I356"/>
  <c r="E357"/>
  <c r="F357"/>
  <c r="G357"/>
  <c r="H357"/>
  <c r="I357"/>
  <c r="E358"/>
  <c r="F358"/>
  <c r="G358"/>
  <c r="H358"/>
  <c r="I358"/>
  <c r="E359"/>
  <c r="F359"/>
  <c r="H359" s="1"/>
  <c r="G359"/>
  <c r="I359"/>
  <c r="E360"/>
  <c r="F360"/>
  <c r="H360" s="1"/>
  <c r="G360"/>
  <c r="I360"/>
  <c r="E361"/>
  <c r="F361"/>
  <c r="G361"/>
  <c r="H361"/>
  <c r="I361"/>
  <c r="E362"/>
  <c r="F362"/>
  <c r="G362"/>
  <c r="H362"/>
  <c r="I362"/>
  <c r="E363"/>
  <c r="F363"/>
  <c r="G363"/>
  <c r="H363"/>
  <c r="I363"/>
  <c r="E364"/>
  <c r="F364"/>
  <c r="G364"/>
  <c r="H364"/>
  <c r="I364"/>
  <c r="E365"/>
  <c r="F365"/>
  <c r="H365" s="1"/>
  <c r="G365"/>
  <c r="I365"/>
  <c r="E366"/>
  <c r="F366"/>
  <c r="H366" s="1"/>
  <c r="G366"/>
  <c r="I366"/>
  <c r="E367"/>
  <c r="F367"/>
  <c r="G367"/>
  <c r="H367"/>
  <c r="I367"/>
  <c r="E368"/>
  <c r="F368"/>
  <c r="G368"/>
  <c r="H368"/>
  <c r="I368"/>
  <c r="E369"/>
  <c r="F369"/>
  <c r="G369"/>
  <c r="H369"/>
  <c r="I369"/>
  <c r="E370"/>
  <c r="F370"/>
  <c r="G370"/>
  <c r="H370"/>
  <c r="I370"/>
  <c r="E371"/>
  <c r="F371"/>
  <c r="H371" s="1"/>
  <c r="G371"/>
  <c r="I371"/>
  <c r="E372"/>
  <c r="F372"/>
  <c r="H372" s="1"/>
  <c r="G372"/>
  <c r="I372"/>
  <c r="E373"/>
  <c r="F373"/>
  <c r="G373"/>
  <c r="H373"/>
  <c r="I373"/>
  <c r="E374"/>
  <c r="F374"/>
  <c r="G374"/>
  <c r="H374"/>
  <c r="I374"/>
  <c r="E375"/>
  <c r="F375"/>
  <c r="G375"/>
  <c r="H375"/>
  <c r="I375"/>
  <c r="E376"/>
  <c r="F376"/>
  <c r="G376"/>
  <c r="H376"/>
  <c r="I376"/>
  <c r="E377"/>
  <c r="F377"/>
  <c r="H377" s="1"/>
  <c r="G377"/>
  <c r="I377"/>
  <c r="E378"/>
  <c r="F378"/>
  <c r="H378" s="1"/>
  <c r="G378"/>
  <c r="I378"/>
  <c r="E379"/>
  <c r="F379"/>
  <c r="G379"/>
  <c r="H379"/>
  <c r="I379"/>
  <c r="E380"/>
  <c r="F380"/>
  <c r="G380"/>
  <c r="H380"/>
  <c r="I380"/>
  <c r="E381"/>
  <c r="F381"/>
  <c r="G381"/>
  <c r="H381"/>
  <c r="I381"/>
  <c r="E382"/>
  <c r="F382"/>
  <c r="G382"/>
  <c r="H382"/>
  <c r="I382"/>
  <c r="E383"/>
  <c r="F383"/>
  <c r="H383" s="1"/>
  <c r="G383"/>
  <c r="I383"/>
  <c r="E384"/>
  <c r="F384"/>
  <c r="H384" s="1"/>
  <c r="G384"/>
  <c r="I384"/>
  <c r="E385"/>
  <c r="F385"/>
  <c r="G385"/>
  <c r="H385"/>
  <c r="I385"/>
  <c r="E386"/>
  <c r="F386"/>
  <c r="G386"/>
  <c r="H386"/>
  <c r="I386"/>
  <c r="E387"/>
  <c r="F387"/>
  <c r="G387"/>
  <c r="H387"/>
  <c r="I387"/>
  <c r="E388"/>
  <c r="F388"/>
  <c r="G388"/>
  <c r="H388"/>
  <c r="I388"/>
  <c r="E389"/>
  <c r="F389"/>
  <c r="H389" s="1"/>
  <c r="G389"/>
  <c r="I389"/>
  <c r="E390"/>
  <c r="F390"/>
  <c r="H390" s="1"/>
  <c r="G390"/>
  <c r="I390"/>
  <c r="E391"/>
  <c r="F391"/>
  <c r="G391"/>
  <c r="H391"/>
  <c r="I391"/>
  <c r="E392"/>
  <c r="F392"/>
  <c r="G392"/>
  <c r="H392"/>
  <c r="I392"/>
  <c r="E393"/>
  <c r="F393"/>
  <c r="G393"/>
  <c r="H393"/>
  <c r="I393"/>
  <c r="E394"/>
  <c r="F394"/>
  <c r="G394"/>
  <c r="H394"/>
  <c r="I394"/>
  <c r="E395"/>
  <c r="F395"/>
  <c r="H395" s="1"/>
  <c r="G395"/>
  <c r="I395"/>
  <c r="E396"/>
  <c r="F396"/>
  <c r="H396" s="1"/>
  <c r="G396"/>
  <c r="I396"/>
  <c r="E397"/>
  <c r="F397"/>
  <c r="G397"/>
  <c r="H397"/>
  <c r="I397"/>
  <c r="E398"/>
  <c r="F398"/>
  <c r="G398"/>
  <c r="H398"/>
  <c r="I398"/>
  <c r="E399"/>
  <c r="F399"/>
  <c r="G399"/>
  <c r="H399"/>
  <c r="I399"/>
  <c r="E400"/>
  <c r="F400"/>
  <c r="G400"/>
  <c r="H400"/>
  <c r="I400"/>
  <c r="E401"/>
  <c r="F401"/>
  <c r="H401" s="1"/>
  <c r="G401"/>
  <c r="I401"/>
  <c r="E402"/>
  <c r="F402"/>
  <c r="H402" s="1"/>
  <c r="G402"/>
  <c r="I402"/>
  <c r="E403"/>
  <c r="F403"/>
  <c r="G403"/>
  <c r="H403"/>
  <c r="I403"/>
  <c r="E404"/>
  <c r="F404"/>
  <c r="G404"/>
  <c r="H404"/>
  <c r="I404"/>
  <c r="E405"/>
  <c r="F405"/>
  <c r="G405"/>
  <c r="H405"/>
  <c r="I405"/>
  <c r="E406"/>
  <c r="F406"/>
  <c r="G406"/>
  <c r="H406"/>
  <c r="I406"/>
  <c r="E407"/>
  <c r="F407"/>
  <c r="H407" s="1"/>
  <c r="G407"/>
  <c r="I407"/>
  <c r="E408"/>
  <c r="F408"/>
  <c r="H408" s="1"/>
  <c r="G408"/>
  <c r="I408"/>
  <c r="E409"/>
  <c r="F409"/>
  <c r="G409"/>
  <c r="H409"/>
  <c r="I409"/>
  <c r="E410"/>
  <c r="F410"/>
  <c r="G410"/>
  <c r="H410"/>
  <c r="I410"/>
  <c r="E411"/>
  <c r="F411"/>
  <c r="G411"/>
  <c r="H411"/>
  <c r="I411"/>
  <c r="E412"/>
  <c r="F412"/>
  <c r="G412"/>
  <c r="H412"/>
  <c r="I412"/>
  <c r="E413"/>
  <c r="F413"/>
  <c r="H413" s="1"/>
  <c r="G413"/>
  <c r="I413"/>
  <c r="E414"/>
  <c r="F414"/>
  <c r="H414" s="1"/>
  <c r="G414"/>
  <c r="I414"/>
  <c r="E415"/>
  <c r="F415"/>
  <c r="G415"/>
  <c r="H415"/>
  <c r="I415"/>
  <c r="E416"/>
  <c r="F416"/>
  <c r="G416"/>
  <c r="H416"/>
  <c r="I416"/>
  <c r="E417"/>
  <c r="F417"/>
  <c r="G417"/>
  <c r="H417"/>
  <c r="I417"/>
  <c r="E418"/>
  <c r="F418"/>
  <c r="G418"/>
  <c r="H418"/>
  <c r="I418"/>
  <c r="E419"/>
  <c r="F419"/>
  <c r="H419" s="1"/>
  <c r="G419"/>
  <c r="I419"/>
  <c r="E420"/>
  <c r="F420"/>
  <c r="H420" s="1"/>
  <c r="G420"/>
  <c r="I420"/>
  <c r="E421"/>
  <c r="F421"/>
  <c r="G421"/>
  <c r="H421"/>
  <c r="I421"/>
  <c r="E422"/>
  <c r="F422"/>
  <c r="G422"/>
  <c r="H422"/>
  <c r="I422"/>
  <c r="E423"/>
  <c r="F423"/>
  <c r="G423"/>
  <c r="H423"/>
  <c r="I423"/>
  <c r="E424"/>
  <c r="F424"/>
  <c r="G424"/>
  <c r="H424"/>
  <c r="I424"/>
  <c r="E425"/>
  <c r="F425"/>
  <c r="H425" s="1"/>
  <c r="G425"/>
  <c r="I425"/>
  <c r="E426"/>
  <c r="F426"/>
  <c r="H426" s="1"/>
  <c r="G426"/>
  <c r="I426"/>
  <c r="E427"/>
  <c r="F427"/>
  <c r="G427"/>
  <c r="H427"/>
  <c r="I427"/>
  <c r="E428"/>
  <c r="F428"/>
  <c r="G428"/>
  <c r="H428"/>
  <c r="I428"/>
  <c r="E429"/>
  <c r="F429"/>
  <c r="G429"/>
  <c r="H429"/>
  <c r="I429"/>
  <c r="E430"/>
  <c r="F430"/>
  <c r="G430"/>
  <c r="H430"/>
  <c r="I430"/>
  <c r="E431"/>
  <c r="F431"/>
  <c r="H431" s="1"/>
  <c r="G431"/>
  <c r="I431"/>
  <c r="E432"/>
  <c r="F432"/>
  <c r="H432" s="1"/>
  <c r="G432"/>
  <c r="I432"/>
  <c r="E433"/>
  <c r="F433"/>
  <c r="G433"/>
  <c r="H433"/>
  <c r="I433"/>
  <c r="E434"/>
  <c r="F434"/>
  <c r="G434"/>
  <c r="H434"/>
  <c r="I434"/>
  <c r="E435"/>
  <c r="F435"/>
  <c r="G435"/>
  <c r="H435"/>
  <c r="I435"/>
  <c r="E436"/>
  <c r="F436"/>
  <c r="G436"/>
  <c r="H436"/>
  <c r="I436"/>
  <c r="E437"/>
  <c r="F437"/>
  <c r="H437" s="1"/>
  <c r="G437"/>
  <c r="I437"/>
  <c r="E438"/>
  <c r="F438"/>
  <c r="H438" s="1"/>
  <c r="G438"/>
  <c r="I438"/>
  <c r="E439"/>
  <c r="F439"/>
  <c r="G439"/>
  <c r="H439"/>
  <c r="I439"/>
  <c r="E440"/>
  <c r="F440"/>
  <c r="G440"/>
  <c r="H440"/>
  <c r="I440"/>
  <c r="E441"/>
  <c r="F441"/>
  <c r="G441"/>
  <c r="H441"/>
  <c r="I441"/>
  <c r="E442"/>
  <c r="F442"/>
  <c r="G442"/>
  <c r="H442"/>
  <c r="I442"/>
  <c r="E443"/>
  <c r="F443"/>
  <c r="H443" s="1"/>
  <c r="G443"/>
  <c r="I443"/>
  <c r="E444"/>
  <c r="F444"/>
  <c r="H444" s="1"/>
  <c r="G444"/>
  <c r="I444"/>
  <c r="E445"/>
  <c r="F445"/>
  <c r="G445"/>
  <c r="H445"/>
  <c r="I445"/>
  <c r="E446"/>
  <c r="F446"/>
  <c r="G446"/>
  <c r="H446"/>
  <c r="I446"/>
  <c r="E447"/>
  <c r="F447"/>
  <c r="G447"/>
  <c r="H447"/>
  <c r="I447"/>
  <c r="E448"/>
  <c r="F448"/>
  <c r="G448"/>
  <c r="H448"/>
  <c r="I448"/>
  <c r="E449"/>
  <c r="F449"/>
  <c r="H449" s="1"/>
  <c r="G449"/>
  <c r="I449"/>
  <c r="E450"/>
  <c r="F450"/>
  <c r="H450" s="1"/>
  <c r="G450"/>
  <c r="I450"/>
  <c r="E451"/>
  <c r="F451"/>
  <c r="G451"/>
  <c r="H451"/>
  <c r="I451"/>
  <c r="E452"/>
  <c r="F452"/>
  <c r="G452"/>
  <c r="H452"/>
  <c r="I452"/>
  <c r="E453"/>
  <c r="F453"/>
  <c r="G453"/>
  <c r="H453"/>
  <c r="I453"/>
  <c r="E454"/>
  <c r="F454"/>
  <c r="G454"/>
  <c r="H454"/>
  <c r="I454"/>
  <c r="E455"/>
  <c r="F455"/>
  <c r="H455" s="1"/>
  <c r="G455"/>
  <c r="I455"/>
  <c r="E456"/>
  <c r="F456"/>
  <c r="H456" s="1"/>
  <c r="G456"/>
  <c r="I456"/>
  <c r="E457"/>
  <c r="F457"/>
  <c r="G457"/>
  <c r="H457"/>
  <c r="I457"/>
  <c r="E458"/>
  <c r="F458"/>
  <c r="G458"/>
  <c r="H458"/>
  <c r="I458"/>
  <c r="E459"/>
  <c r="F459"/>
  <c r="G459"/>
  <c r="H459"/>
  <c r="I459"/>
  <c r="E460"/>
  <c r="F460"/>
  <c r="G460"/>
  <c r="H460"/>
  <c r="I460"/>
  <c r="E461"/>
  <c r="F461"/>
  <c r="H461" s="1"/>
  <c r="G461"/>
  <c r="I461"/>
  <c r="E462"/>
  <c r="F462"/>
  <c r="H462" s="1"/>
  <c r="G462"/>
  <c r="I462"/>
  <c r="E463"/>
  <c r="F463"/>
  <c r="G463"/>
  <c r="H463"/>
  <c r="I463"/>
  <c r="E464"/>
  <c r="F464"/>
  <c r="G464"/>
  <c r="H464"/>
  <c r="I464"/>
  <c r="E465"/>
  <c r="F465"/>
  <c r="G465"/>
  <c r="H465"/>
  <c r="I465"/>
  <c r="E466"/>
  <c r="F466"/>
  <c r="G466"/>
  <c r="H466"/>
  <c r="I466"/>
  <c r="E467"/>
  <c r="F467"/>
  <c r="H467" s="1"/>
  <c r="G467"/>
  <c r="I467"/>
  <c r="E468"/>
  <c r="F468"/>
  <c r="H468" s="1"/>
  <c r="G468"/>
  <c r="I468"/>
  <c r="E469"/>
  <c r="F469"/>
  <c r="G469"/>
  <c r="H469"/>
  <c r="I469"/>
  <c r="E470"/>
  <c r="F470"/>
  <c r="H470" s="1"/>
  <c r="G470"/>
  <c r="I470"/>
  <c r="E471"/>
  <c r="F471"/>
  <c r="G471"/>
  <c r="H471"/>
  <c r="I471"/>
  <c r="E472"/>
  <c r="F472"/>
  <c r="G472"/>
  <c r="H472"/>
  <c r="I472"/>
  <c r="E473"/>
  <c r="F473"/>
  <c r="H473" s="1"/>
  <c r="G473"/>
  <c r="I473"/>
  <c r="E474"/>
  <c r="F474"/>
  <c r="H474" s="1"/>
  <c r="G474"/>
  <c r="I474"/>
  <c r="E475"/>
  <c r="F475"/>
  <c r="G475"/>
  <c r="H475"/>
  <c r="I475"/>
  <c r="E476"/>
  <c r="F476"/>
  <c r="H476" s="1"/>
  <c r="G476"/>
  <c r="I476"/>
  <c r="E477"/>
  <c r="F477"/>
  <c r="H477" s="1"/>
  <c r="G477"/>
  <c r="I477"/>
  <c r="E478"/>
  <c r="F478"/>
  <c r="G478"/>
  <c r="H478"/>
  <c r="I478"/>
  <c r="E479"/>
  <c r="F479"/>
  <c r="H479" s="1"/>
  <c r="G479"/>
  <c r="I479"/>
  <c r="E480"/>
  <c r="F480"/>
  <c r="H480" s="1"/>
  <c r="G480"/>
  <c r="I480"/>
  <c r="E481"/>
  <c r="F481"/>
  <c r="G481"/>
  <c r="H481"/>
  <c r="I481"/>
  <c r="E482"/>
  <c r="F482"/>
  <c r="H482" s="1"/>
  <c r="G482"/>
  <c r="I482"/>
  <c r="E483"/>
  <c r="F483"/>
  <c r="H483" s="1"/>
  <c r="G483"/>
  <c r="I483"/>
  <c r="E484"/>
  <c r="F484"/>
  <c r="G484"/>
  <c r="H484"/>
  <c r="I484"/>
  <c r="E485"/>
  <c r="F485"/>
  <c r="H485" s="1"/>
  <c r="G485"/>
  <c r="I485"/>
  <c r="E486"/>
  <c r="F486"/>
  <c r="H486" s="1"/>
  <c r="G486"/>
  <c r="I486"/>
  <c r="E487"/>
  <c r="F487"/>
  <c r="G487"/>
  <c r="H487"/>
  <c r="I487"/>
  <c r="E488"/>
  <c r="F488"/>
  <c r="H488" s="1"/>
  <c r="G488"/>
  <c r="I488"/>
  <c r="E489"/>
  <c r="F489"/>
  <c r="H489" s="1"/>
  <c r="G489"/>
  <c r="I489"/>
  <c r="E490"/>
  <c r="F490"/>
  <c r="G490"/>
  <c r="H490"/>
  <c r="I490"/>
  <c r="E491"/>
  <c r="F491"/>
  <c r="H491" s="1"/>
  <c r="G491"/>
  <c r="I491"/>
  <c r="E492"/>
  <c r="F492"/>
  <c r="H492" s="1"/>
  <c r="G492"/>
  <c r="I492"/>
  <c r="E493"/>
  <c r="F493"/>
  <c r="G493"/>
  <c r="H493"/>
  <c r="I493"/>
  <c r="E494"/>
  <c r="F494"/>
  <c r="H494" s="1"/>
  <c r="G494"/>
  <c r="I494"/>
  <c r="E495"/>
  <c r="F495"/>
  <c r="H495" s="1"/>
  <c r="G495"/>
  <c r="I495"/>
  <c r="E496"/>
  <c r="F496"/>
  <c r="G496"/>
  <c r="H496"/>
  <c r="I496"/>
  <c r="E497"/>
  <c r="F497"/>
  <c r="H497" s="1"/>
  <c r="G497"/>
  <c r="I497"/>
  <c r="E498"/>
  <c r="F498"/>
  <c r="H498" s="1"/>
  <c r="G498"/>
  <c r="I498"/>
  <c r="E499"/>
  <c r="F499"/>
  <c r="G499"/>
  <c r="H499"/>
  <c r="I499"/>
  <c r="E500"/>
  <c r="F500"/>
  <c r="H500" s="1"/>
  <c r="G500"/>
  <c r="I500"/>
  <c r="E501"/>
  <c r="F501"/>
  <c r="H501" s="1"/>
  <c r="G501"/>
  <c r="I501"/>
  <c r="E502"/>
  <c r="F502"/>
  <c r="G502"/>
  <c r="H502"/>
  <c r="I502"/>
  <c r="E503"/>
  <c r="F503"/>
  <c r="H503" s="1"/>
  <c r="G503"/>
  <c r="I503"/>
  <c r="E504"/>
  <c r="F504"/>
  <c r="H504" s="1"/>
  <c r="G504"/>
  <c r="I504"/>
  <c r="E505"/>
  <c r="F505"/>
  <c r="G505"/>
  <c r="H505"/>
  <c r="I505"/>
  <c r="E506"/>
  <c r="F506"/>
  <c r="H506" s="1"/>
  <c r="G506"/>
  <c r="I506"/>
  <c r="E507"/>
  <c r="F507"/>
  <c r="H507" s="1"/>
  <c r="G507"/>
  <c r="I507"/>
  <c r="E508"/>
  <c r="F508"/>
  <c r="G508"/>
  <c r="H508"/>
  <c r="I508"/>
  <c r="E509"/>
  <c r="F509"/>
  <c r="H509" s="1"/>
  <c r="G509"/>
  <c r="I509"/>
  <c r="E510"/>
  <c r="F510"/>
  <c r="H510" s="1"/>
  <c r="G510"/>
  <c r="I510"/>
  <c r="E511"/>
  <c r="F511"/>
  <c r="G511"/>
  <c r="H511"/>
  <c r="I511"/>
  <c r="E512"/>
  <c r="F512"/>
  <c r="H512" s="1"/>
  <c r="G512"/>
  <c r="I512"/>
  <c r="E513"/>
  <c r="F513"/>
  <c r="H513" s="1"/>
  <c r="G513"/>
  <c r="I513"/>
  <c r="E514"/>
  <c r="F514"/>
  <c r="G514"/>
  <c r="H514"/>
  <c r="I514"/>
  <c r="E515"/>
  <c r="F515"/>
  <c r="H515" s="1"/>
  <c r="G515"/>
  <c r="I515"/>
  <c r="E516"/>
  <c r="F516"/>
  <c r="H516" s="1"/>
  <c r="G516"/>
  <c r="I516"/>
  <c r="E517"/>
  <c r="F517"/>
  <c r="G517"/>
  <c r="H517"/>
  <c r="I517"/>
  <c r="E518"/>
  <c r="F518"/>
  <c r="H518" s="1"/>
  <c r="G518"/>
  <c r="I518"/>
  <c r="E519"/>
  <c r="F519"/>
  <c r="H519" s="1"/>
  <c r="G519"/>
  <c r="I519"/>
  <c r="E520"/>
  <c r="F520"/>
  <c r="G520"/>
  <c r="H520"/>
  <c r="I520"/>
  <c r="E521"/>
  <c r="F521"/>
  <c r="H521" s="1"/>
  <c r="G521"/>
  <c r="I521"/>
  <c r="E522"/>
  <c r="F522"/>
  <c r="H522" s="1"/>
  <c r="G522"/>
  <c r="I522"/>
  <c r="E523"/>
  <c r="F523"/>
  <c r="G523"/>
  <c r="H523"/>
  <c r="I523"/>
  <c r="E524"/>
  <c r="F524"/>
  <c r="H524" s="1"/>
  <c r="G524"/>
  <c r="I524"/>
  <c r="E525"/>
  <c r="F525"/>
  <c r="H525" s="1"/>
  <c r="G525"/>
  <c r="I525"/>
  <c r="E526"/>
  <c r="F526"/>
  <c r="G526"/>
  <c r="H526"/>
  <c r="I526"/>
  <c r="E527"/>
  <c r="F527"/>
  <c r="H527" s="1"/>
  <c r="G527"/>
  <c r="I527"/>
  <c r="E528"/>
  <c r="F528"/>
  <c r="H528" s="1"/>
  <c r="G528"/>
  <c r="I528"/>
  <c r="E529"/>
  <c r="F529"/>
  <c r="G529"/>
  <c r="H529"/>
  <c r="I529"/>
  <c r="E530"/>
  <c r="F530"/>
  <c r="H530" s="1"/>
  <c r="G530"/>
  <c r="I530"/>
  <c r="E531"/>
  <c r="F531"/>
  <c r="H531" s="1"/>
  <c r="G531"/>
  <c r="I531"/>
  <c r="E532"/>
  <c r="F532"/>
  <c r="G532"/>
  <c r="H532"/>
  <c r="I532"/>
  <c r="E533"/>
  <c r="F533"/>
  <c r="H533" s="1"/>
  <c r="G533"/>
  <c r="I533"/>
  <c r="E534"/>
  <c r="F534"/>
  <c r="H534" s="1"/>
  <c r="G534"/>
  <c r="I534"/>
  <c r="E535"/>
  <c r="F535"/>
  <c r="G535"/>
  <c r="H535"/>
  <c r="I535"/>
  <c r="E536"/>
  <c r="F536"/>
  <c r="H536" s="1"/>
  <c r="G536"/>
  <c r="I536"/>
  <c r="E537"/>
  <c r="F537"/>
  <c r="H537" s="1"/>
  <c r="G537"/>
  <c r="I537"/>
  <c r="E538"/>
  <c r="F538"/>
  <c r="G538"/>
  <c r="H538"/>
  <c r="I538"/>
  <c r="E539"/>
  <c r="F539"/>
  <c r="H539" s="1"/>
  <c r="G539"/>
  <c r="I539"/>
  <c r="E540"/>
  <c r="F540"/>
  <c r="H540" s="1"/>
  <c r="G540"/>
  <c r="I540"/>
  <c r="E541"/>
  <c r="F541"/>
  <c r="G541"/>
  <c r="H541"/>
  <c r="I541"/>
  <c r="E542"/>
  <c r="F542"/>
  <c r="H542" s="1"/>
  <c r="G542"/>
  <c r="I542"/>
  <c r="E543"/>
  <c r="F543"/>
  <c r="H543" s="1"/>
  <c r="G543"/>
  <c r="I543"/>
  <c r="E544"/>
  <c r="F544"/>
  <c r="G544"/>
  <c r="H544"/>
  <c r="I544"/>
  <c r="E545"/>
  <c r="F545"/>
  <c r="H545" s="1"/>
  <c r="G545"/>
  <c r="I545"/>
  <c r="E546"/>
  <c r="F546"/>
  <c r="H546" s="1"/>
  <c r="G546"/>
  <c r="I546"/>
  <c r="E547"/>
  <c r="F547"/>
  <c r="G547"/>
  <c r="H547"/>
  <c r="I547"/>
  <c r="E548"/>
  <c r="F548"/>
  <c r="H548" s="1"/>
  <c r="G548"/>
  <c r="I548"/>
  <c r="E549"/>
  <c r="F549"/>
  <c r="H549" s="1"/>
  <c r="G549"/>
  <c r="I549"/>
  <c r="E550"/>
  <c r="F550"/>
  <c r="G550"/>
  <c r="H550"/>
  <c r="I550"/>
  <c r="E551"/>
  <c r="F551"/>
  <c r="H551" s="1"/>
  <c r="G551"/>
  <c r="I551"/>
  <c r="E552"/>
  <c r="F552"/>
  <c r="H552" s="1"/>
  <c r="G552"/>
  <c r="I552"/>
  <c r="E553"/>
  <c r="F553"/>
  <c r="G553"/>
  <c r="H553"/>
  <c r="I553"/>
  <c r="E554"/>
  <c r="F554"/>
  <c r="H554" s="1"/>
  <c r="G554"/>
  <c r="I554"/>
  <c r="E555"/>
  <c r="F555"/>
  <c r="H555" s="1"/>
  <c r="G555"/>
  <c r="I555"/>
  <c r="E556"/>
  <c r="F556"/>
  <c r="G556"/>
  <c r="H556"/>
  <c r="I556"/>
  <c r="E557"/>
  <c r="F557"/>
  <c r="H557" s="1"/>
  <c r="G557"/>
  <c r="I557"/>
  <c r="E558"/>
  <c r="F558"/>
  <c r="H558" s="1"/>
  <c r="G558"/>
  <c r="I558"/>
  <c r="E559"/>
  <c r="F559"/>
  <c r="G559"/>
  <c r="H559"/>
  <c r="I559"/>
  <c r="E560"/>
  <c r="F560"/>
  <c r="H560" s="1"/>
  <c r="G560"/>
  <c r="I560"/>
  <c r="E561"/>
  <c r="F561"/>
  <c r="H561" s="1"/>
  <c r="G561"/>
  <c r="I561"/>
  <c r="E562"/>
  <c r="F562"/>
  <c r="G562"/>
  <c r="H562"/>
  <c r="I562"/>
  <c r="E563"/>
  <c r="F563"/>
  <c r="H563" s="1"/>
  <c r="G563"/>
  <c r="I563"/>
  <c r="E564"/>
  <c r="F564"/>
  <c r="H564" s="1"/>
  <c r="G564"/>
  <c r="I564"/>
  <c r="E565"/>
  <c r="F565"/>
  <c r="G565"/>
  <c r="H565"/>
  <c r="I565"/>
  <c r="E566"/>
  <c r="F566"/>
  <c r="H566" s="1"/>
  <c r="G566"/>
  <c r="I566"/>
  <c r="E567"/>
  <c r="F567"/>
  <c r="H567" s="1"/>
  <c r="G567"/>
  <c r="I567"/>
  <c r="E568"/>
  <c r="F568"/>
  <c r="G568"/>
  <c r="H568"/>
  <c r="I568"/>
  <c r="E569"/>
  <c r="F569"/>
  <c r="H569" s="1"/>
  <c r="G569"/>
  <c r="I569"/>
  <c r="E570"/>
  <c r="F570"/>
  <c r="H570" s="1"/>
  <c r="G570"/>
  <c r="I570"/>
  <c r="E571"/>
  <c r="F571"/>
  <c r="G571"/>
  <c r="H571"/>
  <c r="I571"/>
  <c r="E572"/>
  <c r="F572"/>
  <c r="H572" s="1"/>
  <c r="G572"/>
  <c r="I572"/>
  <c r="E573"/>
  <c r="F573"/>
  <c r="H573" s="1"/>
  <c r="G573"/>
  <c r="I573"/>
  <c r="E574"/>
  <c r="F574"/>
  <c r="G574"/>
  <c r="H574"/>
  <c r="I574"/>
  <c r="E575"/>
  <c r="F575"/>
  <c r="H575" s="1"/>
  <c r="G575"/>
  <c r="I575"/>
  <c r="E576"/>
  <c r="F576"/>
  <c r="H576" s="1"/>
  <c r="G576"/>
  <c r="I576"/>
  <c r="E577"/>
  <c r="F577"/>
  <c r="G577"/>
  <c r="H577"/>
  <c r="I577"/>
  <c r="E578"/>
  <c r="F578"/>
  <c r="H578" s="1"/>
  <c r="G578"/>
  <c r="I578"/>
  <c r="E579"/>
  <c r="F579"/>
  <c r="H579" s="1"/>
  <c r="G579"/>
  <c r="I579"/>
  <c r="E580"/>
  <c r="F580"/>
  <c r="G580"/>
  <c r="H580"/>
  <c r="I580"/>
  <c r="E581"/>
  <c r="F581"/>
  <c r="H581" s="1"/>
  <c r="G581"/>
  <c r="I581"/>
  <c r="E582"/>
  <c r="F582"/>
  <c r="H582" s="1"/>
  <c r="G582"/>
  <c r="I582"/>
  <c r="E583"/>
  <c r="F583"/>
  <c r="G583"/>
  <c r="H583"/>
  <c r="I583"/>
  <c r="E584"/>
  <c r="F584"/>
  <c r="H584" s="1"/>
  <c r="G584"/>
  <c r="I584"/>
  <c r="E585"/>
  <c r="F585"/>
  <c r="H585" s="1"/>
  <c r="G585"/>
  <c r="I585"/>
  <c r="E586"/>
  <c r="F586"/>
  <c r="G586"/>
  <c r="H586"/>
  <c r="I586"/>
  <c r="E587"/>
  <c r="F587"/>
  <c r="H587" s="1"/>
  <c r="G587"/>
  <c r="I587"/>
  <c r="E588"/>
  <c r="F588"/>
  <c r="H588" s="1"/>
  <c r="G588"/>
  <c r="I588"/>
  <c r="E589"/>
  <c r="F589"/>
  <c r="G589"/>
  <c r="H589"/>
  <c r="I589"/>
  <c r="E590"/>
  <c r="F590"/>
  <c r="H590" s="1"/>
  <c r="G590"/>
  <c r="I590"/>
  <c r="E591"/>
  <c r="F591"/>
  <c r="H591" s="1"/>
  <c r="G591"/>
  <c r="I591"/>
  <c r="E592"/>
  <c r="F592"/>
  <c r="G592"/>
  <c r="H592"/>
  <c r="I592"/>
  <c r="E593"/>
  <c r="F593"/>
  <c r="H593" s="1"/>
  <c r="G593"/>
  <c r="I593"/>
  <c r="E594"/>
  <c r="F594"/>
  <c r="H594" s="1"/>
  <c r="G594"/>
  <c r="I594"/>
  <c r="E595"/>
  <c r="F595"/>
  <c r="G595"/>
  <c r="H595"/>
  <c r="I595"/>
  <c r="E596"/>
  <c r="F596"/>
  <c r="H596" s="1"/>
  <c r="G596"/>
  <c r="I596"/>
  <c r="E597"/>
  <c r="F597"/>
  <c r="H597" s="1"/>
  <c r="G597"/>
  <c r="I597"/>
  <c r="E598"/>
  <c r="F598"/>
  <c r="G598"/>
  <c r="H598"/>
  <c r="I598"/>
  <c r="E599"/>
  <c r="F599"/>
  <c r="H599" s="1"/>
  <c r="G599"/>
  <c r="I599"/>
  <c r="E600"/>
  <c r="F600"/>
  <c r="H600" s="1"/>
  <c r="G600"/>
  <c r="I600"/>
  <c r="E601"/>
  <c r="F601"/>
  <c r="G601"/>
  <c r="H601"/>
  <c r="I601"/>
  <c r="E602"/>
  <c r="F602"/>
  <c r="H602" s="1"/>
  <c r="G602"/>
  <c r="I602"/>
  <c r="E603"/>
  <c r="F603"/>
  <c r="H603" s="1"/>
  <c r="G603"/>
  <c r="I603"/>
  <c r="E604"/>
  <c r="F604"/>
  <c r="G604"/>
  <c r="H604"/>
  <c r="I604"/>
  <c r="E605"/>
  <c r="F605"/>
  <c r="H605" s="1"/>
  <c r="G605"/>
  <c r="I605"/>
  <c r="E606"/>
  <c r="F606"/>
  <c r="H606" s="1"/>
  <c r="G606"/>
  <c r="I606"/>
  <c r="E607"/>
  <c r="F607"/>
  <c r="G607"/>
  <c r="H607"/>
  <c r="I607"/>
  <c r="E608"/>
  <c r="F608"/>
  <c r="H608" s="1"/>
  <c r="G608"/>
  <c r="I608"/>
  <c r="E609"/>
  <c r="F609"/>
  <c r="H609" s="1"/>
  <c r="G609"/>
  <c r="I609"/>
  <c r="E610"/>
  <c r="F610"/>
  <c r="G610"/>
  <c r="H610"/>
  <c r="I610"/>
  <c r="E611"/>
  <c r="F611"/>
  <c r="H611" s="1"/>
  <c r="G611"/>
  <c r="I611"/>
  <c r="E612"/>
  <c r="F612"/>
  <c r="H612" s="1"/>
  <c r="G612"/>
  <c r="I612"/>
  <c r="E613"/>
  <c r="F613"/>
  <c r="G613"/>
  <c r="H613"/>
  <c r="I613"/>
  <c r="E614"/>
  <c r="F614"/>
  <c r="H614" s="1"/>
  <c r="G614"/>
  <c r="I614"/>
  <c r="E615"/>
  <c r="F615"/>
  <c r="H615" s="1"/>
  <c r="G615"/>
  <c r="I615"/>
  <c r="E616"/>
  <c r="F616"/>
  <c r="G616"/>
  <c r="H616"/>
  <c r="I616"/>
  <c r="E617"/>
  <c r="F617"/>
  <c r="H617" s="1"/>
  <c r="G617"/>
  <c r="I617"/>
  <c r="E618"/>
  <c r="F618"/>
  <c r="H618" s="1"/>
  <c r="G618"/>
  <c r="I618"/>
  <c r="E619"/>
  <c r="F619"/>
  <c r="G619"/>
  <c r="H619"/>
  <c r="I619"/>
  <c r="E620"/>
  <c r="F620"/>
  <c r="H620" s="1"/>
  <c r="G620"/>
  <c r="I620"/>
  <c r="E621"/>
  <c r="F621"/>
  <c r="H621" s="1"/>
  <c r="G621"/>
  <c r="I621"/>
  <c r="E622"/>
  <c r="F622"/>
  <c r="G622"/>
  <c r="H622"/>
  <c r="I622"/>
  <c r="E623"/>
  <c r="F623"/>
  <c r="H623" s="1"/>
  <c r="G623"/>
  <c r="I623"/>
  <c r="E624"/>
  <c r="F624"/>
  <c r="H624" s="1"/>
  <c r="G624"/>
  <c r="I624"/>
  <c r="E625"/>
  <c r="F625"/>
  <c r="G625"/>
  <c r="H625"/>
  <c r="I625"/>
  <c r="E626"/>
  <c r="F626"/>
  <c r="H626" s="1"/>
  <c r="G626"/>
  <c r="I626"/>
  <c r="E627"/>
  <c r="F627"/>
  <c r="H627" s="1"/>
  <c r="G627"/>
  <c r="I627"/>
  <c r="E628"/>
  <c r="F628"/>
  <c r="G628"/>
  <c r="H628"/>
  <c r="I628"/>
  <c r="E629"/>
  <c r="F629"/>
  <c r="H629" s="1"/>
  <c r="G629"/>
  <c r="I629"/>
  <c r="E630"/>
  <c r="F630"/>
  <c r="H630" s="1"/>
  <c r="G630"/>
  <c r="I630"/>
  <c r="E631"/>
  <c r="F631"/>
  <c r="G631"/>
  <c r="H631"/>
  <c r="I631"/>
  <c r="E632"/>
  <c r="F632"/>
  <c r="H632" s="1"/>
  <c r="G632"/>
  <c r="I632"/>
  <c r="E633"/>
  <c r="F633"/>
  <c r="H633" s="1"/>
  <c r="G633"/>
  <c r="I633"/>
  <c r="E634"/>
  <c r="F634"/>
  <c r="G634"/>
  <c r="H634"/>
  <c r="I634"/>
  <c r="E635"/>
  <c r="F635"/>
  <c r="H635" s="1"/>
  <c r="G635"/>
  <c r="I635"/>
  <c r="E636"/>
  <c r="F636"/>
  <c r="H636" s="1"/>
  <c r="G636"/>
  <c r="I636"/>
  <c r="E637"/>
  <c r="F637"/>
  <c r="G637"/>
  <c r="H637"/>
  <c r="I637"/>
  <c r="E638"/>
  <c r="F638"/>
  <c r="H638" s="1"/>
  <c r="G638"/>
  <c r="I638"/>
  <c r="E639"/>
  <c r="F639"/>
  <c r="H639" s="1"/>
  <c r="G639"/>
  <c r="I639"/>
  <c r="E640"/>
  <c r="F640"/>
  <c r="G640"/>
  <c r="H640"/>
  <c r="I640"/>
  <c r="E641"/>
  <c r="F641"/>
  <c r="H641" s="1"/>
  <c r="G641"/>
  <c r="I641"/>
  <c r="E642"/>
  <c r="F642"/>
  <c r="H642" s="1"/>
  <c r="G642"/>
  <c r="I642"/>
  <c r="E643"/>
  <c r="F643"/>
  <c r="G643"/>
  <c r="H643"/>
  <c r="I643"/>
  <c r="E644"/>
  <c r="F644"/>
  <c r="H644" s="1"/>
  <c r="G644"/>
  <c r="I644"/>
  <c r="E645"/>
  <c r="F645"/>
  <c r="H645" s="1"/>
  <c r="G645"/>
  <c r="I645"/>
  <c r="E646"/>
  <c r="F646"/>
  <c r="G646"/>
  <c r="H646"/>
  <c r="I646"/>
  <c r="E647"/>
  <c r="F647"/>
  <c r="H647" s="1"/>
  <c r="G647"/>
  <c r="I647"/>
  <c r="E648"/>
  <c r="F648"/>
  <c r="H648" s="1"/>
  <c r="G648"/>
  <c r="I648"/>
  <c r="E649"/>
  <c r="F649"/>
  <c r="G649"/>
  <c r="H649"/>
  <c r="I649"/>
  <c r="E650"/>
  <c r="F650"/>
  <c r="H650" s="1"/>
  <c r="G650"/>
  <c r="I650"/>
  <c r="E651"/>
  <c r="F651"/>
  <c r="H651" s="1"/>
  <c r="G651"/>
  <c r="I651"/>
  <c r="E652"/>
  <c r="F652"/>
  <c r="G652"/>
  <c r="H652"/>
  <c r="I652"/>
  <c r="E653"/>
  <c r="F653"/>
  <c r="H653" s="1"/>
  <c r="G653"/>
  <c r="I653"/>
  <c r="E654"/>
  <c r="F654"/>
  <c r="H654" s="1"/>
  <c r="G654"/>
  <c r="I654"/>
  <c r="E655"/>
  <c r="F655"/>
  <c r="G655"/>
  <c r="H655"/>
  <c r="I655"/>
  <c r="E656"/>
  <c r="F656"/>
  <c r="H656" s="1"/>
  <c r="G656"/>
  <c r="I656"/>
  <c r="E657"/>
  <c r="F657"/>
  <c r="H657" s="1"/>
  <c r="G657"/>
  <c r="I657"/>
  <c r="E658"/>
  <c r="F658"/>
  <c r="G658"/>
  <c r="H658"/>
  <c r="I658"/>
  <c r="E659"/>
  <c r="F659"/>
  <c r="H659" s="1"/>
  <c r="G659"/>
  <c r="I659"/>
  <c r="E660"/>
  <c r="F660"/>
  <c r="H660" s="1"/>
  <c r="G660"/>
  <c r="I660"/>
  <c r="E661"/>
  <c r="F661"/>
  <c r="G661"/>
  <c r="H661"/>
  <c r="I661"/>
  <c r="E662"/>
  <c r="F662"/>
  <c r="H662" s="1"/>
  <c r="G662"/>
  <c r="I662"/>
  <c r="E663"/>
  <c r="F663"/>
  <c r="H663" s="1"/>
  <c r="G663"/>
  <c r="I663"/>
  <c r="E664"/>
  <c r="F664"/>
  <c r="G664"/>
  <c r="H664"/>
  <c r="I664"/>
  <c r="E665"/>
  <c r="F665"/>
  <c r="H665" s="1"/>
  <c r="G665"/>
  <c r="I665"/>
  <c r="E666"/>
  <c r="F666"/>
  <c r="H666" s="1"/>
  <c r="G666"/>
  <c r="I666"/>
  <c r="E667"/>
  <c r="F667"/>
  <c r="G667"/>
  <c r="H667"/>
  <c r="I667"/>
  <c r="E668"/>
  <c r="F668"/>
  <c r="H668" s="1"/>
  <c r="G668"/>
  <c r="I668"/>
  <c r="E669"/>
  <c r="F669"/>
  <c r="H669" s="1"/>
  <c r="G669"/>
  <c r="I669"/>
  <c r="E670"/>
  <c r="F670"/>
  <c r="G670"/>
  <c r="H670"/>
  <c r="I670"/>
  <c r="E671"/>
  <c r="F671"/>
  <c r="H671" s="1"/>
  <c r="G671"/>
  <c r="I671"/>
  <c r="E672"/>
  <c r="F672"/>
  <c r="H672" s="1"/>
  <c r="G672"/>
  <c r="I672"/>
  <c r="E673"/>
  <c r="F673"/>
  <c r="G673"/>
  <c r="H673"/>
  <c r="I673"/>
  <c r="E674"/>
  <c r="F674"/>
  <c r="H674" s="1"/>
  <c r="G674"/>
  <c r="I674"/>
  <c r="E675"/>
  <c r="F675"/>
  <c r="H675" s="1"/>
  <c r="G675"/>
  <c r="I675"/>
  <c r="E676"/>
  <c r="F676"/>
  <c r="G676"/>
  <c r="H676"/>
  <c r="I676"/>
  <c r="E677"/>
  <c r="F677"/>
  <c r="H677" s="1"/>
  <c r="G677"/>
  <c r="I677"/>
  <c r="E678"/>
  <c r="F678"/>
  <c r="H678" s="1"/>
  <c r="G678"/>
  <c r="I678"/>
  <c r="E679"/>
  <c r="F679"/>
  <c r="G679"/>
  <c r="H679"/>
  <c r="I679"/>
  <c r="E680"/>
  <c r="F680"/>
  <c r="H680" s="1"/>
  <c r="G680"/>
  <c r="I680"/>
  <c r="E681"/>
  <c r="F681"/>
  <c r="H681" s="1"/>
  <c r="G681"/>
  <c r="I681"/>
  <c r="E682"/>
  <c r="F682"/>
  <c r="G682"/>
  <c r="H682"/>
  <c r="I682"/>
  <c r="E683"/>
  <c r="F683"/>
  <c r="H683" s="1"/>
  <c r="G683"/>
  <c r="I683"/>
  <c r="E684"/>
  <c r="F684"/>
  <c r="H684" s="1"/>
  <c r="G684"/>
  <c r="I684"/>
  <c r="E685"/>
  <c r="F685"/>
  <c r="G685"/>
  <c r="H685"/>
  <c r="I685"/>
  <c r="E686"/>
  <c r="F686"/>
  <c r="H686" s="1"/>
  <c r="G686"/>
  <c r="I686"/>
  <c r="E687"/>
  <c r="F687"/>
  <c r="H687" s="1"/>
  <c r="G687"/>
  <c r="I687"/>
  <c r="E688"/>
  <c r="F688"/>
  <c r="G688"/>
  <c r="H688"/>
  <c r="I688"/>
  <c r="E689"/>
  <c r="F689"/>
  <c r="H689" s="1"/>
  <c r="G689"/>
  <c r="I689"/>
  <c r="E690"/>
  <c r="F690"/>
  <c r="H690" s="1"/>
  <c r="G690"/>
  <c r="I690"/>
  <c r="E691"/>
  <c r="F691"/>
  <c r="G691"/>
  <c r="H691"/>
  <c r="I691"/>
  <c r="E692"/>
  <c r="F692"/>
  <c r="H692" s="1"/>
  <c r="G692"/>
  <c r="I692"/>
  <c r="E693"/>
  <c r="F693"/>
  <c r="H693" s="1"/>
  <c r="G693"/>
  <c r="I693"/>
  <c r="E694"/>
  <c r="F694"/>
  <c r="G694"/>
  <c r="H694"/>
  <c r="I694"/>
  <c r="E695"/>
  <c r="F695"/>
  <c r="H695" s="1"/>
  <c r="G695"/>
  <c r="I695"/>
  <c r="E696"/>
  <c r="F696"/>
  <c r="H696" s="1"/>
  <c r="G696"/>
  <c r="I696"/>
  <c r="E697"/>
  <c r="F697"/>
  <c r="G697"/>
  <c r="H697"/>
  <c r="I697"/>
  <c r="E698"/>
  <c r="F698"/>
  <c r="H698" s="1"/>
  <c r="G698"/>
  <c r="I698"/>
  <c r="E699"/>
  <c r="F699"/>
  <c r="H699" s="1"/>
  <c r="G699"/>
  <c r="I699"/>
  <c r="E700"/>
  <c r="F700"/>
  <c r="G700"/>
  <c r="H700"/>
  <c r="I700"/>
  <c r="E701"/>
  <c r="F701"/>
  <c r="H701" s="1"/>
  <c r="G701"/>
  <c r="I701"/>
  <c r="E702"/>
  <c r="F702"/>
  <c r="H702" s="1"/>
  <c r="G702"/>
  <c r="I702"/>
  <c r="E703"/>
  <c r="F703"/>
  <c r="G703"/>
  <c r="H703"/>
  <c r="I703"/>
  <c r="E704"/>
  <c r="F704"/>
  <c r="H704" s="1"/>
  <c r="G704"/>
  <c r="I704"/>
  <c r="E705"/>
  <c r="F705"/>
  <c r="H705" s="1"/>
  <c r="G705"/>
  <c r="I705"/>
  <c r="E706"/>
  <c r="F706"/>
  <c r="G706"/>
  <c r="H706"/>
  <c r="I706"/>
  <c r="E707"/>
  <c r="F707"/>
  <c r="H707" s="1"/>
  <c r="G707"/>
  <c r="I707"/>
  <c r="E708"/>
  <c r="F708"/>
  <c r="H708" s="1"/>
  <c r="G708"/>
  <c r="I708"/>
  <c r="E709"/>
  <c r="F709"/>
  <c r="G709"/>
  <c r="H709"/>
  <c r="I709"/>
  <c r="E710"/>
  <c r="F710"/>
  <c r="H710" s="1"/>
  <c r="G710"/>
  <c r="I710"/>
  <c r="E711"/>
  <c r="F711"/>
  <c r="H711" s="1"/>
  <c r="G711"/>
  <c r="I711"/>
  <c r="E712"/>
  <c r="F712"/>
  <c r="G712"/>
  <c r="H712"/>
  <c r="I712"/>
  <c r="E713"/>
  <c r="F713"/>
  <c r="H713" s="1"/>
  <c r="G713"/>
  <c r="I713"/>
  <c r="E714"/>
  <c r="F714"/>
  <c r="H714" s="1"/>
  <c r="G714"/>
  <c r="I714"/>
  <c r="E715"/>
  <c r="F715"/>
  <c r="G715"/>
  <c r="H715"/>
  <c r="I715"/>
  <c r="E716"/>
  <c r="F716"/>
  <c r="H716" s="1"/>
  <c r="G716"/>
  <c r="I716"/>
  <c r="E717"/>
  <c r="F717"/>
  <c r="H717" s="1"/>
  <c r="G717"/>
  <c r="I717"/>
  <c r="E718"/>
  <c r="F718"/>
  <c r="G718"/>
  <c r="H718"/>
  <c r="I718"/>
  <c r="E719"/>
  <c r="F719"/>
  <c r="H719" s="1"/>
  <c r="G719"/>
  <c r="I719"/>
  <c r="E720"/>
  <c r="F720"/>
  <c r="H720" s="1"/>
  <c r="G720"/>
  <c r="I720"/>
  <c r="E721"/>
  <c r="F721"/>
  <c r="G721"/>
  <c r="H721"/>
  <c r="I721"/>
  <c r="E722"/>
  <c r="F722"/>
  <c r="H722" s="1"/>
  <c r="G722"/>
  <c r="I722"/>
  <c r="E723"/>
  <c r="F723"/>
  <c r="H723" s="1"/>
  <c r="G723"/>
  <c r="I723"/>
  <c r="E724"/>
  <c r="F724"/>
  <c r="G724"/>
  <c r="H724"/>
  <c r="I724"/>
  <c r="E725"/>
  <c r="F725"/>
  <c r="H725" s="1"/>
  <c r="G725"/>
  <c r="I725"/>
  <c r="E726"/>
  <c r="F726"/>
  <c r="H726" s="1"/>
  <c r="G726"/>
  <c r="I726"/>
  <c r="E727"/>
  <c r="F727"/>
  <c r="G727"/>
  <c r="H727"/>
  <c r="I727"/>
  <c r="E728"/>
  <c r="F728"/>
  <c r="H728" s="1"/>
  <c r="G728"/>
  <c r="I728"/>
  <c r="E729"/>
  <c r="F729"/>
  <c r="H729" s="1"/>
  <c r="G729"/>
  <c r="I729"/>
  <c r="E730"/>
  <c r="F730"/>
  <c r="G730"/>
  <c r="H730"/>
  <c r="I730"/>
  <c r="E731"/>
  <c r="F731"/>
  <c r="H731" s="1"/>
  <c r="G731"/>
  <c r="I731"/>
  <c r="E732"/>
  <c r="F732"/>
  <c r="H732" s="1"/>
  <c r="G732"/>
  <c r="I732"/>
  <c r="E733"/>
  <c r="F733"/>
  <c r="G733"/>
  <c r="H733"/>
  <c r="I733"/>
  <c r="E734"/>
  <c r="F734"/>
  <c r="H734" s="1"/>
  <c r="G734"/>
  <c r="I734"/>
  <c r="E735"/>
  <c r="F735"/>
  <c r="H735" s="1"/>
  <c r="G735"/>
  <c r="I735"/>
  <c r="E736"/>
  <c r="F736"/>
  <c r="G736"/>
  <c r="H736"/>
  <c r="I736"/>
  <c r="E737"/>
  <c r="F737"/>
  <c r="H737" s="1"/>
  <c r="G737"/>
  <c r="I737"/>
  <c r="E738"/>
  <c r="F738"/>
  <c r="H738" s="1"/>
  <c r="G738"/>
  <c r="I738"/>
  <c r="E739"/>
  <c r="F739"/>
  <c r="G739"/>
  <c r="H739"/>
  <c r="I739"/>
  <c r="E740"/>
  <c r="F740"/>
  <c r="H740" s="1"/>
  <c r="G740"/>
  <c r="I740"/>
  <c r="E741"/>
  <c r="F741"/>
  <c r="H741" s="1"/>
  <c r="G741"/>
  <c r="I741"/>
  <c r="E742"/>
  <c r="F742"/>
  <c r="G742"/>
  <c r="H742"/>
  <c r="I742"/>
  <c r="E743"/>
  <c r="F743"/>
  <c r="H743" s="1"/>
  <c r="G743"/>
  <c r="I743"/>
  <c r="E744"/>
  <c r="F744"/>
  <c r="H744" s="1"/>
  <c r="G744"/>
  <c r="I744"/>
  <c r="E745"/>
  <c r="F745"/>
  <c r="G745"/>
  <c r="H745"/>
  <c r="I745"/>
  <c r="E746"/>
  <c r="F746"/>
  <c r="H746" s="1"/>
  <c r="G746"/>
  <c r="I746"/>
  <c r="E747"/>
  <c r="F747"/>
  <c r="H747" s="1"/>
  <c r="G747"/>
  <c r="I747"/>
  <c r="E748"/>
  <c r="F748"/>
  <c r="G748"/>
  <c r="H748"/>
  <c r="I748"/>
  <c r="E749"/>
  <c r="F749"/>
  <c r="H749" s="1"/>
  <c r="G749"/>
  <c r="I749"/>
  <c r="E750"/>
  <c r="F750"/>
  <c r="H750" s="1"/>
  <c r="G750"/>
  <c r="I750"/>
  <c r="E751"/>
  <c r="F751"/>
  <c r="G751"/>
  <c r="H751"/>
  <c r="I751"/>
  <c r="E752"/>
  <c r="F752"/>
  <c r="H752" s="1"/>
  <c r="G752"/>
  <c r="I752"/>
  <c r="E753"/>
  <c r="F753"/>
  <c r="H753" s="1"/>
  <c r="G753"/>
  <c r="I753"/>
  <c r="E754"/>
  <c r="F754"/>
  <c r="G754"/>
  <c r="H754"/>
  <c r="I754"/>
  <c r="E755"/>
  <c r="F755"/>
  <c r="H755" s="1"/>
  <c r="G755"/>
  <c r="I755"/>
  <c r="E756"/>
  <c r="F756"/>
  <c r="H756" s="1"/>
  <c r="G756"/>
  <c r="I756"/>
  <c r="E757"/>
  <c r="F757"/>
  <c r="G757"/>
  <c r="H757"/>
  <c r="I757"/>
  <c r="E758"/>
  <c r="F758"/>
  <c r="H758" s="1"/>
  <c r="G758"/>
  <c r="I758"/>
  <c r="E759"/>
  <c r="F759"/>
  <c r="H759" s="1"/>
  <c r="G759"/>
  <c r="I759"/>
  <c r="E760"/>
  <c r="F760"/>
  <c r="G760"/>
  <c r="H760"/>
  <c r="I760"/>
  <c r="E761"/>
  <c r="F761"/>
  <c r="H761" s="1"/>
  <c r="G761"/>
  <c r="I761"/>
  <c r="E762"/>
  <c r="F762"/>
  <c r="H762" s="1"/>
  <c r="G762"/>
  <c r="I762"/>
  <c r="E763"/>
  <c r="F763"/>
  <c r="G763"/>
  <c r="H763"/>
  <c r="I763"/>
  <c r="E764"/>
  <c r="F764"/>
  <c r="H764" s="1"/>
  <c r="G764"/>
  <c r="I764"/>
  <c r="E765"/>
  <c r="F765"/>
  <c r="H765" s="1"/>
  <c r="G765"/>
  <c r="I765"/>
  <c r="E766"/>
  <c r="F766"/>
  <c r="G766"/>
  <c r="H766"/>
  <c r="I766"/>
  <c r="E767"/>
  <c r="F767"/>
  <c r="H767" s="1"/>
  <c r="G767"/>
  <c r="I767"/>
  <c r="E768"/>
  <c r="F768"/>
  <c r="H768" s="1"/>
  <c r="G768"/>
  <c r="I768"/>
  <c r="E769"/>
  <c r="F769"/>
  <c r="G769"/>
  <c r="H769"/>
  <c r="I769"/>
  <c r="E770"/>
  <c r="F770"/>
  <c r="H770" s="1"/>
  <c r="G770"/>
  <c r="I770"/>
  <c r="E771"/>
  <c r="F771"/>
  <c r="H771" s="1"/>
  <c r="G771"/>
  <c r="I771"/>
  <c r="E772"/>
  <c r="F772"/>
  <c r="G772"/>
  <c r="H772"/>
  <c r="I772"/>
  <c r="E773"/>
  <c r="F773"/>
  <c r="H773" s="1"/>
  <c r="G773"/>
  <c r="I773"/>
  <c r="E774"/>
  <c r="F774"/>
  <c r="H774" s="1"/>
  <c r="G774"/>
  <c r="I774"/>
  <c r="E775"/>
  <c r="F775"/>
  <c r="G775"/>
  <c r="H775"/>
  <c r="I775"/>
  <c r="E776"/>
  <c r="F776"/>
  <c r="H776" s="1"/>
  <c r="G776"/>
  <c r="I776"/>
  <c r="E777"/>
  <c r="F777"/>
  <c r="H777" s="1"/>
  <c r="G777"/>
  <c r="I777"/>
  <c r="E778"/>
  <c r="F778"/>
  <c r="G778"/>
  <c r="H778"/>
  <c r="I778"/>
  <c r="E779"/>
  <c r="F779"/>
  <c r="H779" s="1"/>
  <c r="G779"/>
  <c r="I779"/>
  <c r="E780"/>
  <c r="F780"/>
  <c r="H780" s="1"/>
  <c r="G780"/>
  <c r="I780"/>
  <c r="E781"/>
  <c r="F781"/>
  <c r="G781"/>
  <c r="H781"/>
  <c r="I781"/>
  <c r="E782"/>
  <c r="F782"/>
  <c r="H782" s="1"/>
  <c r="G782"/>
  <c r="I782"/>
  <c r="E783"/>
  <c r="F783"/>
  <c r="H783" s="1"/>
  <c r="G783"/>
  <c r="I783"/>
  <c r="E784"/>
  <c r="F784"/>
  <c r="G784"/>
  <c r="H784"/>
  <c r="I784"/>
  <c r="E785"/>
  <c r="F785"/>
  <c r="H785" s="1"/>
  <c r="G785"/>
  <c r="I785"/>
  <c r="E786"/>
  <c r="F786"/>
  <c r="H786" s="1"/>
  <c r="G786"/>
  <c r="I786"/>
  <c r="E787"/>
  <c r="F787"/>
  <c r="G787"/>
  <c r="H787"/>
  <c r="I787"/>
  <c r="E788"/>
  <c r="F788"/>
  <c r="H788" s="1"/>
  <c r="G788"/>
  <c r="I788"/>
  <c r="E789"/>
  <c r="F789"/>
  <c r="H789" s="1"/>
  <c r="G789"/>
  <c r="I789"/>
  <c r="E790"/>
  <c r="F790"/>
  <c r="G790"/>
  <c r="H790"/>
  <c r="I790"/>
  <c r="E791"/>
  <c r="F791"/>
  <c r="H791" s="1"/>
  <c r="G791"/>
  <c r="I791"/>
  <c r="E792"/>
  <c r="F792"/>
  <c r="H792" s="1"/>
  <c r="G792"/>
  <c r="I792"/>
  <c r="E793"/>
  <c r="F793"/>
  <c r="G793"/>
  <c r="H793"/>
  <c r="I793"/>
  <c r="E794"/>
  <c r="F794"/>
  <c r="H794" s="1"/>
  <c r="G794"/>
  <c r="I794"/>
  <c r="E795"/>
  <c r="F795"/>
  <c r="H795" s="1"/>
  <c r="G795"/>
  <c r="I795"/>
  <c r="E796"/>
  <c r="F10" i="3" s="1"/>
  <c r="F796" i="29"/>
  <c r="G796"/>
  <c r="H796"/>
  <c r="I796"/>
  <c r="E797"/>
  <c r="F797"/>
  <c r="H797" s="1"/>
  <c r="G797"/>
  <c r="I797"/>
  <c r="E798"/>
  <c r="F798"/>
  <c r="H798" s="1"/>
  <c r="G798"/>
  <c r="I798"/>
  <c r="E799"/>
  <c r="F799"/>
  <c r="G799"/>
  <c r="H799"/>
  <c r="I799"/>
  <c r="E800"/>
  <c r="F800"/>
  <c r="H800" s="1"/>
  <c r="G800"/>
  <c r="I800"/>
  <c r="E801"/>
  <c r="F801"/>
  <c r="H801" s="1"/>
  <c r="G801"/>
  <c r="I801"/>
  <c r="E802"/>
  <c r="F802"/>
  <c r="G802"/>
  <c r="H802"/>
  <c r="I802"/>
  <c r="E803"/>
  <c r="F803"/>
  <c r="H803" s="1"/>
  <c r="G803"/>
  <c r="I803"/>
  <c r="E804"/>
  <c r="F804"/>
  <c r="H804" s="1"/>
  <c r="G804"/>
  <c r="I804"/>
  <c r="E805"/>
  <c r="F805"/>
  <c r="G805"/>
  <c r="H805"/>
  <c r="I805"/>
  <c r="E806"/>
  <c r="F806"/>
  <c r="H806" s="1"/>
  <c r="G806"/>
  <c r="I806"/>
  <c r="E807"/>
  <c r="F807"/>
  <c r="H807" s="1"/>
  <c r="G807"/>
  <c r="I807"/>
  <c r="E808"/>
  <c r="F808"/>
  <c r="G808"/>
  <c r="H808"/>
  <c r="I808"/>
  <c r="E809"/>
  <c r="F809"/>
  <c r="H809" s="1"/>
  <c r="G809"/>
  <c r="I809"/>
  <c r="E810"/>
  <c r="F810"/>
  <c r="H810" s="1"/>
  <c r="G810"/>
  <c r="I810"/>
  <c r="E811"/>
  <c r="F811"/>
  <c r="G811"/>
  <c r="H811"/>
  <c r="I811"/>
  <c r="E812"/>
  <c r="F812"/>
  <c r="H812" s="1"/>
  <c r="G812"/>
  <c r="I812"/>
  <c r="E813"/>
  <c r="F813"/>
  <c r="H813" s="1"/>
  <c r="G813"/>
  <c r="I813"/>
  <c r="E814"/>
  <c r="F814"/>
  <c r="G814"/>
  <c r="H814"/>
  <c r="I814"/>
  <c r="E815"/>
  <c r="F815"/>
  <c r="H815" s="1"/>
  <c r="G815"/>
  <c r="I815"/>
  <c r="E816"/>
  <c r="F816"/>
  <c r="H816" s="1"/>
  <c r="G816"/>
  <c r="I816"/>
  <c r="E817"/>
  <c r="F817"/>
  <c r="G817"/>
  <c r="H817"/>
  <c r="I817"/>
  <c r="E818"/>
  <c r="F818"/>
  <c r="H818" s="1"/>
  <c r="G818"/>
  <c r="I818"/>
  <c r="E819"/>
  <c r="F819"/>
  <c r="H819" s="1"/>
  <c r="G819"/>
  <c r="I819"/>
  <c r="E820"/>
  <c r="F820"/>
  <c r="G820"/>
  <c r="H820"/>
  <c r="I820"/>
  <c r="E821"/>
  <c r="F821"/>
  <c r="H821" s="1"/>
  <c r="G821"/>
  <c r="I821"/>
  <c r="E822"/>
  <c r="F822"/>
  <c r="H822" s="1"/>
  <c r="G822"/>
  <c r="I822"/>
  <c r="E823"/>
  <c r="F823"/>
  <c r="G823"/>
  <c r="H823"/>
  <c r="I823"/>
  <c r="E824"/>
  <c r="F824"/>
  <c r="G824"/>
  <c r="H824"/>
  <c r="I824"/>
  <c r="E825"/>
  <c r="F825"/>
  <c r="H825" s="1"/>
  <c r="G825"/>
  <c r="I825"/>
  <c r="E826"/>
  <c r="F826"/>
  <c r="G826"/>
  <c r="H826"/>
  <c r="I826"/>
  <c r="E827"/>
  <c r="F827"/>
  <c r="H827" s="1"/>
  <c r="G827"/>
  <c r="I827"/>
  <c r="E828"/>
  <c r="F828"/>
  <c r="H828" s="1"/>
  <c r="G828"/>
  <c r="I828"/>
  <c r="E829"/>
  <c r="F829"/>
  <c r="G829"/>
  <c r="H829"/>
  <c r="I829"/>
  <c r="E830"/>
  <c r="F830"/>
  <c r="G830"/>
  <c r="H830"/>
  <c r="I830"/>
  <c r="E831"/>
  <c r="F831"/>
  <c r="H831" s="1"/>
  <c r="G831"/>
  <c r="I831"/>
  <c r="E832"/>
  <c r="F832"/>
  <c r="G832"/>
  <c r="H832"/>
  <c r="I832"/>
  <c r="E833"/>
  <c r="F833"/>
  <c r="H833" s="1"/>
  <c r="G833"/>
  <c r="I833"/>
  <c r="E834"/>
  <c r="F834"/>
  <c r="H834" s="1"/>
  <c r="G834"/>
  <c r="I834"/>
  <c r="E835"/>
  <c r="F835"/>
  <c r="G835"/>
  <c r="H835"/>
  <c r="I835"/>
  <c r="E836"/>
  <c r="F836"/>
  <c r="G836"/>
  <c r="H836"/>
  <c r="I836"/>
  <c r="E837"/>
  <c r="F837"/>
  <c r="H837" s="1"/>
  <c r="G837"/>
  <c r="I837"/>
  <c r="E838"/>
  <c r="F838"/>
  <c r="G838"/>
  <c r="H838"/>
  <c r="I838"/>
  <c r="E839"/>
  <c r="F839"/>
  <c r="H839" s="1"/>
  <c r="G839"/>
  <c r="I839"/>
  <c r="E840"/>
  <c r="F840"/>
  <c r="H840" s="1"/>
  <c r="G840"/>
  <c r="I840"/>
  <c r="E841"/>
  <c r="F841"/>
  <c r="G841"/>
  <c r="H841"/>
  <c r="I841"/>
  <c r="E842"/>
  <c r="F842"/>
  <c r="G842"/>
  <c r="H842"/>
  <c r="I842"/>
  <c r="E843"/>
  <c r="F843"/>
  <c r="H843" s="1"/>
  <c r="G843"/>
  <c r="I843"/>
  <c r="E844"/>
  <c r="F844"/>
  <c r="G844"/>
  <c r="H844"/>
  <c r="I844"/>
  <c r="E845"/>
  <c r="F845"/>
  <c r="H845" s="1"/>
  <c r="G845"/>
  <c r="I845"/>
  <c r="E846"/>
  <c r="F846"/>
  <c r="H846" s="1"/>
  <c r="G846"/>
  <c r="I846"/>
  <c r="E847"/>
  <c r="F847"/>
  <c r="G847"/>
  <c r="H847"/>
  <c r="I847"/>
  <c r="E848"/>
  <c r="F848"/>
  <c r="G848"/>
  <c r="H848"/>
  <c r="I848"/>
  <c r="E849"/>
  <c r="F849"/>
  <c r="H849" s="1"/>
  <c r="G849"/>
  <c r="I849"/>
  <c r="E850"/>
  <c r="F850"/>
  <c r="G850"/>
  <c r="H850"/>
  <c r="I850"/>
  <c r="E851"/>
  <c r="F851"/>
  <c r="H851" s="1"/>
  <c r="G851"/>
  <c r="I851"/>
  <c r="E852"/>
  <c r="F852"/>
  <c r="H852" s="1"/>
  <c r="G852"/>
  <c r="I852"/>
  <c r="E853"/>
  <c r="F853"/>
  <c r="G853"/>
  <c r="H853"/>
  <c r="I853"/>
  <c r="E854"/>
  <c r="F854"/>
  <c r="G854"/>
  <c r="H854"/>
  <c r="I854"/>
  <c r="E855"/>
  <c r="F855"/>
  <c r="H855" s="1"/>
  <c r="G855"/>
  <c r="I855"/>
  <c r="E856"/>
  <c r="F856"/>
  <c r="H856" s="1"/>
  <c r="G856"/>
  <c r="I856"/>
  <c r="E857"/>
  <c r="F857"/>
  <c r="H857" s="1"/>
  <c r="G857"/>
  <c r="I857"/>
  <c r="E858"/>
  <c r="F858"/>
  <c r="H858" s="1"/>
  <c r="G858"/>
  <c r="I858"/>
  <c r="E859"/>
  <c r="F859"/>
  <c r="G859"/>
  <c r="H859"/>
  <c r="I859"/>
  <c r="E860"/>
  <c r="F860"/>
  <c r="G860"/>
  <c r="H860"/>
  <c r="I860"/>
  <c r="E861"/>
  <c r="F861"/>
  <c r="H861" s="1"/>
  <c r="G861"/>
  <c r="I861"/>
  <c r="E862"/>
  <c r="F862"/>
  <c r="H862" s="1"/>
  <c r="G862"/>
  <c r="I862"/>
  <c r="E863"/>
  <c r="F863"/>
  <c r="H863" s="1"/>
  <c r="G863"/>
  <c r="I863"/>
  <c r="E864"/>
  <c r="F864"/>
  <c r="H864" s="1"/>
  <c r="G864"/>
  <c r="I864"/>
  <c r="E865"/>
  <c r="F865"/>
  <c r="G865"/>
  <c r="H865"/>
  <c r="I865"/>
  <c r="E866"/>
  <c r="F866"/>
  <c r="G866"/>
  <c r="H866"/>
  <c r="I866"/>
  <c r="E867"/>
  <c r="F867"/>
  <c r="H867" s="1"/>
  <c r="G867"/>
  <c r="I867"/>
  <c r="E868"/>
  <c r="F868"/>
  <c r="H868" s="1"/>
  <c r="G868"/>
  <c r="I868"/>
  <c r="E869"/>
  <c r="F869"/>
  <c r="H869" s="1"/>
  <c r="G869"/>
  <c r="I869"/>
  <c r="E870"/>
  <c r="F870"/>
  <c r="H870" s="1"/>
  <c r="G870"/>
  <c r="I870"/>
  <c r="E871"/>
  <c r="F871"/>
  <c r="G871"/>
  <c r="H871"/>
  <c r="I871"/>
  <c r="E872"/>
  <c r="F872"/>
  <c r="G872"/>
  <c r="H872"/>
  <c r="I872"/>
  <c r="E873"/>
  <c r="F873"/>
  <c r="H873" s="1"/>
  <c r="G873"/>
  <c r="I873"/>
  <c r="E874"/>
  <c r="F874"/>
  <c r="H874" s="1"/>
  <c r="G874"/>
  <c r="I874"/>
  <c r="E875"/>
  <c r="F875"/>
  <c r="H875" s="1"/>
  <c r="G875"/>
  <c r="I875"/>
  <c r="E876"/>
  <c r="F876"/>
  <c r="H876" s="1"/>
  <c r="G876"/>
  <c r="I876"/>
  <c r="E877"/>
  <c r="F877"/>
  <c r="G877"/>
  <c r="H877"/>
  <c r="I877"/>
  <c r="E878"/>
  <c r="F878"/>
  <c r="G878"/>
  <c r="H878"/>
  <c r="I878"/>
  <c r="E879"/>
  <c r="F879"/>
  <c r="H879" s="1"/>
  <c r="G879"/>
  <c r="I879"/>
  <c r="E880"/>
  <c r="F880"/>
  <c r="H880" s="1"/>
  <c r="G880"/>
  <c r="I880"/>
  <c r="E881"/>
  <c r="F881"/>
  <c r="H881" s="1"/>
  <c r="G881"/>
  <c r="I881"/>
  <c r="E882"/>
  <c r="F882"/>
  <c r="H882" s="1"/>
  <c r="G882"/>
  <c r="I882"/>
  <c r="E883"/>
  <c r="F883"/>
  <c r="G883"/>
  <c r="H883"/>
  <c r="I883"/>
  <c r="E884"/>
  <c r="F884"/>
  <c r="G884"/>
  <c r="H884"/>
  <c r="I884"/>
  <c r="E885"/>
  <c r="F885"/>
  <c r="H885" s="1"/>
  <c r="G885"/>
  <c r="I885"/>
  <c r="E886"/>
  <c r="F886"/>
  <c r="H886" s="1"/>
  <c r="G886"/>
  <c r="I886"/>
  <c r="E887"/>
  <c r="F887"/>
  <c r="H887" s="1"/>
  <c r="G887"/>
  <c r="I887"/>
  <c r="E888"/>
  <c r="F888"/>
  <c r="H888" s="1"/>
  <c r="G888"/>
  <c r="I888"/>
  <c r="E889"/>
  <c r="F889"/>
  <c r="G889"/>
  <c r="H889"/>
  <c r="I889"/>
  <c r="E890"/>
  <c r="F890"/>
  <c r="G890"/>
  <c r="H890"/>
  <c r="I890"/>
  <c r="E891"/>
  <c r="F891"/>
  <c r="H891" s="1"/>
  <c r="G891"/>
  <c r="I891"/>
  <c r="E892"/>
  <c r="F892"/>
  <c r="H892" s="1"/>
  <c r="G892"/>
  <c r="I892"/>
  <c r="E893"/>
  <c r="F893"/>
  <c r="H893" s="1"/>
  <c r="G893"/>
  <c r="I893"/>
  <c r="E894"/>
  <c r="F894"/>
  <c r="H894" s="1"/>
  <c r="G894"/>
  <c r="I894"/>
  <c r="E895"/>
  <c r="F895"/>
  <c r="G895"/>
  <c r="H895"/>
  <c r="I895"/>
  <c r="E896"/>
  <c r="F896"/>
  <c r="G896"/>
  <c r="H896"/>
  <c r="I896"/>
  <c r="E897"/>
  <c r="F897"/>
  <c r="H897" s="1"/>
  <c r="G897"/>
  <c r="I897"/>
  <c r="E898"/>
  <c r="F898"/>
  <c r="H898" s="1"/>
  <c r="G898"/>
  <c r="I898"/>
  <c r="E899"/>
  <c r="F899"/>
  <c r="H899" s="1"/>
  <c r="G899"/>
  <c r="I899"/>
  <c r="E900"/>
  <c r="F900"/>
  <c r="H900" s="1"/>
  <c r="G900"/>
  <c r="I900"/>
  <c r="E901"/>
  <c r="F901"/>
  <c r="G901"/>
  <c r="H901"/>
  <c r="I901"/>
  <c r="E902"/>
  <c r="F902"/>
  <c r="G902"/>
  <c r="H902"/>
  <c r="I90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3"/>
  <c r="I18" i="3"/>
  <c r="F18"/>
  <c r="I902" i="30"/>
  <c r="G902"/>
  <c r="F902"/>
  <c r="H902" s="1"/>
  <c r="E902"/>
  <c r="I901"/>
  <c r="G901"/>
  <c r="F901"/>
  <c r="H901" s="1"/>
  <c r="E901"/>
  <c r="I900"/>
  <c r="G900"/>
  <c r="F900"/>
  <c r="H900" s="1"/>
  <c r="E900"/>
  <c r="I899"/>
  <c r="H899"/>
  <c r="G899"/>
  <c r="F899"/>
  <c r="E899"/>
  <c r="I898"/>
  <c r="G898"/>
  <c r="F898"/>
  <c r="H898" s="1"/>
  <c r="E898"/>
  <c r="I897"/>
  <c r="H897"/>
  <c r="G897"/>
  <c r="F897"/>
  <c r="E897"/>
  <c r="I896"/>
  <c r="G896"/>
  <c r="F896"/>
  <c r="H896" s="1"/>
  <c r="E896"/>
  <c r="I895"/>
  <c r="H895"/>
  <c r="G895"/>
  <c r="F895"/>
  <c r="E895"/>
  <c r="I894"/>
  <c r="G894"/>
  <c r="F894"/>
  <c r="H894" s="1"/>
  <c r="E894"/>
  <c r="I893"/>
  <c r="H893"/>
  <c r="G893"/>
  <c r="F893"/>
  <c r="E893"/>
  <c r="I892"/>
  <c r="G892"/>
  <c r="F892"/>
  <c r="H892" s="1"/>
  <c r="E892"/>
  <c r="I891"/>
  <c r="G891"/>
  <c r="F891"/>
  <c r="H891" s="1"/>
  <c r="E891"/>
  <c r="I890"/>
  <c r="G890"/>
  <c r="F890"/>
  <c r="H890" s="1"/>
  <c r="E890"/>
  <c r="I889"/>
  <c r="H889"/>
  <c r="G889"/>
  <c r="F889"/>
  <c r="E889"/>
  <c r="I888"/>
  <c r="G888"/>
  <c r="F888"/>
  <c r="H888" s="1"/>
  <c r="E888"/>
  <c r="I887"/>
  <c r="G887"/>
  <c r="F887"/>
  <c r="H887" s="1"/>
  <c r="E887"/>
  <c r="I886"/>
  <c r="G886"/>
  <c r="F886"/>
  <c r="H886" s="1"/>
  <c r="E886"/>
  <c r="I885"/>
  <c r="G885"/>
  <c r="F885"/>
  <c r="H885" s="1"/>
  <c r="E885"/>
  <c r="I884"/>
  <c r="G884"/>
  <c r="F884"/>
  <c r="H884" s="1"/>
  <c r="E884"/>
  <c r="I883"/>
  <c r="G883"/>
  <c r="F883"/>
  <c r="H883" s="1"/>
  <c r="E883"/>
  <c r="I882"/>
  <c r="G882"/>
  <c r="F882"/>
  <c r="H882" s="1"/>
  <c r="E882"/>
  <c r="I881"/>
  <c r="H881"/>
  <c r="G881"/>
  <c r="F881"/>
  <c r="E881"/>
  <c r="I880"/>
  <c r="G880"/>
  <c r="F880"/>
  <c r="H880" s="1"/>
  <c r="E880"/>
  <c r="I879"/>
  <c r="G879"/>
  <c r="F879"/>
  <c r="H879" s="1"/>
  <c r="E879"/>
  <c r="I878"/>
  <c r="G878"/>
  <c r="F878"/>
  <c r="H878" s="1"/>
  <c r="E878"/>
  <c r="I877"/>
  <c r="G877"/>
  <c r="F877"/>
  <c r="H877" s="1"/>
  <c r="E877"/>
  <c r="I876"/>
  <c r="G876"/>
  <c r="F876"/>
  <c r="H876" s="1"/>
  <c r="E876"/>
  <c r="I875"/>
  <c r="G875"/>
  <c r="F875"/>
  <c r="H875" s="1"/>
  <c r="E875"/>
  <c r="I874"/>
  <c r="G874"/>
  <c r="F874"/>
  <c r="H874" s="1"/>
  <c r="E874"/>
  <c r="I873"/>
  <c r="H873"/>
  <c r="G873"/>
  <c r="F873"/>
  <c r="E873"/>
  <c r="I872"/>
  <c r="G872"/>
  <c r="F872"/>
  <c r="H872" s="1"/>
  <c r="E872"/>
  <c r="I871"/>
  <c r="G871"/>
  <c r="F871"/>
  <c r="H871" s="1"/>
  <c r="E871"/>
  <c r="I870"/>
  <c r="G870"/>
  <c r="F870"/>
  <c r="H870" s="1"/>
  <c r="E870"/>
  <c r="I869"/>
  <c r="H869"/>
  <c r="G869"/>
  <c r="F869"/>
  <c r="E869"/>
  <c r="I868"/>
  <c r="G868"/>
  <c r="F868"/>
  <c r="H868" s="1"/>
  <c r="E868"/>
  <c r="I867"/>
  <c r="G867"/>
  <c r="F867"/>
  <c r="H867" s="1"/>
  <c r="E867"/>
  <c r="I866"/>
  <c r="G866"/>
  <c r="F866"/>
  <c r="H866" s="1"/>
  <c r="E866"/>
  <c r="I865"/>
  <c r="G865"/>
  <c r="F865"/>
  <c r="H865" s="1"/>
  <c r="E865"/>
  <c r="I864"/>
  <c r="G864"/>
  <c r="F864"/>
  <c r="H864" s="1"/>
  <c r="E864"/>
  <c r="I863"/>
  <c r="G863"/>
  <c r="F863"/>
  <c r="H863" s="1"/>
  <c r="E863"/>
  <c r="I862"/>
  <c r="G862"/>
  <c r="F862"/>
  <c r="H862" s="1"/>
  <c r="E862"/>
  <c r="I861"/>
  <c r="G861"/>
  <c r="F861"/>
  <c r="H861" s="1"/>
  <c r="E861"/>
  <c r="I860"/>
  <c r="G860"/>
  <c r="F860"/>
  <c r="H860" s="1"/>
  <c r="E860"/>
  <c r="I859"/>
  <c r="G859"/>
  <c r="F859"/>
  <c r="H859" s="1"/>
  <c r="E859"/>
  <c r="I858"/>
  <c r="H858"/>
  <c r="G858"/>
  <c r="F858"/>
  <c r="E858"/>
  <c r="I857"/>
  <c r="G857"/>
  <c r="F857"/>
  <c r="H857" s="1"/>
  <c r="E857"/>
  <c r="I856"/>
  <c r="G856"/>
  <c r="F856"/>
  <c r="H856" s="1"/>
  <c r="E856"/>
  <c r="I855"/>
  <c r="G855"/>
  <c r="F855"/>
  <c r="H855" s="1"/>
  <c r="E855"/>
  <c r="I854"/>
  <c r="G854"/>
  <c r="F854"/>
  <c r="H854" s="1"/>
  <c r="E854"/>
  <c r="I853"/>
  <c r="G853"/>
  <c r="F853"/>
  <c r="H853" s="1"/>
  <c r="E853"/>
  <c r="I852"/>
  <c r="G852"/>
  <c r="F852"/>
  <c r="H852" s="1"/>
  <c r="E852"/>
  <c r="I851"/>
  <c r="G851"/>
  <c r="F851"/>
  <c r="H851" s="1"/>
  <c r="E851"/>
  <c r="I850"/>
  <c r="G850"/>
  <c r="F850"/>
  <c r="H850" s="1"/>
  <c r="E850"/>
  <c r="I849"/>
  <c r="H849"/>
  <c r="G849"/>
  <c r="F849"/>
  <c r="E849"/>
  <c r="I848"/>
  <c r="G848"/>
  <c r="F848"/>
  <c r="H848" s="1"/>
  <c r="E848"/>
  <c r="I847"/>
  <c r="G847"/>
  <c r="F847"/>
  <c r="H847" s="1"/>
  <c r="E847"/>
  <c r="I846"/>
  <c r="G846"/>
  <c r="F846"/>
  <c r="H846" s="1"/>
  <c r="E846"/>
  <c r="I845"/>
  <c r="G845"/>
  <c r="F845"/>
  <c r="H845" s="1"/>
  <c r="E845"/>
  <c r="I844"/>
  <c r="G844"/>
  <c r="F844"/>
  <c r="H844" s="1"/>
  <c r="E844"/>
  <c r="I843"/>
  <c r="H843"/>
  <c r="G843"/>
  <c r="F843"/>
  <c r="E843"/>
  <c r="I842"/>
  <c r="G842"/>
  <c r="F842"/>
  <c r="H842" s="1"/>
  <c r="E842"/>
  <c r="I841"/>
  <c r="G841"/>
  <c r="F841"/>
  <c r="H841" s="1"/>
  <c r="E841"/>
  <c r="I840"/>
  <c r="H840"/>
  <c r="G840"/>
  <c r="F840"/>
  <c r="E840"/>
  <c r="I839"/>
  <c r="G839"/>
  <c r="F839"/>
  <c r="H839" s="1"/>
  <c r="E839"/>
  <c r="I838"/>
  <c r="G838"/>
  <c r="F838"/>
  <c r="H838" s="1"/>
  <c r="E838"/>
  <c r="I837"/>
  <c r="G837"/>
  <c r="F837"/>
  <c r="H837" s="1"/>
  <c r="E837"/>
  <c r="I836"/>
  <c r="G836"/>
  <c r="F836"/>
  <c r="H836" s="1"/>
  <c r="E836"/>
  <c r="I835"/>
  <c r="G835"/>
  <c r="F835"/>
  <c r="H835" s="1"/>
  <c r="E835"/>
  <c r="I834"/>
  <c r="G834"/>
  <c r="F834"/>
  <c r="H834" s="1"/>
  <c r="E834"/>
  <c r="I833"/>
  <c r="G833"/>
  <c r="F833"/>
  <c r="H833" s="1"/>
  <c r="E833"/>
  <c r="I832"/>
  <c r="G832"/>
  <c r="F832"/>
  <c r="H832" s="1"/>
  <c r="E832"/>
  <c r="I831"/>
  <c r="H831"/>
  <c r="G831"/>
  <c r="F831"/>
  <c r="E831"/>
  <c r="I830"/>
  <c r="G830"/>
  <c r="F830"/>
  <c r="H830" s="1"/>
  <c r="E830"/>
  <c r="I829"/>
  <c r="G829"/>
  <c r="F829"/>
  <c r="H829" s="1"/>
  <c r="E829"/>
  <c r="I828"/>
  <c r="H828"/>
  <c r="G828"/>
  <c r="F828"/>
  <c r="E828"/>
  <c r="I827"/>
  <c r="G827"/>
  <c r="F827"/>
  <c r="H827" s="1"/>
  <c r="E827"/>
  <c r="I826"/>
  <c r="G826"/>
  <c r="F826"/>
  <c r="H826" s="1"/>
  <c r="E826"/>
  <c r="I825"/>
  <c r="H825"/>
  <c r="G825"/>
  <c r="F825"/>
  <c r="E825"/>
  <c r="I824"/>
  <c r="G824"/>
  <c r="F824"/>
  <c r="H824" s="1"/>
  <c r="E824"/>
  <c r="I823"/>
  <c r="G823"/>
  <c r="F823"/>
  <c r="H823" s="1"/>
  <c r="E823"/>
  <c r="I822"/>
  <c r="H822"/>
  <c r="G822"/>
  <c r="F822"/>
  <c r="E822"/>
  <c r="I821"/>
  <c r="G821"/>
  <c r="F821"/>
  <c r="H821" s="1"/>
  <c r="E821"/>
  <c r="I820"/>
  <c r="G820"/>
  <c r="F820"/>
  <c r="H820" s="1"/>
  <c r="E820"/>
  <c r="I819"/>
  <c r="G819"/>
  <c r="F819"/>
  <c r="H819" s="1"/>
  <c r="E819"/>
  <c r="I818"/>
  <c r="G818"/>
  <c r="F818"/>
  <c r="H818" s="1"/>
  <c r="E818"/>
  <c r="I817"/>
  <c r="G817"/>
  <c r="F817"/>
  <c r="H817" s="1"/>
  <c r="E817"/>
  <c r="I816"/>
  <c r="G816"/>
  <c r="F816"/>
  <c r="H816" s="1"/>
  <c r="E816"/>
  <c r="I815"/>
  <c r="G815"/>
  <c r="F815"/>
  <c r="H815" s="1"/>
  <c r="E815"/>
  <c r="I814"/>
  <c r="G814"/>
  <c r="F814"/>
  <c r="H814" s="1"/>
  <c r="E814"/>
  <c r="I813"/>
  <c r="H813"/>
  <c r="G813"/>
  <c r="F813"/>
  <c r="E813"/>
  <c r="I812"/>
  <c r="G812"/>
  <c r="F812"/>
  <c r="H812" s="1"/>
  <c r="E812"/>
  <c r="I811"/>
  <c r="G811"/>
  <c r="F811"/>
  <c r="H811" s="1"/>
  <c r="E811"/>
  <c r="I810"/>
  <c r="H810"/>
  <c r="G810"/>
  <c r="F810"/>
  <c r="E810"/>
  <c r="I809"/>
  <c r="G809"/>
  <c r="F809"/>
  <c r="H809" s="1"/>
  <c r="E809"/>
  <c r="I808"/>
  <c r="G808"/>
  <c r="F808"/>
  <c r="H808" s="1"/>
  <c r="E808"/>
  <c r="I807"/>
  <c r="H807"/>
  <c r="G807"/>
  <c r="F807"/>
  <c r="E807"/>
  <c r="I806"/>
  <c r="G806"/>
  <c r="F806"/>
  <c r="H806" s="1"/>
  <c r="E806"/>
  <c r="I805"/>
  <c r="G805"/>
  <c r="F805"/>
  <c r="H805" s="1"/>
  <c r="E805"/>
  <c r="I804"/>
  <c r="H804"/>
  <c r="G804"/>
  <c r="F804"/>
  <c r="E804"/>
  <c r="I803"/>
  <c r="G803"/>
  <c r="F803"/>
  <c r="H803" s="1"/>
  <c r="E803"/>
  <c r="I802"/>
  <c r="G802"/>
  <c r="F802"/>
  <c r="H802" s="1"/>
  <c r="E802"/>
  <c r="I801"/>
  <c r="G801"/>
  <c r="F801"/>
  <c r="H801" s="1"/>
  <c r="E801"/>
  <c r="I800"/>
  <c r="G800"/>
  <c r="F800"/>
  <c r="H800" s="1"/>
  <c r="E800"/>
  <c r="I799"/>
  <c r="G799"/>
  <c r="F799"/>
  <c r="H799" s="1"/>
  <c r="E799"/>
  <c r="I798"/>
  <c r="G798"/>
  <c r="F798"/>
  <c r="H798" s="1"/>
  <c r="E798"/>
  <c r="I797"/>
  <c r="G797"/>
  <c r="F797"/>
  <c r="H797" s="1"/>
  <c r="E797"/>
  <c r="I796"/>
  <c r="G796"/>
  <c r="F796"/>
  <c r="H796" s="1"/>
  <c r="E796"/>
  <c r="I795"/>
  <c r="H795"/>
  <c r="G795"/>
  <c r="F795"/>
  <c r="E795"/>
  <c r="I794"/>
  <c r="G794"/>
  <c r="F794"/>
  <c r="H794" s="1"/>
  <c r="E794"/>
  <c r="I793"/>
  <c r="G793"/>
  <c r="F793"/>
  <c r="H793" s="1"/>
  <c r="E793"/>
  <c r="I792"/>
  <c r="H792"/>
  <c r="G792"/>
  <c r="F792"/>
  <c r="E792"/>
  <c r="I791"/>
  <c r="G791"/>
  <c r="F791"/>
  <c r="H791" s="1"/>
  <c r="E791"/>
  <c r="I790"/>
  <c r="G790"/>
  <c r="F790"/>
  <c r="H790" s="1"/>
  <c r="E790"/>
  <c r="I789"/>
  <c r="H789"/>
  <c r="G789"/>
  <c r="F789"/>
  <c r="E789"/>
  <c r="I788"/>
  <c r="G788"/>
  <c r="F788"/>
  <c r="H788" s="1"/>
  <c r="E788"/>
  <c r="I787"/>
  <c r="G787"/>
  <c r="F787"/>
  <c r="H787" s="1"/>
  <c r="E787"/>
  <c r="I786"/>
  <c r="H786"/>
  <c r="G786"/>
  <c r="F786"/>
  <c r="E786"/>
  <c r="I785"/>
  <c r="G785"/>
  <c r="F785"/>
  <c r="H785" s="1"/>
  <c r="E785"/>
  <c r="I784"/>
  <c r="G784"/>
  <c r="F784"/>
  <c r="H784" s="1"/>
  <c r="E784"/>
  <c r="I783"/>
  <c r="G783"/>
  <c r="F783"/>
  <c r="H783" s="1"/>
  <c r="E783"/>
  <c r="I782"/>
  <c r="G782"/>
  <c r="F782"/>
  <c r="H782" s="1"/>
  <c r="E782"/>
  <c r="I781"/>
  <c r="G781"/>
  <c r="F781"/>
  <c r="H781" s="1"/>
  <c r="E781"/>
  <c r="I780"/>
  <c r="G780"/>
  <c r="F780"/>
  <c r="H780" s="1"/>
  <c r="E780"/>
  <c r="I779"/>
  <c r="G779"/>
  <c r="F779"/>
  <c r="H779" s="1"/>
  <c r="E779"/>
  <c r="I778"/>
  <c r="G778"/>
  <c r="F778"/>
  <c r="H778" s="1"/>
  <c r="E778"/>
  <c r="I777"/>
  <c r="H777"/>
  <c r="G777"/>
  <c r="F777"/>
  <c r="E777"/>
  <c r="I776"/>
  <c r="G776"/>
  <c r="F776"/>
  <c r="H776" s="1"/>
  <c r="E776"/>
  <c r="I775"/>
  <c r="G775"/>
  <c r="F775"/>
  <c r="H775" s="1"/>
  <c r="E775"/>
  <c r="I774"/>
  <c r="H774"/>
  <c r="G774"/>
  <c r="F774"/>
  <c r="E774"/>
  <c r="I773"/>
  <c r="G773"/>
  <c r="F773"/>
  <c r="H773" s="1"/>
  <c r="E773"/>
  <c r="I772"/>
  <c r="G772"/>
  <c r="F772"/>
  <c r="H772" s="1"/>
  <c r="E772"/>
  <c r="I771"/>
  <c r="H771"/>
  <c r="G771"/>
  <c r="F771"/>
  <c r="E771"/>
  <c r="I770"/>
  <c r="G770"/>
  <c r="F770"/>
  <c r="H770" s="1"/>
  <c r="E770"/>
  <c r="I769"/>
  <c r="G769"/>
  <c r="F769"/>
  <c r="H769" s="1"/>
  <c r="E769"/>
  <c r="I768"/>
  <c r="H768"/>
  <c r="G768"/>
  <c r="F768"/>
  <c r="E768"/>
  <c r="I767"/>
  <c r="G767"/>
  <c r="F767"/>
  <c r="H767" s="1"/>
  <c r="E767"/>
  <c r="I766"/>
  <c r="G766"/>
  <c r="F766"/>
  <c r="H766" s="1"/>
  <c r="E766"/>
  <c r="I765"/>
  <c r="G765"/>
  <c r="F765"/>
  <c r="H765" s="1"/>
  <c r="E765"/>
  <c r="I764"/>
  <c r="G764"/>
  <c r="F764"/>
  <c r="H764" s="1"/>
  <c r="E764"/>
  <c r="I763"/>
  <c r="G763"/>
  <c r="F763"/>
  <c r="H763" s="1"/>
  <c r="E763"/>
  <c r="I762"/>
  <c r="G762"/>
  <c r="F762"/>
  <c r="H762" s="1"/>
  <c r="E762"/>
  <c r="I761"/>
  <c r="G761"/>
  <c r="F761"/>
  <c r="H761" s="1"/>
  <c r="E761"/>
  <c r="I760"/>
  <c r="G760"/>
  <c r="F760"/>
  <c r="H760" s="1"/>
  <c r="E760"/>
  <c r="I759"/>
  <c r="H759"/>
  <c r="G759"/>
  <c r="F759"/>
  <c r="E759"/>
  <c r="I758"/>
  <c r="G758"/>
  <c r="F758"/>
  <c r="H758" s="1"/>
  <c r="E758"/>
  <c r="I757"/>
  <c r="G757"/>
  <c r="F757"/>
  <c r="H757" s="1"/>
  <c r="E757"/>
  <c r="I756"/>
  <c r="H756"/>
  <c r="G756"/>
  <c r="F756"/>
  <c r="E756"/>
  <c r="I755"/>
  <c r="G755"/>
  <c r="F755"/>
  <c r="H755" s="1"/>
  <c r="E755"/>
  <c r="I754"/>
  <c r="G754"/>
  <c r="F754"/>
  <c r="H754" s="1"/>
  <c r="E754"/>
  <c r="I753"/>
  <c r="H753"/>
  <c r="G753"/>
  <c r="F753"/>
  <c r="E753"/>
  <c r="I752"/>
  <c r="G752"/>
  <c r="F752"/>
  <c r="H752" s="1"/>
  <c r="E752"/>
  <c r="I751"/>
  <c r="G751"/>
  <c r="F751"/>
  <c r="H751" s="1"/>
  <c r="E751"/>
  <c r="I750"/>
  <c r="H750"/>
  <c r="G750"/>
  <c r="F750"/>
  <c r="E750"/>
  <c r="I749"/>
  <c r="G749"/>
  <c r="F749"/>
  <c r="H749" s="1"/>
  <c r="E749"/>
  <c r="I748"/>
  <c r="G748"/>
  <c r="F748"/>
  <c r="H748" s="1"/>
  <c r="E748"/>
  <c r="I747"/>
  <c r="G747"/>
  <c r="F747"/>
  <c r="H747" s="1"/>
  <c r="E747"/>
  <c r="I746"/>
  <c r="G746"/>
  <c r="F746"/>
  <c r="H746" s="1"/>
  <c r="E746"/>
  <c r="I745"/>
  <c r="G745"/>
  <c r="F745"/>
  <c r="H745" s="1"/>
  <c r="E745"/>
  <c r="I744"/>
  <c r="G744"/>
  <c r="F744"/>
  <c r="H744" s="1"/>
  <c r="E744"/>
  <c r="I743"/>
  <c r="G743"/>
  <c r="F743"/>
  <c r="H743" s="1"/>
  <c r="E743"/>
  <c r="I742"/>
  <c r="G742"/>
  <c r="F742"/>
  <c r="H742" s="1"/>
  <c r="E742"/>
  <c r="I741"/>
  <c r="H741"/>
  <c r="G741"/>
  <c r="F741"/>
  <c r="E741"/>
  <c r="I740"/>
  <c r="G740"/>
  <c r="F740"/>
  <c r="H740" s="1"/>
  <c r="E740"/>
  <c r="I739"/>
  <c r="G739"/>
  <c r="F739"/>
  <c r="H739" s="1"/>
  <c r="E739"/>
  <c r="I738"/>
  <c r="H738"/>
  <c r="G738"/>
  <c r="F738"/>
  <c r="E738"/>
  <c r="I737"/>
  <c r="G737"/>
  <c r="F737"/>
  <c r="H737" s="1"/>
  <c r="E737"/>
  <c r="I736"/>
  <c r="G736"/>
  <c r="F736"/>
  <c r="H736" s="1"/>
  <c r="E736"/>
  <c r="I735"/>
  <c r="G735"/>
  <c r="F735"/>
  <c r="H735" s="1"/>
  <c r="E735"/>
  <c r="I734"/>
  <c r="G734"/>
  <c r="F734"/>
  <c r="H734" s="1"/>
  <c r="E734"/>
  <c r="I733"/>
  <c r="G733"/>
  <c r="F733"/>
  <c r="H733" s="1"/>
  <c r="E733"/>
  <c r="I732"/>
  <c r="H732"/>
  <c r="G732"/>
  <c r="F732"/>
  <c r="E732"/>
  <c r="I731"/>
  <c r="G731"/>
  <c r="F731"/>
  <c r="H731" s="1"/>
  <c r="E731"/>
  <c r="I730"/>
  <c r="G730"/>
  <c r="F730"/>
  <c r="H730" s="1"/>
  <c r="E730"/>
  <c r="I729"/>
  <c r="G729"/>
  <c r="F729"/>
  <c r="H729" s="1"/>
  <c r="E729"/>
  <c r="I728"/>
  <c r="G728"/>
  <c r="F728"/>
  <c r="H728" s="1"/>
  <c r="E728"/>
  <c r="I727"/>
  <c r="G727"/>
  <c r="F727"/>
  <c r="H727" s="1"/>
  <c r="E727"/>
  <c r="I726"/>
  <c r="G726"/>
  <c r="F726"/>
  <c r="H726" s="1"/>
  <c r="E726"/>
  <c r="I725"/>
  <c r="G725"/>
  <c r="F725"/>
  <c r="H725" s="1"/>
  <c r="E725"/>
  <c r="I724"/>
  <c r="G724"/>
  <c r="F724"/>
  <c r="H724" s="1"/>
  <c r="E724"/>
  <c r="I723"/>
  <c r="H723"/>
  <c r="G723"/>
  <c r="F723"/>
  <c r="E723"/>
  <c r="I722"/>
  <c r="G722"/>
  <c r="F722"/>
  <c r="H722" s="1"/>
  <c r="E722"/>
  <c r="I721"/>
  <c r="G721"/>
  <c r="F721"/>
  <c r="H721" s="1"/>
  <c r="E721"/>
  <c r="I720"/>
  <c r="H720"/>
  <c r="G720"/>
  <c r="F720"/>
  <c r="E720"/>
  <c r="I719"/>
  <c r="G719"/>
  <c r="F719"/>
  <c r="H719" s="1"/>
  <c r="E719"/>
  <c r="I718"/>
  <c r="G718"/>
  <c r="F718"/>
  <c r="H718" s="1"/>
  <c r="E718"/>
  <c r="I717"/>
  <c r="G717"/>
  <c r="F717"/>
  <c r="H717" s="1"/>
  <c r="E717"/>
  <c r="I716"/>
  <c r="G716"/>
  <c r="F716"/>
  <c r="H716" s="1"/>
  <c r="E716"/>
  <c r="I715"/>
  <c r="G715"/>
  <c r="F715"/>
  <c r="H715" s="1"/>
  <c r="E715"/>
  <c r="I714"/>
  <c r="H714"/>
  <c r="G714"/>
  <c r="F714"/>
  <c r="E714"/>
  <c r="I713"/>
  <c r="G713"/>
  <c r="F713"/>
  <c r="H713" s="1"/>
  <c r="E713"/>
  <c r="I712"/>
  <c r="G712"/>
  <c r="F712"/>
  <c r="H712" s="1"/>
  <c r="E712"/>
  <c r="I711"/>
  <c r="G711"/>
  <c r="F711"/>
  <c r="H711" s="1"/>
  <c r="E711"/>
  <c r="I710"/>
  <c r="G710"/>
  <c r="F710"/>
  <c r="H710" s="1"/>
  <c r="E710"/>
  <c r="I709"/>
  <c r="G709"/>
  <c r="F709"/>
  <c r="H709" s="1"/>
  <c r="E709"/>
  <c r="I708"/>
  <c r="G708"/>
  <c r="F708"/>
  <c r="H708" s="1"/>
  <c r="E708"/>
  <c r="I707"/>
  <c r="G707"/>
  <c r="F707"/>
  <c r="H707" s="1"/>
  <c r="E707"/>
  <c r="I706"/>
  <c r="G706"/>
  <c r="F706"/>
  <c r="H706" s="1"/>
  <c r="E706"/>
  <c r="I705"/>
  <c r="H705"/>
  <c r="G705"/>
  <c r="F705"/>
  <c r="E705"/>
  <c r="I704"/>
  <c r="G704"/>
  <c r="F704"/>
  <c r="H704" s="1"/>
  <c r="E704"/>
  <c r="I703"/>
  <c r="G703"/>
  <c r="F703"/>
  <c r="H703" s="1"/>
  <c r="E703"/>
  <c r="I702"/>
  <c r="H702"/>
  <c r="G702"/>
  <c r="F702"/>
  <c r="E702"/>
  <c r="I701"/>
  <c r="G701"/>
  <c r="F701"/>
  <c r="H701" s="1"/>
  <c r="E701"/>
  <c r="I700"/>
  <c r="G700"/>
  <c r="F700"/>
  <c r="H700" s="1"/>
  <c r="E700"/>
  <c r="I699"/>
  <c r="G699"/>
  <c r="F699"/>
  <c r="H699" s="1"/>
  <c r="E699"/>
  <c r="I698"/>
  <c r="G698"/>
  <c r="F698"/>
  <c r="H698" s="1"/>
  <c r="E698"/>
  <c r="I697"/>
  <c r="G697"/>
  <c r="F697"/>
  <c r="H697" s="1"/>
  <c r="E697"/>
  <c r="I696"/>
  <c r="H696"/>
  <c r="G696"/>
  <c r="F696"/>
  <c r="E696"/>
  <c r="I695"/>
  <c r="G695"/>
  <c r="F695"/>
  <c r="H695" s="1"/>
  <c r="E695"/>
  <c r="I694"/>
  <c r="G694"/>
  <c r="F694"/>
  <c r="H694" s="1"/>
  <c r="E694"/>
  <c r="I693"/>
  <c r="G693"/>
  <c r="F693"/>
  <c r="H693" s="1"/>
  <c r="E693"/>
  <c r="I692"/>
  <c r="G692"/>
  <c r="F692"/>
  <c r="H692" s="1"/>
  <c r="E692"/>
  <c r="I691"/>
  <c r="G691"/>
  <c r="F691"/>
  <c r="H691" s="1"/>
  <c r="E691"/>
  <c r="I690"/>
  <c r="G690"/>
  <c r="F690"/>
  <c r="H690" s="1"/>
  <c r="E690"/>
  <c r="I689"/>
  <c r="G689"/>
  <c r="F689"/>
  <c r="H689" s="1"/>
  <c r="E689"/>
  <c r="I688"/>
  <c r="G688"/>
  <c r="F688"/>
  <c r="H688" s="1"/>
  <c r="E688"/>
  <c r="I687"/>
  <c r="H687"/>
  <c r="G687"/>
  <c r="F687"/>
  <c r="E687"/>
  <c r="I686"/>
  <c r="G686"/>
  <c r="F686"/>
  <c r="H686" s="1"/>
  <c r="E686"/>
  <c r="I685"/>
  <c r="G685"/>
  <c r="F685"/>
  <c r="H685" s="1"/>
  <c r="E685"/>
  <c r="I684"/>
  <c r="H684"/>
  <c r="G684"/>
  <c r="F684"/>
  <c r="E684"/>
  <c r="I683"/>
  <c r="G683"/>
  <c r="F683"/>
  <c r="H683" s="1"/>
  <c r="E683"/>
  <c r="I682"/>
  <c r="G682"/>
  <c r="F682"/>
  <c r="H682" s="1"/>
  <c r="E682"/>
  <c r="I681"/>
  <c r="G681"/>
  <c r="F681"/>
  <c r="H681" s="1"/>
  <c r="E681"/>
  <c r="I680"/>
  <c r="G680"/>
  <c r="F680"/>
  <c r="H680" s="1"/>
  <c r="E680"/>
  <c r="I679"/>
  <c r="G679"/>
  <c r="F679"/>
  <c r="H679" s="1"/>
  <c r="E679"/>
  <c r="I678"/>
  <c r="H678"/>
  <c r="G678"/>
  <c r="F678"/>
  <c r="E678"/>
  <c r="I677"/>
  <c r="G677"/>
  <c r="F677"/>
  <c r="H677" s="1"/>
  <c r="E677"/>
  <c r="I676"/>
  <c r="G676"/>
  <c r="F676"/>
  <c r="H676" s="1"/>
  <c r="E676"/>
  <c r="I675"/>
  <c r="G675"/>
  <c r="F675"/>
  <c r="H675" s="1"/>
  <c r="E675"/>
  <c r="I674"/>
  <c r="G674"/>
  <c r="F674"/>
  <c r="H674" s="1"/>
  <c r="E674"/>
  <c r="I673"/>
  <c r="G673"/>
  <c r="F673"/>
  <c r="H673" s="1"/>
  <c r="E673"/>
  <c r="I672"/>
  <c r="G672"/>
  <c r="F672"/>
  <c r="H672" s="1"/>
  <c r="E672"/>
  <c r="I671"/>
  <c r="G671"/>
  <c r="F671"/>
  <c r="H671" s="1"/>
  <c r="E671"/>
  <c r="I670"/>
  <c r="G670"/>
  <c r="F670"/>
  <c r="H670" s="1"/>
  <c r="E670"/>
  <c r="I669"/>
  <c r="H669"/>
  <c r="G669"/>
  <c r="F669"/>
  <c r="E669"/>
  <c r="I668"/>
  <c r="G668"/>
  <c r="F668"/>
  <c r="H668" s="1"/>
  <c r="E668"/>
  <c r="I667"/>
  <c r="G667"/>
  <c r="F667"/>
  <c r="H667" s="1"/>
  <c r="E667"/>
  <c r="I666"/>
  <c r="H666"/>
  <c r="G666"/>
  <c r="F666"/>
  <c r="E666"/>
  <c r="I665"/>
  <c r="G665"/>
  <c r="F665"/>
  <c r="H665" s="1"/>
  <c r="E665"/>
  <c r="I664"/>
  <c r="G664"/>
  <c r="F664"/>
  <c r="H664" s="1"/>
  <c r="E664"/>
  <c r="I663"/>
  <c r="G663"/>
  <c r="F663"/>
  <c r="H663" s="1"/>
  <c r="E663"/>
  <c r="I662"/>
  <c r="G662"/>
  <c r="F662"/>
  <c r="H662" s="1"/>
  <c r="E662"/>
  <c r="I661"/>
  <c r="G661"/>
  <c r="F661"/>
  <c r="H661" s="1"/>
  <c r="E661"/>
  <c r="I660"/>
  <c r="H660"/>
  <c r="G660"/>
  <c r="F660"/>
  <c r="E660"/>
  <c r="I659"/>
  <c r="G659"/>
  <c r="F659"/>
  <c r="H659" s="1"/>
  <c r="E659"/>
  <c r="I658"/>
  <c r="G658"/>
  <c r="F658"/>
  <c r="H658" s="1"/>
  <c r="E658"/>
  <c r="I657"/>
  <c r="G657"/>
  <c r="F657"/>
  <c r="H657" s="1"/>
  <c r="E657"/>
  <c r="I656"/>
  <c r="G656"/>
  <c r="F656"/>
  <c r="H656" s="1"/>
  <c r="E656"/>
  <c r="I655"/>
  <c r="G655"/>
  <c r="F655"/>
  <c r="H655" s="1"/>
  <c r="E655"/>
  <c r="I654"/>
  <c r="G654"/>
  <c r="F654"/>
  <c r="H654" s="1"/>
  <c r="E654"/>
  <c r="I653"/>
  <c r="G653"/>
  <c r="F653"/>
  <c r="H653" s="1"/>
  <c r="E653"/>
  <c r="I652"/>
  <c r="G652"/>
  <c r="F652"/>
  <c r="H652" s="1"/>
  <c r="E652"/>
  <c r="I651"/>
  <c r="H651"/>
  <c r="G651"/>
  <c r="F651"/>
  <c r="E651"/>
  <c r="I650"/>
  <c r="G650"/>
  <c r="F650"/>
  <c r="H650" s="1"/>
  <c r="E650"/>
  <c r="I649"/>
  <c r="G649"/>
  <c r="F649"/>
  <c r="H649" s="1"/>
  <c r="E649"/>
  <c r="I648"/>
  <c r="H648"/>
  <c r="G648"/>
  <c r="F648"/>
  <c r="E648"/>
  <c r="I647"/>
  <c r="G647"/>
  <c r="F647"/>
  <c r="H647" s="1"/>
  <c r="E647"/>
  <c r="I646"/>
  <c r="G646"/>
  <c r="F646"/>
  <c r="H646" s="1"/>
  <c r="E646"/>
  <c r="I645"/>
  <c r="G645"/>
  <c r="F645"/>
  <c r="H645" s="1"/>
  <c r="E645"/>
  <c r="I644"/>
  <c r="G644"/>
  <c r="F644"/>
  <c r="H644" s="1"/>
  <c r="E644"/>
  <c r="I643"/>
  <c r="G643"/>
  <c r="F643"/>
  <c r="H643" s="1"/>
  <c r="E643"/>
  <c r="I642"/>
  <c r="H642"/>
  <c r="G642"/>
  <c r="F642"/>
  <c r="E642"/>
  <c r="I641"/>
  <c r="G641"/>
  <c r="F641"/>
  <c r="H641" s="1"/>
  <c r="E641"/>
  <c r="I640"/>
  <c r="G640"/>
  <c r="F640"/>
  <c r="H640" s="1"/>
  <c r="E640"/>
  <c r="I639"/>
  <c r="G639"/>
  <c r="F639"/>
  <c r="H639" s="1"/>
  <c r="E639"/>
  <c r="I638"/>
  <c r="G638"/>
  <c r="F638"/>
  <c r="H638" s="1"/>
  <c r="E638"/>
  <c r="I637"/>
  <c r="G637"/>
  <c r="F637"/>
  <c r="H637" s="1"/>
  <c r="E637"/>
  <c r="I636"/>
  <c r="G636"/>
  <c r="F636"/>
  <c r="H636" s="1"/>
  <c r="E636"/>
  <c r="I635"/>
  <c r="G635"/>
  <c r="F635"/>
  <c r="H635" s="1"/>
  <c r="E635"/>
  <c r="I634"/>
  <c r="G634"/>
  <c r="F634"/>
  <c r="H634" s="1"/>
  <c r="E634"/>
  <c r="I633"/>
  <c r="H633"/>
  <c r="G633"/>
  <c r="F633"/>
  <c r="E633"/>
  <c r="I632"/>
  <c r="G632"/>
  <c r="F632"/>
  <c r="H632" s="1"/>
  <c r="E632"/>
  <c r="I631"/>
  <c r="G631"/>
  <c r="F631"/>
  <c r="H631" s="1"/>
  <c r="E631"/>
  <c r="I630"/>
  <c r="H630"/>
  <c r="G630"/>
  <c r="F630"/>
  <c r="E630"/>
  <c r="I629"/>
  <c r="G629"/>
  <c r="F629"/>
  <c r="H629" s="1"/>
  <c r="E629"/>
  <c r="I628"/>
  <c r="G628"/>
  <c r="F628"/>
  <c r="H628" s="1"/>
  <c r="E628"/>
  <c r="I627"/>
  <c r="G627"/>
  <c r="F627"/>
  <c r="H627" s="1"/>
  <c r="E627"/>
  <c r="I626"/>
  <c r="G626"/>
  <c r="F626"/>
  <c r="H626" s="1"/>
  <c r="E626"/>
  <c r="I625"/>
  <c r="G625"/>
  <c r="F625"/>
  <c r="H625" s="1"/>
  <c r="E625"/>
  <c r="I624"/>
  <c r="H624"/>
  <c r="G624"/>
  <c r="F624"/>
  <c r="E624"/>
  <c r="I623"/>
  <c r="G623"/>
  <c r="F623"/>
  <c r="H623" s="1"/>
  <c r="E623"/>
  <c r="I622"/>
  <c r="G622"/>
  <c r="F622"/>
  <c r="H622" s="1"/>
  <c r="E622"/>
  <c r="I621"/>
  <c r="G621"/>
  <c r="F621"/>
  <c r="H621" s="1"/>
  <c r="E621"/>
  <c r="I620"/>
  <c r="G620"/>
  <c r="F620"/>
  <c r="H620" s="1"/>
  <c r="E620"/>
  <c r="I619"/>
  <c r="G619"/>
  <c r="F619"/>
  <c r="H619" s="1"/>
  <c r="E619"/>
  <c r="I618"/>
  <c r="G618"/>
  <c r="F618"/>
  <c r="H618" s="1"/>
  <c r="E618"/>
  <c r="I617"/>
  <c r="G617"/>
  <c r="F617"/>
  <c r="H617" s="1"/>
  <c r="E617"/>
  <c r="I616"/>
  <c r="G616"/>
  <c r="F616"/>
  <c r="H616" s="1"/>
  <c r="E616"/>
  <c r="I615"/>
  <c r="H615"/>
  <c r="G615"/>
  <c r="F615"/>
  <c r="E615"/>
  <c r="I614"/>
  <c r="G614"/>
  <c r="F614"/>
  <c r="H614" s="1"/>
  <c r="E614"/>
  <c r="I613"/>
  <c r="G613"/>
  <c r="F613"/>
  <c r="H613" s="1"/>
  <c r="E613"/>
  <c r="I612"/>
  <c r="H612"/>
  <c r="G612"/>
  <c r="F612"/>
  <c r="E612"/>
  <c r="I611"/>
  <c r="G611"/>
  <c r="F611"/>
  <c r="H611" s="1"/>
  <c r="E611"/>
  <c r="I610"/>
  <c r="G610"/>
  <c r="F610"/>
  <c r="H610" s="1"/>
  <c r="E610"/>
  <c r="I609"/>
  <c r="G609"/>
  <c r="F609"/>
  <c r="H609" s="1"/>
  <c r="E609"/>
  <c r="I608"/>
  <c r="G608"/>
  <c r="F608"/>
  <c r="H608" s="1"/>
  <c r="E608"/>
  <c r="I607"/>
  <c r="G607"/>
  <c r="F607"/>
  <c r="H607" s="1"/>
  <c r="E607"/>
  <c r="I606"/>
  <c r="H606"/>
  <c r="G606"/>
  <c r="F606"/>
  <c r="E606"/>
  <c r="I605"/>
  <c r="G605"/>
  <c r="F605"/>
  <c r="H605" s="1"/>
  <c r="E605"/>
  <c r="I604"/>
  <c r="G604"/>
  <c r="F604"/>
  <c r="H604" s="1"/>
  <c r="E604"/>
  <c r="I603"/>
  <c r="G603"/>
  <c r="F603"/>
  <c r="H603" s="1"/>
  <c r="E603"/>
  <c r="I602"/>
  <c r="G602"/>
  <c r="F602"/>
  <c r="H602" s="1"/>
  <c r="E602"/>
  <c r="I601"/>
  <c r="G601"/>
  <c r="F601"/>
  <c r="H601" s="1"/>
  <c r="E601"/>
  <c r="I600"/>
  <c r="G600"/>
  <c r="F600"/>
  <c r="H600" s="1"/>
  <c r="E600"/>
  <c r="I599"/>
  <c r="G599"/>
  <c r="F599"/>
  <c r="H599" s="1"/>
  <c r="E599"/>
  <c r="I598"/>
  <c r="G598"/>
  <c r="F598"/>
  <c r="H598" s="1"/>
  <c r="E598"/>
  <c r="I597"/>
  <c r="H597"/>
  <c r="G597"/>
  <c r="F597"/>
  <c r="E597"/>
  <c r="I596"/>
  <c r="G596"/>
  <c r="F596"/>
  <c r="H596" s="1"/>
  <c r="E596"/>
  <c r="I595"/>
  <c r="G595"/>
  <c r="F595"/>
  <c r="H595" s="1"/>
  <c r="E595"/>
  <c r="I594"/>
  <c r="H594"/>
  <c r="G594"/>
  <c r="F594"/>
  <c r="E594"/>
  <c r="I593"/>
  <c r="G593"/>
  <c r="F593"/>
  <c r="H593" s="1"/>
  <c r="E593"/>
  <c r="I592"/>
  <c r="G592"/>
  <c r="F592"/>
  <c r="H592" s="1"/>
  <c r="E592"/>
  <c r="I591"/>
  <c r="G591"/>
  <c r="F591"/>
  <c r="H591" s="1"/>
  <c r="E591"/>
  <c r="I590"/>
  <c r="G590"/>
  <c r="F590"/>
  <c r="H590" s="1"/>
  <c r="E590"/>
  <c r="I589"/>
  <c r="G589"/>
  <c r="F589"/>
  <c r="H589" s="1"/>
  <c r="E589"/>
  <c r="I588"/>
  <c r="H588"/>
  <c r="G588"/>
  <c r="F588"/>
  <c r="E588"/>
  <c r="I587"/>
  <c r="G587"/>
  <c r="F587"/>
  <c r="H587" s="1"/>
  <c r="E587"/>
  <c r="I586"/>
  <c r="G586"/>
  <c r="F586"/>
  <c r="H586" s="1"/>
  <c r="E586"/>
  <c r="I585"/>
  <c r="G585"/>
  <c r="F585"/>
  <c r="H585" s="1"/>
  <c r="E585"/>
  <c r="I584"/>
  <c r="G584"/>
  <c r="F584"/>
  <c r="H584" s="1"/>
  <c r="E584"/>
  <c r="I583"/>
  <c r="G583"/>
  <c r="F583"/>
  <c r="H583" s="1"/>
  <c r="E583"/>
  <c r="I582"/>
  <c r="G582"/>
  <c r="F582"/>
  <c r="H582" s="1"/>
  <c r="E582"/>
  <c r="I581"/>
  <c r="G581"/>
  <c r="F581"/>
  <c r="H581" s="1"/>
  <c r="E581"/>
  <c r="I580"/>
  <c r="G580"/>
  <c r="F580"/>
  <c r="H580" s="1"/>
  <c r="E580"/>
  <c r="I579"/>
  <c r="H579"/>
  <c r="G579"/>
  <c r="F579"/>
  <c r="E579"/>
  <c r="I578"/>
  <c r="G578"/>
  <c r="F578"/>
  <c r="H578" s="1"/>
  <c r="E578"/>
  <c r="I577"/>
  <c r="G577"/>
  <c r="F577"/>
  <c r="H577" s="1"/>
  <c r="E577"/>
  <c r="I576"/>
  <c r="H576"/>
  <c r="G576"/>
  <c r="F576"/>
  <c r="E576"/>
  <c r="I575"/>
  <c r="G575"/>
  <c r="F575"/>
  <c r="H575" s="1"/>
  <c r="E575"/>
  <c r="I574"/>
  <c r="G574"/>
  <c r="F574"/>
  <c r="H574" s="1"/>
  <c r="E574"/>
  <c r="I573"/>
  <c r="G573"/>
  <c r="F573"/>
  <c r="H573" s="1"/>
  <c r="E573"/>
  <c r="I572"/>
  <c r="G572"/>
  <c r="F572"/>
  <c r="H572" s="1"/>
  <c r="E572"/>
  <c r="I571"/>
  <c r="G571"/>
  <c r="F571"/>
  <c r="H571" s="1"/>
  <c r="E571"/>
  <c r="I570"/>
  <c r="H570"/>
  <c r="G570"/>
  <c r="F570"/>
  <c r="E570"/>
  <c r="I569"/>
  <c r="G569"/>
  <c r="F569"/>
  <c r="H569" s="1"/>
  <c r="E569"/>
  <c r="I568"/>
  <c r="G568"/>
  <c r="F568"/>
  <c r="H568" s="1"/>
  <c r="E568"/>
  <c r="I567"/>
  <c r="G567"/>
  <c r="F567"/>
  <c r="H567" s="1"/>
  <c r="E567"/>
  <c r="I566"/>
  <c r="G566"/>
  <c r="F566"/>
  <c r="H566" s="1"/>
  <c r="E566"/>
  <c r="I565"/>
  <c r="G565"/>
  <c r="F565"/>
  <c r="H565" s="1"/>
  <c r="E565"/>
  <c r="I564"/>
  <c r="G564"/>
  <c r="F564"/>
  <c r="H564" s="1"/>
  <c r="E564"/>
  <c r="I563"/>
  <c r="G563"/>
  <c r="F563"/>
  <c r="H563" s="1"/>
  <c r="E563"/>
  <c r="I562"/>
  <c r="G562"/>
  <c r="F562"/>
  <c r="H562" s="1"/>
  <c r="E562"/>
  <c r="I561"/>
  <c r="H561"/>
  <c r="G561"/>
  <c r="F561"/>
  <c r="E561"/>
  <c r="I560"/>
  <c r="G560"/>
  <c r="F560"/>
  <c r="H560" s="1"/>
  <c r="E560"/>
  <c r="I559"/>
  <c r="G559"/>
  <c r="F559"/>
  <c r="H559" s="1"/>
  <c r="E559"/>
  <c r="I558"/>
  <c r="H558"/>
  <c r="G558"/>
  <c r="F558"/>
  <c r="E558"/>
  <c r="I557"/>
  <c r="G557"/>
  <c r="F557"/>
  <c r="H557" s="1"/>
  <c r="E557"/>
  <c r="I556"/>
  <c r="G556"/>
  <c r="F556"/>
  <c r="H556" s="1"/>
  <c r="E556"/>
  <c r="I555"/>
  <c r="G555"/>
  <c r="F555"/>
  <c r="H555" s="1"/>
  <c r="E555"/>
  <c r="I554"/>
  <c r="G554"/>
  <c r="F554"/>
  <c r="H554" s="1"/>
  <c r="E554"/>
  <c r="I553"/>
  <c r="G553"/>
  <c r="F553"/>
  <c r="H553" s="1"/>
  <c r="E553"/>
  <c r="I552"/>
  <c r="H552"/>
  <c r="G552"/>
  <c r="F552"/>
  <c r="E552"/>
  <c r="I551"/>
  <c r="G551"/>
  <c r="F551"/>
  <c r="H551" s="1"/>
  <c r="E551"/>
  <c r="I550"/>
  <c r="G550"/>
  <c r="F550"/>
  <c r="H550" s="1"/>
  <c r="E550"/>
  <c r="I549"/>
  <c r="G549"/>
  <c r="F549"/>
  <c r="H549" s="1"/>
  <c r="E549"/>
  <c r="I548"/>
  <c r="G548"/>
  <c r="F548"/>
  <c r="H548" s="1"/>
  <c r="E548"/>
  <c r="I547"/>
  <c r="G547"/>
  <c r="F547"/>
  <c r="H547" s="1"/>
  <c r="E547"/>
  <c r="I546"/>
  <c r="G546"/>
  <c r="F546"/>
  <c r="H546" s="1"/>
  <c r="E546"/>
  <c r="I545"/>
  <c r="G545"/>
  <c r="F545"/>
  <c r="H545" s="1"/>
  <c r="E545"/>
  <c r="I544"/>
  <c r="G544"/>
  <c r="F544"/>
  <c r="H544" s="1"/>
  <c r="E544"/>
  <c r="I543"/>
  <c r="H543"/>
  <c r="G543"/>
  <c r="F543"/>
  <c r="E543"/>
  <c r="I542"/>
  <c r="G542"/>
  <c r="F542"/>
  <c r="H542" s="1"/>
  <c r="E542"/>
  <c r="I541"/>
  <c r="G541"/>
  <c r="F541"/>
  <c r="H541" s="1"/>
  <c r="E541"/>
  <c r="I540"/>
  <c r="H540"/>
  <c r="G540"/>
  <c r="F540"/>
  <c r="E540"/>
  <c r="I539"/>
  <c r="G539"/>
  <c r="F539"/>
  <c r="H539" s="1"/>
  <c r="E539"/>
  <c r="I538"/>
  <c r="G538"/>
  <c r="F538"/>
  <c r="H538" s="1"/>
  <c r="E538"/>
  <c r="I537"/>
  <c r="G537"/>
  <c r="F537"/>
  <c r="H537" s="1"/>
  <c r="E537"/>
  <c r="I536"/>
  <c r="G536"/>
  <c r="F536"/>
  <c r="H536" s="1"/>
  <c r="E536"/>
  <c r="I535"/>
  <c r="G535"/>
  <c r="F535"/>
  <c r="H535" s="1"/>
  <c r="E535"/>
  <c r="I534"/>
  <c r="H534"/>
  <c r="G534"/>
  <c r="F534"/>
  <c r="E534"/>
  <c r="I533"/>
  <c r="G533"/>
  <c r="F533"/>
  <c r="H533" s="1"/>
  <c r="E533"/>
  <c r="I532"/>
  <c r="G532"/>
  <c r="F532"/>
  <c r="H532" s="1"/>
  <c r="E532"/>
  <c r="I531"/>
  <c r="G531"/>
  <c r="F531"/>
  <c r="H531" s="1"/>
  <c r="E531"/>
  <c r="I530"/>
  <c r="G530"/>
  <c r="F530"/>
  <c r="H530" s="1"/>
  <c r="E530"/>
  <c r="I529"/>
  <c r="G529"/>
  <c r="F529"/>
  <c r="H529" s="1"/>
  <c r="E529"/>
  <c r="I528"/>
  <c r="G528"/>
  <c r="F528"/>
  <c r="H528" s="1"/>
  <c r="E528"/>
  <c r="I527"/>
  <c r="G527"/>
  <c r="F527"/>
  <c r="H527" s="1"/>
  <c r="E527"/>
  <c r="I526"/>
  <c r="G526"/>
  <c r="F526"/>
  <c r="H526" s="1"/>
  <c r="E526"/>
  <c r="I525"/>
  <c r="H525"/>
  <c r="G525"/>
  <c r="F525"/>
  <c r="E525"/>
  <c r="I524"/>
  <c r="G524"/>
  <c r="F524"/>
  <c r="H524" s="1"/>
  <c r="E524"/>
  <c r="I523"/>
  <c r="G523"/>
  <c r="F523"/>
  <c r="H523" s="1"/>
  <c r="E523"/>
  <c r="I522"/>
  <c r="H522"/>
  <c r="G522"/>
  <c r="F522"/>
  <c r="E522"/>
  <c r="I521"/>
  <c r="G521"/>
  <c r="F521"/>
  <c r="H521" s="1"/>
  <c r="E521"/>
  <c r="I520"/>
  <c r="G520"/>
  <c r="F520"/>
  <c r="H520" s="1"/>
  <c r="E520"/>
  <c r="I519"/>
  <c r="G519"/>
  <c r="F519"/>
  <c r="H519" s="1"/>
  <c r="E519"/>
  <c r="I518"/>
  <c r="G518"/>
  <c r="F518"/>
  <c r="H518" s="1"/>
  <c r="E518"/>
  <c r="I517"/>
  <c r="G517"/>
  <c r="F517"/>
  <c r="H517" s="1"/>
  <c r="E517"/>
  <c r="I516"/>
  <c r="H516"/>
  <c r="G516"/>
  <c r="F516"/>
  <c r="E516"/>
  <c r="I515"/>
  <c r="G515"/>
  <c r="F515"/>
  <c r="H515" s="1"/>
  <c r="E515"/>
  <c r="I514"/>
  <c r="G514"/>
  <c r="F514"/>
  <c r="H514" s="1"/>
  <c r="E514"/>
  <c r="I513"/>
  <c r="G513"/>
  <c r="F513"/>
  <c r="H513" s="1"/>
  <c r="E513"/>
  <c r="I512"/>
  <c r="G512"/>
  <c r="F512"/>
  <c r="H512" s="1"/>
  <c r="E512"/>
  <c r="I511"/>
  <c r="G511"/>
  <c r="F511"/>
  <c r="H511" s="1"/>
  <c r="E511"/>
  <c r="I510"/>
  <c r="G510"/>
  <c r="F510"/>
  <c r="H510" s="1"/>
  <c r="E510"/>
  <c r="I509"/>
  <c r="G509"/>
  <c r="F509"/>
  <c r="H509" s="1"/>
  <c r="E509"/>
  <c r="I508"/>
  <c r="G508"/>
  <c r="F508"/>
  <c r="H508" s="1"/>
  <c r="E508"/>
  <c r="I507"/>
  <c r="H507"/>
  <c r="G507"/>
  <c r="F507"/>
  <c r="E507"/>
  <c r="I506"/>
  <c r="G506"/>
  <c r="F506"/>
  <c r="H506" s="1"/>
  <c r="E506"/>
  <c r="I505"/>
  <c r="G505"/>
  <c r="F505"/>
  <c r="H505" s="1"/>
  <c r="E505"/>
  <c r="I504"/>
  <c r="H504"/>
  <c r="G504"/>
  <c r="F504"/>
  <c r="E504"/>
  <c r="I503"/>
  <c r="G503"/>
  <c r="F503"/>
  <c r="H503" s="1"/>
  <c r="E503"/>
  <c r="I502"/>
  <c r="G502"/>
  <c r="F502"/>
  <c r="H502" s="1"/>
  <c r="E502"/>
  <c r="I501"/>
  <c r="G501"/>
  <c r="F501"/>
  <c r="H501" s="1"/>
  <c r="E501"/>
  <c r="I500"/>
  <c r="G500"/>
  <c r="F500"/>
  <c r="H500" s="1"/>
  <c r="E500"/>
  <c r="I499"/>
  <c r="G499"/>
  <c r="F499"/>
  <c r="H499" s="1"/>
  <c r="E499"/>
  <c r="I498"/>
  <c r="H498"/>
  <c r="G498"/>
  <c r="F498"/>
  <c r="E498"/>
  <c r="I497"/>
  <c r="G497"/>
  <c r="F497"/>
  <c r="H497" s="1"/>
  <c r="E497"/>
  <c r="I496"/>
  <c r="G496"/>
  <c r="F496"/>
  <c r="H496" s="1"/>
  <c r="E496"/>
  <c r="I495"/>
  <c r="G495"/>
  <c r="F495"/>
  <c r="H495" s="1"/>
  <c r="E495"/>
  <c r="I494"/>
  <c r="G494"/>
  <c r="F494"/>
  <c r="H494" s="1"/>
  <c r="E494"/>
  <c r="I493"/>
  <c r="G493"/>
  <c r="F493"/>
  <c r="H493" s="1"/>
  <c r="E493"/>
  <c r="I492"/>
  <c r="G492"/>
  <c r="F492"/>
  <c r="H492" s="1"/>
  <c r="E492"/>
  <c r="I491"/>
  <c r="G491"/>
  <c r="F491"/>
  <c r="H491" s="1"/>
  <c r="E491"/>
  <c r="I490"/>
  <c r="G490"/>
  <c r="F490"/>
  <c r="H490" s="1"/>
  <c r="E490"/>
  <c r="I489"/>
  <c r="H489"/>
  <c r="G489"/>
  <c r="F489"/>
  <c r="E489"/>
  <c r="I488"/>
  <c r="G488"/>
  <c r="F488"/>
  <c r="H488" s="1"/>
  <c r="E488"/>
  <c r="I487"/>
  <c r="G487"/>
  <c r="F487"/>
  <c r="H487" s="1"/>
  <c r="E487"/>
  <c r="I486"/>
  <c r="G486"/>
  <c r="F486"/>
  <c r="H486" s="1"/>
  <c r="E486"/>
  <c r="I485"/>
  <c r="G485"/>
  <c r="F485"/>
  <c r="H485" s="1"/>
  <c r="E485"/>
  <c r="I484"/>
  <c r="G484"/>
  <c r="F484"/>
  <c r="H484" s="1"/>
  <c r="E484"/>
  <c r="I483"/>
  <c r="G483"/>
  <c r="F483"/>
  <c r="H483" s="1"/>
  <c r="E483"/>
  <c r="I482"/>
  <c r="G482"/>
  <c r="F482"/>
  <c r="H482" s="1"/>
  <c r="E482"/>
  <c r="I481"/>
  <c r="G481"/>
  <c r="F481"/>
  <c r="H481" s="1"/>
  <c r="E481"/>
  <c r="I480"/>
  <c r="H480"/>
  <c r="G480"/>
  <c r="F480"/>
  <c r="E480"/>
  <c r="I479"/>
  <c r="G479"/>
  <c r="F479"/>
  <c r="H479" s="1"/>
  <c r="E479"/>
  <c r="I478"/>
  <c r="G478"/>
  <c r="F478"/>
  <c r="H478" s="1"/>
  <c r="E478"/>
  <c r="I477"/>
  <c r="G477"/>
  <c r="F477"/>
  <c r="H477" s="1"/>
  <c r="E477"/>
  <c r="I476"/>
  <c r="G476"/>
  <c r="F476"/>
  <c r="H476" s="1"/>
  <c r="E476"/>
  <c r="I475"/>
  <c r="G475"/>
  <c r="F475"/>
  <c r="H475" s="1"/>
  <c r="E475"/>
  <c r="I474"/>
  <c r="G474"/>
  <c r="F474"/>
  <c r="H474" s="1"/>
  <c r="E474"/>
  <c r="I473"/>
  <c r="G473"/>
  <c r="F473"/>
  <c r="H473" s="1"/>
  <c r="E473"/>
  <c r="I472"/>
  <c r="G472"/>
  <c r="F472"/>
  <c r="H472" s="1"/>
  <c r="E472"/>
  <c r="I471"/>
  <c r="H471"/>
  <c r="G471"/>
  <c r="F471"/>
  <c r="E471"/>
  <c r="I470"/>
  <c r="G470"/>
  <c r="F470"/>
  <c r="H470" s="1"/>
  <c r="E470"/>
  <c r="I469"/>
  <c r="G469"/>
  <c r="F469"/>
  <c r="H469" s="1"/>
  <c r="E469"/>
  <c r="I468"/>
  <c r="H468"/>
  <c r="G468"/>
  <c r="F468"/>
  <c r="E468"/>
  <c r="I467"/>
  <c r="G467"/>
  <c r="F467"/>
  <c r="H467" s="1"/>
  <c r="E467"/>
  <c r="I466"/>
  <c r="G466"/>
  <c r="F466"/>
  <c r="H466" s="1"/>
  <c r="E466"/>
  <c r="I465"/>
  <c r="G465"/>
  <c r="F465"/>
  <c r="H465" s="1"/>
  <c r="E465"/>
  <c r="I464"/>
  <c r="G464"/>
  <c r="F464"/>
  <c r="H464" s="1"/>
  <c r="E464"/>
  <c r="I463"/>
  <c r="G463"/>
  <c r="F463"/>
  <c r="H463" s="1"/>
  <c r="E463"/>
  <c r="I462"/>
  <c r="H462"/>
  <c r="G462"/>
  <c r="F462"/>
  <c r="E462"/>
  <c r="I461"/>
  <c r="G461"/>
  <c r="F461"/>
  <c r="H461" s="1"/>
  <c r="E461"/>
  <c r="I460"/>
  <c r="G460"/>
  <c r="F460"/>
  <c r="H460" s="1"/>
  <c r="E460"/>
  <c r="I459"/>
  <c r="G459"/>
  <c r="F459"/>
  <c r="H459" s="1"/>
  <c r="E459"/>
  <c r="I458"/>
  <c r="G458"/>
  <c r="F458"/>
  <c r="H458" s="1"/>
  <c r="E458"/>
  <c r="I457"/>
  <c r="G457"/>
  <c r="F457"/>
  <c r="H457" s="1"/>
  <c r="E457"/>
  <c r="I456"/>
  <c r="G456"/>
  <c r="F456"/>
  <c r="H456" s="1"/>
  <c r="E456"/>
  <c r="I455"/>
  <c r="G455"/>
  <c r="F455"/>
  <c r="H455" s="1"/>
  <c r="E455"/>
  <c r="I454"/>
  <c r="G454"/>
  <c r="F454"/>
  <c r="H454" s="1"/>
  <c r="E454"/>
  <c r="I453"/>
  <c r="H453"/>
  <c r="G453"/>
  <c r="F453"/>
  <c r="E453"/>
  <c r="I452"/>
  <c r="G452"/>
  <c r="F452"/>
  <c r="H452" s="1"/>
  <c r="E452"/>
  <c r="I451"/>
  <c r="G451"/>
  <c r="F451"/>
  <c r="H451" s="1"/>
  <c r="E451"/>
  <c r="I450"/>
  <c r="H450"/>
  <c r="G450"/>
  <c r="F450"/>
  <c r="E450"/>
  <c r="I449"/>
  <c r="G449"/>
  <c r="F449"/>
  <c r="H449" s="1"/>
  <c r="E449"/>
  <c r="I448"/>
  <c r="G448"/>
  <c r="F448"/>
  <c r="H448" s="1"/>
  <c r="E448"/>
  <c r="I447"/>
  <c r="G447"/>
  <c r="F447"/>
  <c r="H447" s="1"/>
  <c r="E447"/>
  <c r="I446"/>
  <c r="G446"/>
  <c r="F446"/>
  <c r="H446" s="1"/>
  <c r="E446"/>
  <c r="I445"/>
  <c r="G445"/>
  <c r="F445"/>
  <c r="H445" s="1"/>
  <c r="E445"/>
  <c r="I444"/>
  <c r="H444"/>
  <c r="G444"/>
  <c r="F444"/>
  <c r="E444"/>
  <c r="I443"/>
  <c r="G443"/>
  <c r="F443"/>
  <c r="H443" s="1"/>
  <c r="E443"/>
  <c r="I442"/>
  <c r="G442"/>
  <c r="F442"/>
  <c r="H442" s="1"/>
  <c r="E442"/>
  <c r="I441"/>
  <c r="G441"/>
  <c r="F441"/>
  <c r="H441" s="1"/>
  <c r="E441"/>
  <c r="I440"/>
  <c r="G440"/>
  <c r="F440"/>
  <c r="H440" s="1"/>
  <c r="E440"/>
  <c r="I439"/>
  <c r="G439"/>
  <c r="F439"/>
  <c r="H439" s="1"/>
  <c r="E439"/>
  <c r="I438"/>
  <c r="G438"/>
  <c r="F438"/>
  <c r="H438" s="1"/>
  <c r="E438"/>
  <c r="I437"/>
  <c r="G437"/>
  <c r="F437"/>
  <c r="H437" s="1"/>
  <c r="E437"/>
  <c r="I436"/>
  <c r="G436"/>
  <c r="F436"/>
  <c r="H436" s="1"/>
  <c r="E436"/>
  <c r="I435"/>
  <c r="H435"/>
  <c r="G435"/>
  <c r="F435"/>
  <c r="E435"/>
  <c r="I434"/>
  <c r="G434"/>
  <c r="F434"/>
  <c r="H434" s="1"/>
  <c r="E434"/>
  <c r="I433"/>
  <c r="G433"/>
  <c r="F433"/>
  <c r="H433" s="1"/>
  <c r="E433"/>
  <c r="I432"/>
  <c r="H432"/>
  <c r="G432"/>
  <c r="F432"/>
  <c r="E432"/>
  <c r="I431"/>
  <c r="G431"/>
  <c r="F431"/>
  <c r="H431" s="1"/>
  <c r="E431"/>
  <c r="I430"/>
  <c r="G430"/>
  <c r="F430"/>
  <c r="H430" s="1"/>
  <c r="E430"/>
  <c r="I429"/>
  <c r="G429"/>
  <c r="F429"/>
  <c r="H429" s="1"/>
  <c r="E429"/>
  <c r="I428"/>
  <c r="G428"/>
  <c r="F428"/>
  <c r="H428" s="1"/>
  <c r="E428"/>
  <c r="I427"/>
  <c r="G427"/>
  <c r="F427"/>
  <c r="H427" s="1"/>
  <c r="E427"/>
  <c r="I426"/>
  <c r="H426"/>
  <c r="G426"/>
  <c r="F426"/>
  <c r="E426"/>
  <c r="I425"/>
  <c r="G425"/>
  <c r="F425"/>
  <c r="H425" s="1"/>
  <c r="E425"/>
  <c r="I424"/>
  <c r="G424"/>
  <c r="F424"/>
  <c r="H424" s="1"/>
  <c r="E424"/>
  <c r="I423"/>
  <c r="G423"/>
  <c r="F423"/>
  <c r="H423" s="1"/>
  <c r="E423"/>
  <c r="I422"/>
  <c r="G422"/>
  <c r="F422"/>
  <c r="H422" s="1"/>
  <c r="E422"/>
  <c r="I421"/>
  <c r="G421"/>
  <c r="F421"/>
  <c r="H421" s="1"/>
  <c r="E421"/>
  <c r="I420"/>
  <c r="G420"/>
  <c r="F420"/>
  <c r="H420" s="1"/>
  <c r="E420"/>
  <c r="I419"/>
  <c r="G419"/>
  <c r="F419"/>
  <c r="H419" s="1"/>
  <c r="E419"/>
  <c r="I418"/>
  <c r="G418"/>
  <c r="F418"/>
  <c r="H418" s="1"/>
  <c r="E418"/>
  <c r="I417"/>
  <c r="H417"/>
  <c r="G417"/>
  <c r="F417"/>
  <c r="E417"/>
  <c r="I416"/>
  <c r="G416"/>
  <c r="F416"/>
  <c r="H416" s="1"/>
  <c r="E416"/>
  <c r="I415"/>
  <c r="G415"/>
  <c r="F415"/>
  <c r="H415" s="1"/>
  <c r="E415"/>
  <c r="I414"/>
  <c r="H414"/>
  <c r="G414"/>
  <c r="F414"/>
  <c r="E414"/>
  <c r="I413"/>
  <c r="G413"/>
  <c r="F413"/>
  <c r="H413" s="1"/>
  <c r="E413"/>
  <c r="I412"/>
  <c r="G412"/>
  <c r="F412"/>
  <c r="H412" s="1"/>
  <c r="E412"/>
  <c r="I411"/>
  <c r="G411"/>
  <c r="F411"/>
  <c r="H411" s="1"/>
  <c r="E411"/>
  <c r="I410"/>
  <c r="G410"/>
  <c r="F410"/>
  <c r="H410" s="1"/>
  <c r="E410"/>
  <c r="I409"/>
  <c r="G409"/>
  <c r="F409"/>
  <c r="H409" s="1"/>
  <c r="E409"/>
  <c r="I408"/>
  <c r="H408"/>
  <c r="G408"/>
  <c r="F408"/>
  <c r="E408"/>
  <c r="I407"/>
  <c r="G407"/>
  <c r="F407"/>
  <c r="H407" s="1"/>
  <c r="E407"/>
  <c r="I406"/>
  <c r="G406"/>
  <c r="F406"/>
  <c r="H406" s="1"/>
  <c r="E406"/>
  <c r="I405"/>
  <c r="H405"/>
  <c r="G405"/>
  <c r="F405"/>
  <c r="E405"/>
  <c r="I404"/>
  <c r="G404"/>
  <c r="F404"/>
  <c r="H404" s="1"/>
  <c r="E404"/>
  <c r="I403"/>
  <c r="G403"/>
  <c r="F403"/>
  <c r="H403" s="1"/>
  <c r="E403"/>
  <c r="I402"/>
  <c r="G402"/>
  <c r="F402"/>
  <c r="H402" s="1"/>
  <c r="E402"/>
  <c r="I401"/>
  <c r="G401"/>
  <c r="F401"/>
  <c r="H401" s="1"/>
  <c r="E401"/>
  <c r="I400"/>
  <c r="G400"/>
  <c r="F400"/>
  <c r="H400" s="1"/>
  <c r="E400"/>
  <c r="I399"/>
  <c r="H399"/>
  <c r="G399"/>
  <c r="F399"/>
  <c r="E399"/>
  <c r="I398"/>
  <c r="G398"/>
  <c r="F398"/>
  <c r="H398" s="1"/>
  <c r="E398"/>
  <c r="I397"/>
  <c r="G397"/>
  <c r="F397"/>
  <c r="H397" s="1"/>
  <c r="E397"/>
  <c r="I396"/>
  <c r="H396"/>
  <c r="G396"/>
  <c r="F396"/>
  <c r="E396"/>
  <c r="I395"/>
  <c r="G395"/>
  <c r="F395"/>
  <c r="H395" s="1"/>
  <c r="E395"/>
  <c r="I394"/>
  <c r="G394"/>
  <c r="F394"/>
  <c r="H394" s="1"/>
  <c r="E394"/>
  <c r="I393"/>
  <c r="G393"/>
  <c r="F393"/>
  <c r="H393" s="1"/>
  <c r="E393"/>
  <c r="I392"/>
  <c r="G392"/>
  <c r="F392"/>
  <c r="H392" s="1"/>
  <c r="E392"/>
  <c r="I391"/>
  <c r="G391"/>
  <c r="F391"/>
  <c r="H391" s="1"/>
  <c r="E391"/>
  <c r="I390"/>
  <c r="H390"/>
  <c r="G390"/>
  <c r="F390"/>
  <c r="E390"/>
  <c r="I389"/>
  <c r="G389"/>
  <c r="F389"/>
  <c r="H389" s="1"/>
  <c r="E389"/>
  <c r="I388"/>
  <c r="G388"/>
  <c r="F388"/>
  <c r="H388" s="1"/>
  <c r="E388"/>
  <c r="I387"/>
  <c r="H387"/>
  <c r="G387"/>
  <c r="F387"/>
  <c r="E387"/>
  <c r="I386"/>
  <c r="G386"/>
  <c r="F386"/>
  <c r="H386" s="1"/>
  <c r="E386"/>
  <c r="I385"/>
  <c r="G385"/>
  <c r="F385"/>
  <c r="H385" s="1"/>
  <c r="E385"/>
  <c r="I384"/>
  <c r="G384"/>
  <c r="F384"/>
  <c r="H384" s="1"/>
  <c r="E384"/>
  <c r="I383"/>
  <c r="G383"/>
  <c r="F383"/>
  <c r="H383" s="1"/>
  <c r="E383"/>
  <c r="I382"/>
  <c r="G382"/>
  <c r="F382"/>
  <c r="H382" s="1"/>
  <c r="E382"/>
  <c r="I381"/>
  <c r="H381"/>
  <c r="G381"/>
  <c r="F381"/>
  <c r="E381"/>
  <c r="I380"/>
  <c r="G380"/>
  <c r="F380"/>
  <c r="H380" s="1"/>
  <c r="E380"/>
  <c r="I379"/>
  <c r="G379"/>
  <c r="F379"/>
  <c r="H379" s="1"/>
  <c r="E379"/>
  <c r="I378"/>
  <c r="H378"/>
  <c r="G378"/>
  <c r="F378"/>
  <c r="E378"/>
  <c r="I377"/>
  <c r="G377"/>
  <c r="F377"/>
  <c r="H377" s="1"/>
  <c r="E377"/>
  <c r="I376"/>
  <c r="G376"/>
  <c r="F376"/>
  <c r="H376" s="1"/>
  <c r="E376"/>
  <c r="I375"/>
  <c r="G375"/>
  <c r="F375"/>
  <c r="H375" s="1"/>
  <c r="E375"/>
  <c r="I374"/>
  <c r="G374"/>
  <c r="F374"/>
  <c r="H374" s="1"/>
  <c r="E374"/>
  <c r="I373"/>
  <c r="G373"/>
  <c r="F373"/>
  <c r="H373" s="1"/>
  <c r="E373"/>
  <c r="I372"/>
  <c r="H372"/>
  <c r="G372"/>
  <c r="F372"/>
  <c r="E372"/>
  <c r="I371"/>
  <c r="G371"/>
  <c r="F371"/>
  <c r="H371" s="1"/>
  <c r="E371"/>
  <c r="I370"/>
  <c r="G370"/>
  <c r="F370"/>
  <c r="H370" s="1"/>
  <c r="E370"/>
  <c r="I369"/>
  <c r="H369"/>
  <c r="G369"/>
  <c r="F369"/>
  <c r="E369"/>
  <c r="I368"/>
  <c r="G368"/>
  <c r="F368"/>
  <c r="H368" s="1"/>
  <c r="E368"/>
  <c r="I367"/>
  <c r="G367"/>
  <c r="F367"/>
  <c r="H367" s="1"/>
  <c r="E367"/>
  <c r="I366"/>
  <c r="G366"/>
  <c r="F366"/>
  <c r="H366" s="1"/>
  <c r="E366"/>
  <c r="I365"/>
  <c r="G365"/>
  <c r="F365"/>
  <c r="H365" s="1"/>
  <c r="E365"/>
  <c r="I364"/>
  <c r="G364"/>
  <c r="F364"/>
  <c r="H364" s="1"/>
  <c r="E364"/>
  <c r="I363"/>
  <c r="H363"/>
  <c r="G363"/>
  <c r="F363"/>
  <c r="E363"/>
  <c r="I362"/>
  <c r="G362"/>
  <c r="F362"/>
  <c r="H362" s="1"/>
  <c r="E362"/>
  <c r="I361"/>
  <c r="G361"/>
  <c r="F361"/>
  <c r="H361" s="1"/>
  <c r="E361"/>
  <c r="I360"/>
  <c r="H360"/>
  <c r="G360"/>
  <c r="F360"/>
  <c r="E360"/>
  <c r="I359"/>
  <c r="G359"/>
  <c r="F359"/>
  <c r="H359" s="1"/>
  <c r="E359"/>
  <c r="I358"/>
  <c r="G358"/>
  <c r="F358"/>
  <c r="H358" s="1"/>
  <c r="E358"/>
  <c r="I357"/>
  <c r="G357"/>
  <c r="F357"/>
  <c r="H357" s="1"/>
  <c r="E357"/>
  <c r="I356"/>
  <c r="G356"/>
  <c r="F356"/>
  <c r="H356" s="1"/>
  <c r="E356"/>
  <c r="I355"/>
  <c r="G355"/>
  <c r="F355"/>
  <c r="H355" s="1"/>
  <c r="E355"/>
  <c r="I354"/>
  <c r="H354"/>
  <c r="G354"/>
  <c r="F354"/>
  <c r="E354"/>
  <c r="I353"/>
  <c r="G353"/>
  <c r="F353"/>
  <c r="H353" s="1"/>
  <c r="E353"/>
  <c r="I352"/>
  <c r="G352"/>
  <c r="F352"/>
  <c r="H352" s="1"/>
  <c r="E352"/>
  <c r="I351"/>
  <c r="H351"/>
  <c r="G351"/>
  <c r="F351"/>
  <c r="E351"/>
  <c r="I350"/>
  <c r="G350"/>
  <c r="F350"/>
  <c r="H350" s="1"/>
  <c r="E350"/>
  <c r="I349"/>
  <c r="G349"/>
  <c r="F349"/>
  <c r="H349" s="1"/>
  <c r="E349"/>
  <c r="I348"/>
  <c r="G348"/>
  <c r="F348"/>
  <c r="H348" s="1"/>
  <c r="E348"/>
  <c r="I347"/>
  <c r="G347"/>
  <c r="F347"/>
  <c r="H347" s="1"/>
  <c r="E347"/>
  <c r="I346"/>
  <c r="G346"/>
  <c r="F346"/>
  <c r="H346" s="1"/>
  <c r="E346"/>
  <c r="I345"/>
  <c r="H345"/>
  <c r="G345"/>
  <c r="F345"/>
  <c r="E345"/>
  <c r="I344"/>
  <c r="G344"/>
  <c r="F344"/>
  <c r="H344" s="1"/>
  <c r="E344"/>
  <c r="I343"/>
  <c r="G343"/>
  <c r="F343"/>
  <c r="H343" s="1"/>
  <c r="E343"/>
  <c r="I342"/>
  <c r="H342"/>
  <c r="G342"/>
  <c r="F342"/>
  <c r="E342"/>
  <c r="I341"/>
  <c r="G341"/>
  <c r="F341"/>
  <c r="H341" s="1"/>
  <c r="E341"/>
  <c r="I340"/>
  <c r="G340"/>
  <c r="F340"/>
  <c r="H340" s="1"/>
  <c r="E340"/>
  <c r="I339"/>
  <c r="G339"/>
  <c r="F339"/>
  <c r="H339" s="1"/>
  <c r="E339"/>
  <c r="I338"/>
  <c r="G338"/>
  <c r="F338"/>
  <c r="H338" s="1"/>
  <c r="E338"/>
  <c r="I337"/>
  <c r="G337"/>
  <c r="F337"/>
  <c r="H337" s="1"/>
  <c r="E337"/>
  <c r="I336"/>
  <c r="H336"/>
  <c r="G336"/>
  <c r="F336"/>
  <c r="E336"/>
  <c r="I335"/>
  <c r="G335"/>
  <c r="F335"/>
  <c r="H335" s="1"/>
  <c r="E335"/>
  <c r="I334"/>
  <c r="G334"/>
  <c r="F334"/>
  <c r="H334" s="1"/>
  <c r="E334"/>
  <c r="I333"/>
  <c r="H333"/>
  <c r="G333"/>
  <c r="F333"/>
  <c r="E333"/>
  <c r="I332"/>
  <c r="G332"/>
  <c r="F332"/>
  <c r="H332" s="1"/>
  <c r="E332"/>
  <c r="I331"/>
  <c r="G331"/>
  <c r="F331"/>
  <c r="H331" s="1"/>
  <c r="E331"/>
  <c r="I330"/>
  <c r="G330"/>
  <c r="F330"/>
  <c r="H330" s="1"/>
  <c r="E330"/>
  <c r="I329"/>
  <c r="G329"/>
  <c r="F329"/>
  <c r="H329" s="1"/>
  <c r="E329"/>
  <c r="I328"/>
  <c r="G328"/>
  <c r="F328"/>
  <c r="H328" s="1"/>
  <c r="E328"/>
  <c r="I327"/>
  <c r="H327"/>
  <c r="G327"/>
  <c r="F327"/>
  <c r="E327"/>
  <c r="I326"/>
  <c r="G326"/>
  <c r="F326"/>
  <c r="H326" s="1"/>
  <c r="E326"/>
  <c r="I325"/>
  <c r="G325"/>
  <c r="F325"/>
  <c r="H325" s="1"/>
  <c r="E325"/>
  <c r="I324"/>
  <c r="H324"/>
  <c r="G324"/>
  <c r="F324"/>
  <c r="E324"/>
  <c r="I323"/>
  <c r="G323"/>
  <c r="F323"/>
  <c r="H323" s="1"/>
  <c r="E323"/>
  <c r="I322"/>
  <c r="G322"/>
  <c r="F322"/>
  <c r="H322" s="1"/>
  <c r="E322"/>
  <c r="I321"/>
  <c r="G321"/>
  <c r="F321"/>
  <c r="H321" s="1"/>
  <c r="E321"/>
  <c r="I320"/>
  <c r="G320"/>
  <c r="F320"/>
  <c r="H320" s="1"/>
  <c r="E320"/>
  <c r="I319"/>
  <c r="G319"/>
  <c r="F319"/>
  <c r="H319" s="1"/>
  <c r="E319"/>
  <c r="I318"/>
  <c r="H318"/>
  <c r="G318"/>
  <c r="F318"/>
  <c r="E318"/>
  <c r="I317"/>
  <c r="G317"/>
  <c r="F317"/>
  <c r="H317" s="1"/>
  <c r="E317"/>
  <c r="I316"/>
  <c r="G316"/>
  <c r="F316"/>
  <c r="H316" s="1"/>
  <c r="E316"/>
  <c r="I315"/>
  <c r="H315"/>
  <c r="G315"/>
  <c r="F315"/>
  <c r="E315"/>
  <c r="I314"/>
  <c r="G314"/>
  <c r="F314"/>
  <c r="H314" s="1"/>
  <c r="E314"/>
  <c r="I313"/>
  <c r="G313"/>
  <c r="F313"/>
  <c r="H313" s="1"/>
  <c r="E313"/>
  <c r="I312"/>
  <c r="G312"/>
  <c r="F312"/>
  <c r="H312" s="1"/>
  <c r="E312"/>
  <c r="I311"/>
  <c r="G311"/>
  <c r="F311"/>
  <c r="H311" s="1"/>
  <c r="E311"/>
  <c r="I310"/>
  <c r="G310"/>
  <c r="F310"/>
  <c r="H310" s="1"/>
  <c r="E310"/>
  <c r="I309"/>
  <c r="H309"/>
  <c r="G309"/>
  <c r="F309"/>
  <c r="E309"/>
  <c r="I308"/>
  <c r="G308"/>
  <c r="F308"/>
  <c r="H308" s="1"/>
  <c r="E308"/>
  <c r="I307"/>
  <c r="G307"/>
  <c r="F307"/>
  <c r="H307" s="1"/>
  <c r="E307"/>
  <c r="I306"/>
  <c r="H306"/>
  <c r="G306"/>
  <c r="F306"/>
  <c r="E306"/>
  <c r="I305"/>
  <c r="G305"/>
  <c r="F305"/>
  <c r="H305" s="1"/>
  <c r="E305"/>
  <c r="I304"/>
  <c r="G304"/>
  <c r="F304"/>
  <c r="H304" s="1"/>
  <c r="E304"/>
  <c r="I303"/>
  <c r="G303"/>
  <c r="F303"/>
  <c r="H303" s="1"/>
  <c r="E303"/>
  <c r="I302"/>
  <c r="G302"/>
  <c r="F302"/>
  <c r="H302" s="1"/>
  <c r="E302"/>
  <c r="I301"/>
  <c r="G301"/>
  <c r="F301"/>
  <c r="H301" s="1"/>
  <c r="E301"/>
  <c r="I300"/>
  <c r="H300"/>
  <c r="G300"/>
  <c r="F300"/>
  <c r="E300"/>
  <c r="I299"/>
  <c r="G299"/>
  <c r="F299"/>
  <c r="H299" s="1"/>
  <c r="E299"/>
  <c r="I298"/>
  <c r="G298"/>
  <c r="F298"/>
  <c r="H298" s="1"/>
  <c r="E298"/>
  <c r="I297"/>
  <c r="H297"/>
  <c r="G297"/>
  <c r="F297"/>
  <c r="E297"/>
  <c r="I296"/>
  <c r="G296"/>
  <c r="F296"/>
  <c r="H296" s="1"/>
  <c r="E296"/>
  <c r="I295"/>
  <c r="G295"/>
  <c r="F295"/>
  <c r="H295" s="1"/>
  <c r="E295"/>
  <c r="I294"/>
  <c r="G294"/>
  <c r="F294"/>
  <c r="H294" s="1"/>
  <c r="E294"/>
  <c r="I293"/>
  <c r="G293"/>
  <c r="F293"/>
  <c r="H293" s="1"/>
  <c r="E293"/>
  <c r="I292"/>
  <c r="G292"/>
  <c r="F292"/>
  <c r="H292" s="1"/>
  <c r="E292"/>
  <c r="I291"/>
  <c r="H291"/>
  <c r="G291"/>
  <c r="F291"/>
  <c r="E291"/>
  <c r="I290"/>
  <c r="G290"/>
  <c r="F290"/>
  <c r="H290" s="1"/>
  <c r="E290"/>
  <c r="I289"/>
  <c r="G289"/>
  <c r="F289"/>
  <c r="H289" s="1"/>
  <c r="E289"/>
  <c r="I288"/>
  <c r="H288"/>
  <c r="G288"/>
  <c r="F288"/>
  <c r="E288"/>
  <c r="I287"/>
  <c r="G287"/>
  <c r="F287"/>
  <c r="H287" s="1"/>
  <c r="E287"/>
  <c r="I286"/>
  <c r="G286"/>
  <c r="F286"/>
  <c r="H286" s="1"/>
  <c r="E286"/>
  <c r="I285"/>
  <c r="G285"/>
  <c r="F285"/>
  <c r="H285" s="1"/>
  <c r="E285"/>
  <c r="I284"/>
  <c r="G284"/>
  <c r="F284"/>
  <c r="H284" s="1"/>
  <c r="E284"/>
  <c r="I283"/>
  <c r="G283"/>
  <c r="F283"/>
  <c r="H283" s="1"/>
  <c r="E283"/>
  <c r="I282"/>
  <c r="H282"/>
  <c r="G282"/>
  <c r="F282"/>
  <c r="E282"/>
  <c r="I281"/>
  <c r="G281"/>
  <c r="F281"/>
  <c r="H281" s="1"/>
  <c r="E281"/>
  <c r="I280"/>
  <c r="G280"/>
  <c r="F280"/>
  <c r="H280" s="1"/>
  <c r="E280"/>
  <c r="I279"/>
  <c r="H279"/>
  <c r="G279"/>
  <c r="F279"/>
  <c r="E279"/>
  <c r="I278"/>
  <c r="G278"/>
  <c r="F278"/>
  <c r="H278" s="1"/>
  <c r="E278"/>
  <c r="I277"/>
  <c r="G277"/>
  <c r="F277"/>
  <c r="H277" s="1"/>
  <c r="E277"/>
  <c r="I276"/>
  <c r="G276"/>
  <c r="F276"/>
  <c r="H276" s="1"/>
  <c r="E276"/>
  <c r="I275"/>
  <c r="G275"/>
  <c r="F275"/>
  <c r="H275" s="1"/>
  <c r="E275"/>
  <c r="I274"/>
  <c r="G274"/>
  <c r="F274"/>
  <c r="H274" s="1"/>
  <c r="E274"/>
  <c r="I273"/>
  <c r="G273"/>
  <c r="F273"/>
  <c r="H273" s="1"/>
  <c r="E273"/>
  <c r="I272"/>
  <c r="G272"/>
  <c r="F272"/>
  <c r="H272" s="1"/>
  <c r="E272"/>
  <c r="I271"/>
  <c r="G271"/>
  <c r="F271"/>
  <c r="H271" s="1"/>
  <c r="E271"/>
  <c r="I270"/>
  <c r="H270"/>
  <c r="G270"/>
  <c r="F270"/>
  <c r="E270"/>
  <c r="I269"/>
  <c r="G269"/>
  <c r="F269"/>
  <c r="H269" s="1"/>
  <c r="E269"/>
  <c r="I268"/>
  <c r="G268"/>
  <c r="F268"/>
  <c r="H268" s="1"/>
  <c r="E268"/>
  <c r="I267"/>
  <c r="G267"/>
  <c r="F267"/>
  <c r="H267" s="1"/>
  <c r="E267"/>
  <c r="I266"/>
  <c r="G266"/>
  <c r="F266"/>
  <c r="H266" s="1"/>
  <c r="E266"/>
  <c r="I265"/>
  <c r="G265"/>
  <c r="F265"/>
  <c r="H265" s="1"/>
  <c r="E265"/>
  <c r="I264"/>
  <c r="H264"/>
  <c r="G264"/>
  <c r="F264"/>
  <c r="E264"/>
  <c r="I263"/>
  <c r="G263"/>
  <c r="F263"/>
  <c r="H263" s="1"/>
  <c r="E263"/>
  <c r="I262"/>
  <c r="G262"/>
  <c r="F262"/>
  <c r="H262" s="1"/>
  <c r="E262"/>
  <c r="I261"/>
  <c r="H261"/>
  <c r="G261"/>
  <c r="F261"/>
  <c r="E261"/>
  <c r="I260"/>
  <c r="G260"/>
  <c r="F260"/>
  <c r="H260" s="1"/>
  <c r="E260"/>
  <c r="I259"/>
  <c r="G259"/>
  <c r="F259"/>
  <c r="H259" s="1"/>
  <c r="E259"/>
  <c r="I258"/>
  <c r="G258"/>
  <c r="F258"/>
  <c r="H258" s="1"/>
  <c r="E258"/>
  <c r="I257"/>
  <c r="G257"/>
  <c r="F257"/>
  <c r="H257" s="1"/>
  <c r="E257"/>
  <c r="I256"/>
  <c r="G256"/>
  <c r="F256"/>
  <c r="H256" s="1"/>
  <c r="E256"/>
  <c r="I255"/>
  <c r="G255"/>
  <c r="F255"/>
  <c r="H255" s="1"/>
  <c r="E255"/>
  <c r="I254"/>
  <c r="G254"/>
  <c r="F254"/>
  <c r="H254" s="1"/>
  <c r="E254"/>
  <c r="I253"/>
  <c r="G253"/>
  <c r="F253"/>
  <c r="H253" s="1"/>
  <c r="E253"/>
  <c r="I252"/>
  <c r="H252"/>
  <c r="G252"/>
  <c r="F252"/>
  <c r="E252"/>
  <c r="I251"/>
  <c r="G251"/>
  <c r="F251"/>
  <c r="H251" s="1"/>
  <c r="E251"/>
  <c r="I250"/>
  <c r="G250"/>
  <c r="F250"/>
  <c r="H250" s="1"/>
  <c r="E250"/>
  <c r="I249"/>
  <c r="G249"/>
  <c r="F249"/>
  <c r="H249" s="1"/>
  <c r="E249"/>
  <c r="I248"/>
  <c r="G248"/>
  <c r="F248"/>
  <c r="H248" s="1"/>
  <c r="E248"/>
  <c r="I247"/>
  <c r="G247"/>
  <c r="F247"/>
  <c r="H247" s="1"/>
  <c r="E247"/>
  <c r="I246"/>
  <c r="H246"/>
  <c r="G246"/>
  <c r="F246"/>
  <c r="E246"/>
  <c r="I245"/>
  <c r="G245"/>
  <c r="F245"/>
  <c r="H245" s="1"/>
  <c r="E245"/>
  <c r="I244"/>
  <c r="G244"/>
  <c r="F244"/>
  <c r="H244" s="1"/>
  <c r="E244"/>
  <c r="I243"/>
  <c r="H243"/>
  <c r="G243"/>
  <c r="F243"/>
  <c r="E243"/>
  <c r="I242"/>
  <c r="G242"/>
  <c r="F242"/>
  <c r="H242" s="1"/>
  <c r="E242"/>
  <c r="I241"/>
  <c r="G241"/>
  <c r="F241"/>
  <c r="H241" s="1"/>
  <c r="E241"/>
  <c r="I240"/>
  <c r="G240"/>
  <c r="F240"/>
  <c r="H240" s="1"/>
  <c r="E240"/>
  <c r="I239"/>
  <c r="G239"/>
  <c r="F239"/>
  <c r="H239" s="1"/>
  <c r="E239"/>
  <c r="I238"/>
  <c r="G238"/>
  <c r="F238"/>
  <c r="H238" s="1"/>
  <c r="E238"/>
  <c r="I237"/>
  <c r="G237"/>
  <c r="F237"/>
  <c r="H237" s="1"/>
  <c r="E237"/>
  <c r="I236"/>
  <c r="G236"/>
  <c r="F236"/>
  <c r="H236" s="1"/>
  <c r="E236"/>
  <c r="I235"/>
  <c r="G235"/>
  <c r="F235"/>
  <c r="H235" s="1"/>
  <c r="E235"/>
  <c r="I234"/>
  <c r="H234"/>
  <c r="G234"/>
  <c r="F234"/>
  <c r="E234"/>
  <c r="I233"/>
  <c r="G233"/>
  <c r="F233"/>
  <c r="H233" s="1"/>
  <c r="E233"/>
  <c r="I232"/>
  <c r="G232"/>
  <c r="F232"/>
  <c r="H232" s="1"/>
  <c r="E232"/>
  <c r="I231"/>
  <c r="G231"/>
  <c r="F231"/>
  <c r="H231" s="1"/>
  <c r="E231"/>
  <c r="I230"/>
  <c r="G230"/>
  <c r="F230"/>
  <c r="H230" s="1"/>
  <c r="E230"/>
  <c r="I229"/>
  <c r="G229"/>
  <c r="F229"/>
  <c r="H229" s="1"/>
  <c r="E229"/>
  <c r="I228"/>
  <c r="H228"/>
  <c r="G228"/>
  <c r="F228"/>
  <c r="E228"/>
  <c r="I227"/>
  <c r="G227"/>
  <c r="F227"/>
  <c r="H227" s="1"/>
  <c r="E227"/>
  <c r="I226"/>
  <c r="G226"/>
  <c r="F226"/>
  <c r="H226" s="1"/>
  <c r="E226"/>
  <c r="I225"/>
  <c r="H225"/>
  <c r="G225"/>
  <c r="F225"/>
  <c r="E225"/>
  <c r="I224"/>
  <c r="G224"/>
  <c r="F224"/>
  <c r="H224" s="1"/>
  <c r="E224"/>
  <c r="I223"/>
  <c r="G223"/>
  <c r="F223"/>
  <c r="H223" s="1"/>
  <c r="E223"/>
  <c r="I222"/>
  <c r="G222"/>
  <c r="F222"/>
  <c r="H222" s="1"/>
  <c r="E222"/>
  <c r="I221"/>
  <c r="G221"/>
  <c r="F221"/>
  <c r="H221" s="1"/>
  <c r="E221"/>
  <c r="I220"/>
  <c r="G220"/>
  <c r="F220"/>
  <c r="H220" s="1"/>
  <c r="E220"/>
  <c r="I219"/>
  <c r="G219"/>
  <c r="F219"/>
  <c r="H219" s="1"/>
  <c r="E219"/>
  <c r="I218"/>
  <c r="G218"/>
  <c r="F218"/>
  <c r="H218" s="1"/>
  <c r="E218"/>
  <c r="I217"/>
  <c r="G217"/>
  <c r="F217"/>
  <c r="H217" s="1"/>
  <c r="E217"/>
  <c r="I216"/>
  <c r="H216"/>
  <c r="G216"/>
  <c r="F216"/>
  <c r="E216"/>
  <c r="I215"/>
  <c r="G215"/>
  <c r="F215"/>
  <c r="H215" s="1"/>
  <c r="E215"/>
  <c r="I214"/>
  <c r="G214"/>
  <c r="F214"/>
  <c r="H214" s="1"/>
  <c r="E214"/>
  <c r="I213"/>
  <c r="G213"/>
  <c r="F213"/>
  <c r="H213" s="1"/>
  <c r="E213"/>
  <c r="I212"/>
  <c r="G212"/>
  <c r="F212"/>
  <c r="H212" s="1"/>
  <c r="E212"/>
  <c r="I211"/>
  <c r="G211"/>
  <c r="F211"/>
  <c r="H211" s="1"/>
  <c r="E211"/>
  <c r="I210"/>
  <c r="G210"/>
  <c r="F210"/>
  <c r="H210" s="1"/>
  <c r="E210"/>
  <c r="I209"/>
  <c r="G209"/>
  <c r="F209"/>
  <c r="H209" s="1"/>
  <c r="E209"/>
  <c r="I208"/>
  <c r="G208"/>
  <c r="F208"/>
  <c r="H208" s="1"/>
  <c r="E208"/>
  <c r="I207"/>
  <c r="H207"/>
  <c r="G207"/>
  <c r="F207"/>
  <c r="E207"/>
  <c r="I206"/>
  <c r="G206"/>
  <c r="F206"/>
  <c r="H206" s="1"/>
  <c r="E206"/>
  <c r="I205"/>
  <c r="G205"/>
  <c r="F205"/>
  <c r="H205" s="1"/>
  <c r="E205"/>
  <c r="I204"/>
  <c r="G204"/>
  <c r="F204"/>
  <c r="H204" s="1"/>
  <c r="E204"/>
  <c r="I203"/>
  <c r="G203"/>
  <c r="F203"/>
  <c r="H203" s="1"/>
  <c r="E203"/>
  <c r="I202"/>
  <c r="G202"/>
  <c r="F202"/>
  <c r="H202" s="1"/>
  <c r="E202"/>
  <c r="I201"/>
  <c r="G201"/>
  <c r="F201"/>
  <c r="H201" s="1"/>
  <c r="E201"/>
  <c r="I200"/>
  <c r="G200"/>
  <c r="F200"/>
  <c r="H200" s="1"/>
  <c r="E200"/>
  <c r="I199"/>
  <c r="G199"/>
  <c r="F199"/>
  <c r="H199" s="1"/>
  <c r="E199"/>
  <c r="I198"/>
  <c r="H198"/>
  <c r="G198"/>
  <c r="F198"/>
  <c r="E198"/>
  <c r="I197"/>
  <c r="G197"/>
  <c r="F197"/>
  <c r="H197" s="1"/>
  <c r="E197"/>
  <c r="I196"/>
  <c r="G196"/>
  <c r="F196"/>
  <c r="H196" s="1"/>
  <c r="E196"/>
  <c r="I195"/>
  <c r="G195"/>
  <c r="F195"/>
  <c r="H195" s="1"/>
  <c r="E195"/>
  <c r="I194"/>
  <c r="G194"/>
  <c r="F194"/>
  <c r="H194" s="1"/>
  <c r="E194"/>
  <c r="I193"/>
  <c r="G193"/>
  <c r="F193"/>
  <c r="H193" s="1"/>
  <c r="E193"/>
  <c r="I192"/>
  <c r="G192"/>
  <c r="F192"/>
  <c r="H192" s="1"/>
  <c r="E192"/>
  <c r="I191"/>
  <c r="G191"/>
  <c r="F191"/>
  <c r="H191" s="1"/>
  <c r="E191"/>
  <c r="I190"/>
  <c r="G190"/>
  <c r="F190"/>
  <c r="H190" s="1"/>
  <c r="E190"/>
  <c r="I189"/>
  <c r="H189"/>
  <c r="G189"/>
  <c r="F189"/>
  <c r="E189"/>
  <c r="I188"/>
  <c r="G188"/>
  <c r="F188"/>
  <c r="H188" s="1"/>
  <c r="E188"/>
  <c r="I187"/>
  <c r="G187"/>
  <c r="F187"/>
  <c r="H187" s="1"/>
  <c r="E187"/>
  <c r="I186"/>
  <c r="G186"/>
  <c r="F186"/>
  <c r="H186" s="1"/>
  <c r="E186"/>
  <c r="I185"/>
  <c r="G185"/>
  <c r="F185"/>
  <c r="H185" s="1"/>
  <c r="E185"/>
  <c r="I184"/>
  <c r="G184"/>
  <c r="F184"/>
  <c r="H184" s="1"/>
  <c r="E184"/>
  <c r="I183"/>
  <c r="G183"/>
  <c r="F183"/>
  <c r="H183" s="1"/>
  <c r="E183"/>
  <c r="I182"/>
  <c r="G182"/>
  <c r="F182"/>
  <c r="H182" s="1"/>
  <c r="E182"/>
  <c r="I181"/>
  <c r="G181"/>
  <c r="F181"/>
  <c r="H181" s="1"/>
  <c r="E181"/>
  <c r="I180"/>
  <c r="H180"/>
  <c r="G180"/>
  <c r="F180"/>
  <c r="E180"/>
  <c r="I179"/>
  <c r="G179"/>
  <c r="F179"/>
  <c r="H179" s="1"/>
  <c r="E179"/>
  <c r="I178"/>
  <c r="G178"/>
  <c r="F178"/>
  <c r="H178" s="1"/>
  <c r="E178"/>
  <c r="I177"/>
  <c r="G177"/>
  <c r="F177"/>
  <c r="H177" s="1"/>
  <c r="E177"/>
  <c r="I176"/>
  <c r="G176"/>
  <c r="F176"/>
  <c r="H176" s="1"/>
  <c r="E176"/>
  <c r="I175"/>
  <c r="G175"/>
  <c r="F175"/>
  <c r="H175" s="1"/>
  <c r="E175"/>
  <c r="I174"/>
  <c r="G174"/>
  <c r="F174"/>
  <c r="H174" s="1"/>
  <c r="E174"/>
  <c r="I173"/>
  <c r="G173"/>
  <c r="F173"/>
  <c r="H173" s="1"/>
  <c r="E173"/>
  <c r="I172"/>
  <c r="G172"/>
  <c r="F172"/>
  <c r="H172" s="1"/>
  <c r="E172"/>
  <c r="I171"/>
  <c r="H171"/>
  <c r="G171"/>
  <c r="F171"/>
  <c r="E171"/>
  <c r="I170"/>
  <c r="G170"/>
  <c r="F170"/>
  <c r="H170" s="1"/>
  <c r="E170"/>
  <c r="I169"/>
  <c r="G169"/>
  <c r="F169"/>
  <c r="H169" s="1"/>
  <c r="E169"/>
  <c r="I168"/>
  <c r="G168"/>
  <c r="F168"/>
  <c r="H168" s="1"/>
  <c r="E168"/>
  <c r="I167"/>
  <c r="G167"/>
  <c r="F167"/>
  <c r="H167" s="1"/>
  <c r="E167"/>
  <c r="I166"/>
  <c r="G166"/>
  <c r="F166"/>
  <c r="H166" s="1"/>
  <c r="E166"/>
  <c r="I165"/>
  <c r="G165"/>
  <c r="F165"/>
  <c r="H165" s="1"/>
  <c r="E165"/>
  <c r="I164"/>
  <c r="G164"/>
  <c r="F164"/>
  <c r="H164" s="1"/>
  <c r="E164"/>
  <c r="I163"/>
  <c r="G163"/>
  <c r="F163"/>
  <c r="H163" s="1"/>
  <c r="E163"/>
  <c r="I162"/>
  <c r="H162"/>
  <c r="G162"/>
  <c r="F162"/>
  <c r="E162"/>
  <c r="I161"/>
  <c r="G161"/>
  <c r="F161"/>
  <c r="H161" s="1"/>
  <c r="E161"/>
  <c r="I160"/>
  <c r="G160"/>
  <c r="F160"/>
  <c r="H160" s="1"/>
  <c r="E160"/>
  <c r="I159"/>
  <c r="G159"/>
  <c r="F159"/>
  <c r="H159" s="1"/>
  <c r="E159"/>
  <c r="I158"/>
  <c r="G158"/>
  <c r="F158"/>
  <c r="H158" s="1"/>
  <c r="E158"/>
  <c r="I157"/>
  <c r="G157"/>
  <c r="F157"/>
  <c r="H157" s="1"/>
  <c r="E157"/>
  <c r="I156"/>
  <c r="G156"/>
  <c r="F156"/>
  <c r="H156" s="1"/>
  <c r="E156"/>
  <c r="I155"/>
  <c r="G155"/>
  <c r="F155"/>
  <c r="H155" s="1"/>
  <c r="E155"/>
  <c r="I154"/>
  <c r="G154"/>
  <c r="F154"/>
  <c r="H154" s="1"/>
  <c r="E154"/>
  <c r="I153"/>
  <c r="H153"/>
  <c r="G153"/>
  <c r="F153"/>
  <c r="E153"/>
  <c r="I152"/>
  <c r="G152"/>
  <c r="F152"/>
  <c r="H152" s="1"/>
  <c r="E152"/>
  <c r="I151"/>
  <c r="G151"/>
  <c r="F151"/>
  <c r="H151" s="1"/>
  <c r="E151"/>
  <c r="I150"/>
  <c r="G150"/>
  <c r="F150"/>
  <c r="H150" s="1"/>
  <c r="E150"/>
  <c r="I149"/>
  <c r="G149"/>
  <c r="F149"/>
  <c r="H149" s="1"/>
  <c r="E149"/>
  <c r="I148"/>
  <c r="G148"/>
  <c r="F148"/>
  <c r="H148" s="1"/>
  <c r="E148"/>
  <c r="I147"/>
  <c r="G147"/>
  <c r="F147"/>
  <c r="H147" s="1"/>
  <c r="E147"/>
  <c r="I146"/>
  <c r="G146"/>
  <c r="F146"/>
  <c r="H146" s="1"/>
  <c r="E146"/>
  <c r="I145"/>
  <c r="G145"/>
  <c r="F145"/>
  <c r="H145" s="1"/>
  <c r="E145"/>
  <c r="I144"/>
  <c r="H144"/>
  <c r="G144"/>
  <c r="F144"/>
  <c r="E144"/>
  <c r="I143"/>
  <c r="G143"/>
  <c r="F143"/>
  <c r="H143" s="1"/>
  <c r="E143"/>
  <c r="I142"/>
  <c r="G142"/>
  <c r="F142"/>
  <c r="H142" s="1"/>
  <c r="E142"/>
  <c r="I141"/>
  <c r="G141"/>
  <c r="F141"/>
  <c r="H141" s="1"/>
  <c r="E141"/>
  <c r="I140"/>
  <c r="G140"/>
  <c r="F140"/>
  <c r="H140" s="1"/>
  <c r="E140"/>
  <c r="I139"/>
  <c r="G139"/>
  <c r="F139"/>
  <c r="H139" s="1"/>
  <c r="E139"/>
  <c r="I138"/>
  <c r="G138"/>
  <c r="F138"/>
  <c r="H138" s="1"/>
  <c r="E138"/>
  <c r="I137"/>
  <c r="G137"/>
  <c r="F137"/>
  <c r="H137" s="1"/>
  <c r="E137"/>
  <c r="I136"/>
  <c r="G136"/>
  <c r="F136"/>
  <c r="H136" s="1"/>
  <c r="E136"/>
  <c r="I135"/>
  <c r="H135"/>
  <c r="G135"/>
  <c r="F135"/>
  <c r="E135"/>
  <c r="I134"/>
  <c r="G134"/>
  <c r="F134"/>
  <c r="H134" s="1"/>
  <c r="E134"/>
  <c r="I133"/>
  <c r="G133"/>
  <c r="F133"/>
  <c r="H133" s="1"/>
  <c r="E133"/>
  <c r="I132"/>
  <c r="G132"/>
  <c r="F132"/>
  <c r="H132" s="1"/>
  <c r="E132"/>
  <c r="I131"/>
  <c r="G131"/>
  <c r="F131"/>
  <c r="H131" s="1"/>
  <c r="E131"/>
  <c r="I130"/>
  <c r="G130"/>
  <c r="F130"/>
  <c r="H130" s="1"/>
  <c r="E130"/>
  <c r="I129"/>
  <c r="G129"/>
  <c r="F129"/>
  <c r="H129" s="1"/>
  <c r="E129"/>
  <c r="I128"/>
  <c r="G128"/>
  <c r="F128"/>
  <c r="H128" s="1"/>
  <c r="E128"/>
  <c r="I127"/>
  <c r="G127"/>
  <c r="F127"/>
  <c r="H127" s="1"/>
  <c r="E127"/>
  <c r="I126"/>
  <c r="H126"/>
  <c r="G126"/>
  <c r="F126"/>
  <c r="E126"/>
  <c r="I125"/>
  <c r="G125"/>
  <c r="F125"/>
  <c r="H125" s="1"/>
  <c r="E125"/>
  <c r="I124"/>
  <c r="G124"/>
  <c r="F124"/>
  <c r="H124" s="1"/>
  <c r="E124"/>
  <c r="I123"/>
  <c r="G123"/>
  <c r="F123"/>
  <c r="H123" s="1"/>
  <c r="E123"/>
  <c r="I122"/>
  <c r="G122"/>
  <c r="F122"/>
  <c r="H122" s="1"/>
  <c r="E122"/>
  <c r="I121"/>
  <c r="G121"/>
  <c r="F121"/>
  <c r="H121" s="1"/>
  <c r="E121"/>
  <c r="I120"/>
  <c r="G120"/>
  <c r="F120"/>
  <c r="H120" s="1"/>
  <c r="E120"/>
  <c r="I119"/>
  <c r="G119"/>
  <c r="F119"/>
  <c r="H119" s="1"/>
  <c r="E119"/>
  <c r="I118"/>
  <c r="G118"/>
  <c r="F118"/>
  <c r="H118" s="1"/>
  <c r="E118"/>
  <c r="I117"/>
  <c r="H117"/>
  <c r="G117"/>
  <c r="F117"/>
  <c r="E117"/>
  <c r="I116"/>
  <c r="G116"/>
  <c r="F116"/>
  <c r="H116" s="1"/>
  <c r="E116"/>
  <c r="I115"/>
  <c r="G115"/>
  <c r="F115"/>
  <c r="H115" s="1"/>
  <c r="E115"/>
  <c r="I114"/>
  <c r="G114"/>
  <c r="F114"/>
  <c r="H114" s="1"/>
  <c r="E114"/>
  <c r="I113"/>
  <c r="G113"/>
  <c r="F113"/>
  <c r="H113" s="1"/>
  <c r="E113"/>
  <c r="I112"/>
  <c r="G112"/>
  <c r="F112"/>
  <c r="H112" s="1"/>
  <c r="E112"/>
  <c r="I111"/>
  <c r="G111"/>
  <c r="F111"/>
  <c r="H111" s="1"/>
  <c r="E111"/>
  <c r="I110"/>
  <c r="G110"/>
  <c r="F110"/>
  <c r="H110" s="1"/>
  <c r="E110"/>
  <c r="I109"/>
  <c r="G109"/>
  <c r="F109"/>
  <c r="H109" s="1"/>
  <c r="E109"/>
  <c r="I108"/>
  <c r="H108"/>
  <c r="G108"/>
  <c r="F108"/>
  <c r="E108"/>
  <c r="I107"/>
  <c r="G107"/>
  <c r="F107"/>
  <c r="H107" s="1"/>
  <c r="E107"/>
  <c r="I106"/>
  <c r="G106"/>
  <c r="F106"/>
  <c r="H106" s="1"/>
  <c r="E106"/>
  <c r="I105"/>
  <c r="G105"/>
  <c r="F105"/>
  <c r="H105" s="1"/>
  <c r="E105"/>
  <c r="I104"/>
  <c r="G104"/>
  <c r="F104"/>
  <c r="H104" s="1"/>
  <c r="E104"/>
  <c r="I103"/>
  <c r="G103"/>
  <c r="F103"/>
  <c r="H103" s="1"/>
  <c r="E103"/>
  <c r="I102"/>
  <c r="G102"/>
  <c r="F102"/>
  <c r="H102" s="1"/>
  <c r="E102"/>
  <c r="I101"/>
  <c r="G101"/>
  <c r="F101"/>
  <c r="H101" s="1"/>
  <c r="E101"/>
  <c r="I100"/>
  <c r="G100"/>
  <c r="F100"/>
  <c r="H100" s="1"/>
  <c r="E100"/>
  <c r="I99"/>
  <c r="H99"/>
  <c r="G99"/>
  <c r="F99"/>
  <c r="E99"/>
  <c r="I98"/>
  <c r="G98"/>
  <c r="F98"/>
  <c r="H98" s="1"/>
  <c r="E98"/>
  <c r="I97"/>
  <c r="G97"/>
  <c r="F97"/>
  <c r="H97" s="1"/>
  <c r="E97"/>
  <c r="I96"/>
  <c r="G96"/>
  <c r="F96"/>
  <c r="H96" s="1"/>
  <c r="E96"/>
  <c r="I95"/>
  <c r="G95"/>
  <c r="F95"/>
  <c r="H95" s="1"/>
  <c r="E95"/>
  <c r="I94"/>
  <c r="G94"/>
  <c r="F94"/>
  <c r="H94" s="1"/>
  <c r="E94"/>
  <c r="I93"/>
  <c r="G93"/>
  <c r="F93"/>
  <c r="H93" s="1"/>
  <c r="E93"/>
  <c r="I92"/>
  <c r="G92"/>
  <c r="F92"/>
  <c r="H92" s="1"/>
  <c r="E92"/>
  <c r="I91"/>
  <c r="G91"/>
  <c r="F91"/>
  <c r="H91" s="1"/>
  <c r="E91"/>
  <c r="I90"/>
  <c r="H90"/>
  <c r="G90"/>
  <c r="F90"/>
  <c r="E90"/>
  <c r="I89"/>
  <c r="G89"/>
  <c r="F89"/>
  <c r="H89" s="1"/>
  <c r="E89"/>
  <c r="I88"/>
  <c r="G88"/>
  <c r="F88"/>
  <c r="H88" s="1"/>
  <c r="E88"/>
  <c r="I87"/>
  <c r="G87"/>
  <c r="F87"/>
  <c r="H87" s="1"/>
  <c r="E87"/>
  <c r="I86"/>
  <c r="G86"/>
  <c r="F86"/>
  <c r="H86" s="1"/>
  <c r="E86"/>
  <c r="I85"/>
  <c r="G85"/>
  <c r="F85"/>
  <c r="H85" s="1"/>
  <c r="E85"/>
  <c r="I84"/>
  <c r="G84"/>
  <c r="F84"/>
  <c r="H84" s="1"/>
  <c r="E84"/>
  <c r="I83"/>
  <c r="G83"/>
  <c r="F83"/>
  <c r="H83" s="1"/>
  <c r="E83"/>
  <c r="I82"/>
  <c r="G82"/>
  <c r="F82"/>
  <c r="H82" s="1"/>
  <c r="E82"/>
  <c r="I81"/>
  <c r="H81"/>
  <c r="G81"/>
  <c r="F81"/>
  <c r="E81"/>
  <c r="I80"/>
  <c r="G80"/>
  <c r="F80"/>
  <c r="H80" s="1"/>
  <c r="E80"/>
  <c r="I79"/>
  <c r="G79"/>
  <c r="F79"/>
  <c r="H79" s="1"/>
  <c r="E79"/>
  <c r="I78"/>
  <c r="G78"/>
  <c r="F78"/>
  <c r="H78" s="1"/>
  <c r="E78"/>
  <c r="I77"/>
  <c r="G77"/>
  <c r="F77"/>
  <c r="H77" s="1"/>
  <c r="E77"/>
  <c r="I76"/>
  <c r="G76"/>
  <c r="F76"/>
  <c r="H76" s="1"/>
  <c r="E76"/>
  <c r="I75"/>
  <c r="G75"/>
  <c r="F75"/>
  <c r="H75" s="1"/>
  <c r="E75"/>
  <c r="I74"/>
  <c r="G74"/>
  <c r="F74"/>
  <c r="H74" s="1"/>
  <c r="E74"/>
  <c r="I73"/>
  <c r="G73"/>
  <c r="F73"/>
  <c r="H73" s="1"/>
  <c r="E73"/>
  <c r="I72"/>
  <c r="H72"/>
  <c r="G72"/>
  <c r="F72"/>
  <c r="E72"/>
  <c r="I71"/>
  <c r="G71"/>
  <c r="F71"/>
  <c r="H71" s="1"/>
  <c r="E71"/>
  <c r="I70"/>
  <c r="G70"/>
  <c r="F70"/>
  <c r="H70" s="1"/>
  <c r="E70"/>
  <c r="I69"/>
  <c r="G69"/>
  <c r="F69"/>
  <c r="H69" s="1"/>
  <c r="E69"/>
  <c r="I68"/>
  <c r="G68"/>
  <c r="F68"/>
  <c r="H68" s="1"/>
  <c r="E68"/>
  <c r="I67"/>
  <c r="G67"/>
  <c r="F67"/>
  <c r="H67" s="1"/>
  <c r="E67"/>
  <c r="I66"/>
  <c r="G66"/>
  <c r="F66"/>
  <c r="H66" s="1"/>
  <c r="E66"/>
  <c r="I65"/>
  <c r="G65"/>
  <c r="F65"/>
  <c r="H65" s="1"/>
  <c r="E65"/>
  <c r="I64"/>
  <c r="G64"/>
  <c r="F64"/>
  <c r="H64" s="1"/>
  <c r="E64"/>
  <c r="I63"/>
  <c r="H63"/>
  <c r="G63"/>
  <c r="F63"/>
  <c r="E63"/>
  <c r="I62"/>
  <c r="G62"/>
  <c r="F62"/>
  <c r="H62" s="1"/>
  <c r="E62"/>
  <c r="I61"/>
  <c r="G61"/>
  <c r="F61"/>
  <c r="H61" s="1"/>
  <c r="E61"/>
  <c r="I60"/>
  <c r="G60"/>
  <c r="F60"/>
  <c r="H60" s="1"/>
  <c r="E60"/>
  <c r="I59"/>
  <c r="G59"/>
  <c r="F59"/>
  <c r="H59" s="1"/>
  <c r="E59"/>
  <c r="I58"/>
  <c r="G58"/>
  <c r="F58"/>
  <c r="H58" s="1"/>
  <c r="E58"/>
  <c r="I57"/>
  <c r="G57"/>
  <c r="F57"/>
  <c r="H57" s="1"/>
  <c r="E57"/>
  <c r="I56"/>
  <c r="G56"/>
  <c r="F56"/>
  <c r="H56" s="1"/>
  <c r="E56"/>
  <c r="I55"/>
  <c r="G55"/>
  <c r="F55"/>
  <c r="H55" s="1"/>
  <c r="E55"/>
  <c r="I54"/>
  <c r="H54"/>
  <c r="G54"/>
  <c r="F54"/>
  <c r="E54"/>
  <c r="I53"/>
  <c r="G53"/>
  <c r="F53"/>
  <c r="H53" s="1"/>
  <c r="E53"/>
  <c r="I52"/>
  <c r="G52"/>
  <c r="F52"/>
  <c r="H52" s="1"/>
  <c r="E52"/>
  <c r="I51"/>
  <c r="G51"/>
  <c r="F51"/>
  <c r="H51" s="1"/>
  <c r="E51"/>
  <c r="I50"/>
  <c r="G50"/>
  <c r="F50"/>
  <c r="H50" s="1"/>
  <c r="E50"/>
  <c r="I49"/>
  <c r="G49"/>
  <c r="F49"/>
  <c r="H49" s="1"/>
  <c r="E49"/>
  <c r="I48"/>
  <c r="G48"/>
  <c r="F48"/>
  <c r="H48" s="1"/>
  <c r="E48"/>
  <c r="I47"/>
  <c r="G47"/>
  <c r="F47"/>
  <c r="H47" s="1"/>
  <c r="E47"/>
  <c r="I46"/>
  <c r="G46"/>
  <c r="F46"/>
  <c r="H46" s="1"/>
  <c r="E46"/>
  <c r="I45"/>
  <c r="H45"/>
  <c r="G45"/>
  <c r="F45"/>
  <c r="E45"/>
  <c r="I44"/>
  <c r="G44"/>
  <c r="F44"/>
  <c r="H44" s="1"/>
  <c r="E44"/>
  <c r="I43"/>
  <c r="G43"/>
  <c r="F43"/>
  <c r="H43" s="1"/>
  <c r="E43"/>
  <c r="I42"/>
  <c r="G42"/>
  <c r="F42"/>
  <c r="H42" s="1"/>
  <c r="E42"/>
  <c r="I41"/>
  <c r="G41"/>
  <c r="F41"/>
  <c r="H41" s="1"/>
  <c r="E41"/>
  <c r="I40"/>
  <c r="G40"/>
  <c r="F40"/>
  <c r="H40" s="1"/>
  <c r="E40"/>
  <c r="I39"/>
  <c r="G39"/>
  <c r="F39"/>
  <c r="H39" s="1"/>
  <c r="E39"/>
  <c r="I38"/>
  <c r="G38"/>
  <c r="F38"/>
  <c r="H38" s="1"/>
  <c r="E38"/>
  <c r="I37"/>
  <c r="G37"/>
  <c r="F37"/>
  <c r="H37" s="1"/>
  <c r="E37"/>
  <c r="I36"/>
  <c r="H36"/>
  <c r="G36"/>
  <c r="F36"/>
  <c r="E36"/>
  <c r="I35"/>
  <c r="G35"/>
  <c r="F35"/>
  <c r="H35" s="1"/>
  <c r="E35"/>
  <c r="I34"/>
  <c r="G34"/>
  <c r="F34"/>
  <c r="H34" s="1"/>
  <c r="E34"/>
  <c r="I33"/>
  <c r="G33"/>
  <c r="F33"/>
  <c r="H33" s="1"/>
  <c r="E33"/>
  <c r="I32"/>
  <c r="G32"/>
  <c r="F32"/>
  <c r="H32" s="1"/>
  <c r="E32"/>
  <c r="I31"/>
  <c r="G31"/>
  <c r="F31"/>
  <c r="H31" s="1"/>
  <c r="E31"/>
  <c r="I30"/>
  <c r="G30"/>
  <c r="F30"/>
  <c r="H30" s="1"/>
  <c r="E30"/>
  <c r="I29"/>
  <c r="G29"/>
  <c r="F29"/>
  <c r="H29" s="1"/>
  <c r="E29"/>
  <c r="I28"/>
  <c r="G28"/>
  <c r="F28"/>
  <c r="H28" s="1"/>
  <c r="E28"/>
  <c r="I27"/>
  <c r="H27"/>
  <c r="G27"/>
  <c r="F27"/>
  <c r="E27"/>
  <c r="I26"/>
  <c r="G26"/>
  <c r="F26"/>
  <c r="H26" s="1"/>
  <c r="E26"/>
  <c r="I25"/>
  <c r="G25"/>
  <c r="F25"/>
  <c r="H25" s="1"/>
  <c r="E25"/>
  <c r="I24"/>
  <c r="G24"/>
  <c r="F24"/>
  <c r="H24" s="1"/>
  <c r="E24"/>
  <c r="I23"/>
  <c r="G23"/>
  <c r="F23"/>
  <c r="H23" s="1"/>
  <c r="E23"/>
  <c r="I22"/>
  <c r="G22"/>
  <c r="F22"/>
  <c r="H22" s="1"/>
  <c r="E22"/>
  <c r="I21"/>
  <c r="G21"/>
  <c r="F21"/>
  <c r="H21" s="1"/>
  <c r="E21"/>
  <c r="I20"/>
  <c r="G20"/>
  <c r="F20"/>
  <c r="H20" s="1"/>
  <c r="E20"/>
  <c r="I19"/>
  <c r="G19"/>
  <c r="F19"/>
  <c r="H19" s="1"/>
  <c r="E19"/>
  <c r="I18"/>
  <c r="H18"/>
  <c r="G18"/>
  <c r="F18"/>
  <c r="E18"/>
  <c r="I17"/>
  <c r="G17"/>
  <c r="F17"/>
  <c r="H17" s="1"/>
  <c r="E17"/>
  <c r="I16"/>
  <c r="G16"/>
  <c r="F16"/>
  <c r="H16" s="1"/>
  <c r="E16"/>
  <c r="I15"/>
  <c r="G15"/>
  <c r="F15"/>
  <c r="H15" s="1"/>
  <c r="E15"/>
  <c r="I14"/>
  <c r="G14"/>
  <c r="F14"/>
  <c r="H14" s="1"/>
  <c r="E14"/>
  <c r="I13"/>
  <c r="G13"/>
  <c r="F13"/>
  <c r="H13" s="1"/>
  <c r="E13"/>
  <c r="I12"/>
  <c r="G12"/>
  <c r="F12"/>
  <c r="H12" s="1"/>
  <c r="E12"/>
  <c r="I11"/>
  <c r="G11"/>
  <c r="F11"/>
  <c r="H11" s="1"/>
  <c r="E11"/>
  <c r="I10"/>
  <c r="G10"/>
  <c r="F10"/>
  <c r="H10" s="1"/>
  <c r="E10"/>
  <c r="I9"/>
  <c r="H9"/>
  <c r="G9"/>
  <c r="F9"/>
  <c r="E9"/>
  <c r="I8"/>
  <c r="G8"/>
  <c r="F8"/>
  <c r="H8" s="1"/>
  <c r="E8"/>
  <c r="I7"/>
  <c r="G7"/>
  <c r="F7"/>
  <c r="H7" s="1"/>
  <c r="E7"/>
  <c r="I6"/>
  <c r="G6"/>
  <c r="F6"/>
  <c r="H6" s="1"/>
  <c r="E6"/>
  <c r="I5"/>
  <c r="G5"/>
  <c r="F5"/>
  <c r="H5" s="1"/>
  <c r="E5"/>
  <c r="I4"/>
  <c r="G4"/>
  <c r="F4"/>
  <c r="H4" s="1"/>
  <c r="E4"/>
  <c r="I3"/>
  <c r="G3"/>
  <c r="F3"/>
  <c r="H3" s="1"/>
  <c r="E3"/>
  <c r="I152" i="29"/>
  <c r="F152"/>
  <c r="H152" s="1"/>
  <c r="E152"/>
  <c r="I151"/>
  <c r="F151"/>
  <c r="H151" s="1"/>
  <c r="E151"/>
  <c r="I150"/>
  <c r="F150"/>
  <c r="H150" s="1"/>
  <c r="E150"/>
  <c r="I149"/>
  <c r="F149"/>
  <c r="H149" s="1"/>
  <c r="E149"/>
  <c r="I148"/>
  <c r="F148"/>
  <c r="H148" s="1"/>
  <c r="E148"/>
  <c r="I147"/>
  <c r="F147"/>
  <c r="H147" s="1"/>
  <c r="E147"/>
  <c r="I146"/>
  <c r="F146"/>
  <c r="H146" s="1"/>
  <c r="E146"/>
  <c r="I145"/>
  <c r="F145"/>
  <c r="H145" s="1"/>
  <c r="E145"/>
  <c r="I144"/>
  <c r="F144"/>
  <c r="H144" s="1"/>
  <c r="E144"/>
  <c r="I143"/>
  <c r="F143"/>
  <c r="H143" s="1"/>
  <c r="E143"/>
  <c r="I142"/>
  <c r="F142"/>
  <c r="H142" s="1"/>
  <c r="E142"/>
  <c r="I141"/>
  <c r="F141"/>
  <c r="H141" s="1"/>
  <c r="E141"/>
  <c r="I140"/>
  <c r="F140"/>
  <c r="H140" s="1"/>
  <c r="E140"/>
  <c r="I139"/>
  <c r="F139"/>
  <c r="H139" s="1"/>
  <c r="E139"/>
  <c r="I138"/>
  <c r="F138"/>
  <c r="H138" s="1"/>
  <c r="E138"/>
  <c r="I137"/>
  <c r="F137"/>
  <c r="H137" s="1"/>
  <c r="E137"/>
  <c r="I136"/>
  <c r="F136"/>
  <c r="H136" s="1"/>
  <c r="E136"/>
  <c r="I135"/>
  <c r="F135"/>
  <c r="H135" s="1"/>
  <c r="E135"/>
  <c r="I134"/>
  <c r="F134"/>
  <c r="H134" s="1"/>
  <c r="E134"/>
  <c r="I133"/>
  <c r="F133"/>
  <c r="H133" s="1"/>
  <c r="E133"/>
  <c r="I132"/>
  <c r="F132"/>
  <c r="H132" s="1"/>
  <c r="E132"/>
  <c r="I131"/>
  <c r="F131"/>
  <c r="H131" s="1"/>
  <c r="E131"/>
  <c r="I130"/>
  <c r="F130"/>
  <c r="H130" s="1"/>
  <c r="E130"/>
  <c r="I129"/>
  <c r="F129"/>
  <c r="H129" s="1"/>
  <c r="E129"/>
  <c r="I128"/>
  <c r="F128"/>
  <c r="H128" s="1"/>
  <c r="E128"/>
  <c r="I127"/>
  <c r="F127"/>
  <c r="H127" s="1"/>
  <c r="E127"/>
  <c r="I126"/>
  <c r="F126"/>
  <c r="H126" s="1"/>
  <c r="E126"/>
  <c r="I125"/>
  <c r="F125"/>
  <c r="H125" s="1"/>
  <c r="E125"/>
  <c r="I124"/>
  <c r="F124"/>
  <c r="H124" s="1"/>
  <c r="E124"/>
  <c r="I123"/>
  <c r="F123"/>
  <c r="H123" s="1"/>
  <c r="E123"/>
  <c r="I122"/>
  <c r="F122"/>
  <c r="H122" s="1"/>
  <c r="E122"/>
  <c r="I121"/>
  <c r="F121"/>
  <c r="H121" s="1"/>
  <c r="E121"/>
  <c r="I120"/>
  <c r="F120"/>
  <c r="H120" s="1"/>
  <c r="E120"/>
  <c r="I119"/>
  <c r="F119"/>
  <c r="H119" s="1"/>
  <c r="E119"/>
  <c r="I118"/>
  <c r="F118"/>
  <c r="H118" s="1"/>
  <c r="E118"/>
  <c r="I117"/>
  <c r="F117"/>
  <c r="H117" s="1"/>
  <c r="E117"/>
  <c r="I116"/>
  <c r="F116"/>
  <c r="H116" s="1"/>
  <c r="E116"/>
  <c r="I115"/>
  <c r="F115"/>
  <c r="H115" s="1"/>
  <c r="E115"/>
  <c r="I114"/>
  <c r="F114"/>
  <c r="H114" s="1"/>
  <c r="E114"/>
  <c r="I113"/>
  <c r="F113"/>
  <c r="H113" s="1"/>
  <c r="E113"/>
  <c r="I112"/>
  <c r="F112"/>
  <c r="H112" s="1"/>
  <c r="E112"/>
  <c r="I111"/>
  <c r="F111"/>
  <c r="H111" s="1"/>
  <c r="E111"/>
  <c r="I110"/>
  <c r="F110"/>
  <c r="H110" s="1"/>
  <c r="E110"/>
  <c r="I109"/>
  <c r="F109"/>
  <c r="H109" s="1"/>
  <c r="E109"/>
  <c r="I108"/>
  <c r="F108"/>
  <c r="H108" s="1"/>
  <c r="E108"/>
  <c r="I107"/>
  <c r="F107"/>
  <c r="H107" s="1"/>
  <c r="E107"/>
  <c r="I106"/>
  <c r="F106"/>
  <c r="H106" s="1"/>
  <c r="E106"/>
  <c r="I105"/>
  <c r="F105"/>
  <c r="H105" s="1"/>
  <c r="E105"/>
  <c r="I104"/>
  <c r="F104"/>
  <c r="H104" s="1"/>
  <c r="E104"/>
  <c r="I103"/>
  <c r="F103"/>
  <c r="H103" s="1"/>
  <c r="E103"/>
  <c r="I102"/>
  <c r="F102"/>
  <c r="H102" s="1"/>
  <c r="E102"/>
  <c r="I101"/>
  <c r="F101"/>
  <c r="H101" s="1"/>
  <c r="E101"/>
  <c r="I100"/>
  <c r="F100"/>
  <c r="H100" s="1"/>
  <c r="E100"/>
  <c r="I99"/>
  <c r="F99"/>
  <c r="H99" s="1"/>
  <c r="E99"/>
  <c r="I98"/>
  <c r="F98"/>
  <c r="H98" s="1"/>
  <c r="E98"/>
  <c r="I97"/>
  <c r="F97"/>
  <c r="H97" s="1"/>
  <c r="E97"/>
  <c r="I96"/>
  <c r="F96"/>
  <c r="H96" s="1"/>
  <c r="E96"/>
  <c r="I95"/>
  <c r="F95"/>
  <c r="H95" s="1"/>
  <c r="E95"/>
  <c r="I94"/>
  <c r="F94"/>
  <c r="H94" s="1"/>
  <c r="E94"/>
  <c r="I93"/>
  <c r="F93"/>
  <c r="H93" s="1"/>
  <c r="E93"/>
  <c r="I92"/>
  <c r="F92"/>
  <c r="H92" s="1"/>
  <c r="E92"/>
  <c r="I91"/>
  <c r="F91"/>
  <c r="H91" s="1"/>
  <c r="E91"/>
  <c r="I90"/>
  <c r="F90"/>
  <c r="H90" s="1"/>
  <c r="E90"/>
  <c r="I89"/>
  <c r="F89"/>
  <c r="H89" s="1"/>
  <c r="E89"/>
  <c r="I88"/>
  <c r="F88"/>
  <c r="H88" s="1"/>
  <c r="E88"/>
  <c r="I87"/>
  <c r="F87"/>
  <c r="H87" s="1"/>
  <c r="E87"/>
  <c r="I86"/>
  <c r="F86"/>
  <c r="H86" s="1"/>
  <c r="E86"/>
  <c r="I85"/>
  <c r="F85"/>
  <c r="H85" s="1"/>
  <c r="E85"/>
  <c r="I84"/>
  <c r="F84"/>
  <c r="H84" s="1"/>
  <c r="E84"/>
  <c r="I83"/>
  <c r="F83"/>
  <c r="H83" s="1"/>
  <c r="E83"/>
  <c r="I82"/>
  <c r="F82"/>
  <c r="H82" s="1"/>
  <c r="E82"/>
  <c r="I81"/>
  <c r="F81"/>
  <c r="H81" s="1"/>
  <c r="E81"/>
  <c r="I80"/>
  <c r="F80"/>
  <c r="H80" s="1"/>
  <c r="E80"/>
  <c r="I79"/>
  <c r="F79"/>
  <c r="H79" s="1"/>
  <c r="E79"/>
  <c r="I78"/>
  <c r="F78"/>
  <c r="H78" s="1"/>
  <c r="E78"/>
  <c r="I77"/>
  <c r="F77"/>
  <c r="H77" s="1"/>
  <c r="E77"/>
  <c r="I76"/>
  <c r="F76"/>
  <c r="H76" s="1"/>
  <c r="E76"/>
  <c r="I75"/>
  <c r="F75"/>
  <c r="H75" s="1"/>
  <c r="E75"/>
  <c r="I74"/>
  <c r="F74"/>
  <c r="H74" s="1"/>
  <c r="E74"/>
  <c r="I73"/>
  <c r="F73"/>
  <c r="H73" s="1"/>
  <c r="E73"/>
  <c r="I72"/>
  <c r="F72"/>
  <c r="H72" s="1"/>
  <c r="E72"/>
  <c r="I71"/>
  <c r="F71"/>
  <c r="H71" s="1"/>
  <c r="E71"/>
  <c r="I70"/>
  <c r="F70"/>
  <c r="H70" s="1"/>
  <c r="E70"/>
  <c r="I69"/>
  <c r="F69"/>
  <c r="H69" s="1"/>
  <c r="E69"/>
  <c r="I68"/>
  <c r="F68"/>
  <c r="H68" s="1"/>
  <c r="E68"/>
  <c r="I67"/>
  <c r="F67"/>
  <c r="H67" s="1"/>
  <c r="E67"/>
  <c r="I66"/>
  <c r="F66"/>
  <c r="H66" s="1"/>
  <c r="E66"/>
  <c r="I65"/>
  <c r="F65"/>
  <c r="H65" s="1"/>
  <c r="E65"/>
  <c r="I64"/>
  <c r="F64"/>
  <c r="H64" s="1"/>
  <c r="E64"/>
  <c r="I63"/>
  <c r="F63"/>
  <c r="H63" s="1"/>
  <c r="E63"/>
  <c r="I62"/>
  <c r="F62"/>
  <c r="H62" s="1"/>
  <c r="E62"/>
  <c r="I61"/>
  <c r="F61"/>
  <c r="H61" s="1"/>
  <c r="E61"/>
  <c r="I60"/>
  <c r="F60"/>
  <c r="H60" s="1"/>
  <c r="E60"/>
  <c r="I59"/>
  <c r="F59"/>
  <c r="H59" s="1"/>
  <c r="E59"/>
  <c r="I58"/>
  <c r="F58"/>
  <c r="H58" s="1"/>
  <c r="E58"/>
  <c r="I57"/>
  <c r="F57"/>
  <c r="H57" s="1"/>
  <c r="E57"/>
  <c r="I56"/>
  <c r="F56"/>
  <c r="H56" s="1"/>
  <c r="E56"/>
  <c r="I55"/>
  <c r="F55"/>
  <c r="H55" s="1"/>
  <c r="E55"/>
  <c r="I54"/>
  <c r="F54"/>
  <c r="H54" s="1"/>
  <c r="E54"/>
  <c r="I53"/>
  <c r="F53"/>
  <c r="H53" s="1"/>
  <c r="E53"/>
  <c r="I52"/>
  <c r="F52"/>
  <c r="H52" s="1"/>
  <c r="E52"/>
  <c r="I51"/>
  <c r="F51"/>
  <c r="H51" s="1"/>
  <c r="E51"/>
  <c r="I50"/>
  <c r="F50"/>
  <c r="H50" s="1"/>
  <c r="E50"/>
  <c r="I49"/>
  <c r="F49"/>
  <c r="H49" s="1"/>
  <c r="E49"/>
  <c r="I48"/>
  <c r="F48"/>
  <c r="H48" s="1"/>
  <c r="E48"/>
  <c r="I47"/>
  <c r="F47"/>
  <c r="H47" s="1"/>
  <c r="E47"/>
  <c r="I46"/>
  <c r="F46"/>
  <c r="H46" s="1"/>
  <c r="E46"/>
  <c r="I45"/>
  <c r="F45"/>
  <c r="H45" s="1"/>
  <c r="E45"/>
  <c r="I44"/>
  <c r="F44"/>
  <c r="H44" s="1"/>
  <c r="E44"/>
  <c r="I43"/>
  <c r="F43"/>
  <c r="H43" s="1"/>
  <c r="E43"/>
  <c r="I42"/>
  <c r="F42"/>
  <c r="H42" s="1"/>
  <c r="E42"/>
  <c r="I41"/>
  <c r="F41"/>
  <c r="H41" s="1"/>
  <c r="E41"/>
  <c r="I40"/>
  <c r="F40"/>
  <c r="H40" s="1"/>
  <c r="E40"/>
  <c r="I39"/>
  <c r="F39"/>
  <c r="H39" s="1"/>
  <c r="E39"/>
  <c r="I38"/>
  <c r="F38"/>
  <c r="H38" s="1"/>
  <c r="E38"/>
  <c r="I37"/>
  <c r="F37"/>
  <c r="H37" s="1"/>
  <c r="E37"/>
  <c r="I36"/>
  <c r="F36"/>
  <c r="H36" s="1"/>
  <c r="E36"/>
  <c r="I35"/>
  <c r="F35"/>
  <c r="H35" s="1"/>
  <c r="E35"/>
  <c r="I34"/>
  <c r="F34"/>
  <c r="H34" s="1"/>
  <c r="E34"/>
  <c r="I33"/>
  <c r="F33"/>
  <c r="H33" s="1"/>
  <c r="E33"/>
  <c r="I32"/>
  <c r="F32"/>
  <c r="H32" s="1"/>
  <c r="E32"/>
  <c r="I31"/>
  <c r="F31"/>
  <c r="H31" s="1"/>
  <c r="E31"/>
  <c r="I30"/>
  <c r="F30"/>
  <c r="H30" s="1"/>
  <c r="E30"/>
  <c r="I29"/>
  <c r="F29"/>
  <c r="H29" s="1"/>
  <c r="E29"/>
  <c r="I28"/>
  <c r="F28"/>
  <c r="H28" s="1"/>
  <c r="E28"/>
  <c r="I27"/>
  <c r="F27"/>
  <c r="H27" s="1"/>
  <c r="E27"/>
  <c r="I26"/>
  <c r="F26"/>
  <c r="H26" s="1"/>
  <c r="E26"/>
  <c r="I25"/>
  <c r="F25"/>
  <c r="H25" s="1"/>
  <c r="E25"/>
  <c r="I24"/>
  <c r="F24"/>
  <c r="H24" s="1"/>
  <c r="E24"/>
  <c r="I23"/>
  <c r="F23"/>
  <c r="H23" s="1"/>
  <c r="E23"/>
  <c r="I22"/>
  <c r="F22"/>
  <c r="H22" s="1"/>
  <c r="E22"/>
  <c r="I21"/>
  <c r="F21"/>
  <c r="H21" s="1"/>
  <c r="E21"/>
  <c r="I20"/>
  <c r="F20"/>
  <c r="H20" s="1"/>
  <c r="E20"/>
  <c r="I19"/>
  <c r="F19"/>
  <c r="H19" s="1"/>
  <c r="E19"/>
  <c r="I18"/>
  <c r="F18"/>
  <c r="H18" s="1"/>
  <c r="E18"/>
  <c r="I17"/>
  <c r="F17"/>
  <c r="H17" s="1"/>
  <c r="E17"/>
  <c r="I16"/>
  <c r="F16"/>
  <c r="H16" s="1"/>
  <c r="E16"/>
  <c r="I15"/>
  <c r="F15"/>
  <c r="H15" s="1"/>
  <c r="E15"/>
  <c r="I14"/>
  <c r="F14"/>
  <c r="H14" s="1"/>
  <c r="E14"/>
  <c r="I13"/>
  <c r="F13"/>
  <c r="H13" s="1"/>
  <c r="E13"/>
  <c r="I12"/>
  <c r="F12"/>
  <c r="H12" s="1"/>
  <c r="E12"/>
  <c r="I11"/>
  <c r="F11"/>
  <c r="H11" s="1"/>
  <c r="E11"/>
  <c r="I10"/>
  <c r="F10"/>
  <c r="H10" s="1"/>
  <c r="E10"/>
  <c r="I9"/>
  <c r="F9"/>
  <c r="H9" s="1"/>
  <c r="E9"/>
  <c r="I8"/>
  <c r="F8"/>
  <c r="H8" s="1"/>
  <c r="E8"/>
  <c r="I7"/>
  <c r="F7"/>
  <c r="H7" s="1"/>
  <c r="E7"/>
  <c r="I6"/>
  <c r="F6"/>
  <c r="H6" s="1"/>
  <c r="E6"/>
  <c r="I5"/>
  <c r="F5"/>
  <c r="H5" s="1"/>
  <c r="E5"/>
  <c r="I4"/>
  <c r="F4"/>
  <c r="H4" s="1"/>
  <c r="E4"/>
  <c r="I3"/>
  <c r="F3"/>
  <c r="H3" s="1"/>
  <c r="E3"/>
  <c r="H8" i="3"/>
  <c r="G902" i="18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902" i="28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F3"/>
  <c r="F4"/>
  <c r="F5"/>
  <c r="F6"/>
  <c r="F7"/>
  <c r="F8"/>
  <c r="F9"/>
  <c r="F10"/>
  <c r="F11"/>
  <c r="F12"/>
  <c r="H12" s="1"/>
  <c r="F13"/>
  <c r="F14"/>
  <c r="H14" s="1"/>
  <c r="F15"/>
  <c r="H15" s="1"/>
  <c r="F16"/>
  <c r="H16" s="1"/>
  <c r="F17"/>
  <c r="F18"/>
  <c r="H18" s="1"/>
  <c r="F19"/>
  <c r="F20"/>
  <c r="H20" s="1"/>
  <c r="F21"/>
  <c r="H21" s="1"/>
  <c r="F22"/>
  <c r="F23"/>
  <c r="F24"/>
  <c r="F25"/>
  <c r="F26"/>
  <c r="F27"/>
  <c r="H27" s="1"/>
  <c r="F28"/>
  <c r="F29"/>
  <c r="F30"/>
  <c r="F31"/>
  <c r="H31" s="1"/>
  <c r="F32"/>
  <c r="F33"/>
  <c r="H33" s="1"/>
  <c r="F34"/>
  <c r="F35"/>
  <c r="F36"/>
  <c r="F37"/>
  <c r="H37" s="1"/>
  <c r="F38"/>
  <c r="F39"/>
  <c r="F40"/>
  <c r="F41"/>
  <c r="F42"/>
  <c r="F43"/>
  <c r="F44"/>
  <c r="F45"/>
  <c r="F46"/>
  <c r="F47"/>
  <c r="F48"/>
  <c r="H48" s="1"/>
  <c r="F49"/>
  <c r="F50"/>
  <c r="H50" s="1"/>
  <c r="F51"/>
  <c r="H51" s="1"/>
  <c r="F52"/>
  <c r="H52" s="1"/>
  <c r="F53"/>
  <c r="F54"/>
  <c r="H54" s="1"/>
  <c r="F55"/>
  <c r="F56"/>
  <c r="H56" s="1"/>
  <c r="F57"/>
  <c r="H57" s="1"/>
  <c r="F58"/>
  <c r="F59"/>
  <c r="F60"/>
  <c r="F61"/>
  <c r="F62"/>
  <c r="F63"/>
  <c r="H63" s="1"/>
  <c r="F64"/>
  <c r="F65"/>
  <c r="F66"/>
  <c r="F67"/>
  <c r="H67" s="1"/>
  <c r="F68"/>
  <c r="F69"/>
  <c r="H69" s="1"/>
  <c r="F70"/>
  <c r="F71"/>
  <c r="F72"/>
  <c r="F73"/>
  <c r="H73" s="1"/>
  <c r="F74"/>
  <c r="F75"/>
  <c r="F76"/>
  <c r="F77"/>
  <c r="F78"/>
  <c r="F79"/>
  <c r="F80"/>
  <c r="F81"/>
  <c r="F82"/>
  <c r="F83"/>
  <c r="F84"/>
  <c r="H84" s="1"/>
  <c r="F85"/>
  <c r="F86"/>
  <c r="H86" s="1"/>
  <c r="F87"/>
  <c r="H87" s="1"/>
  <c r="F88"/>
  <c r="H88" s="1"/>
  <c r="F89"/>
  <c r="F90"/>
  <c r="H90" s="1"/>
  <c r="F91"/>
  <c r="F92"/>
  <c r="H92" s="1"/>
  <c r="F93"/>
  <c r="H93" s="1"/>
  <c r="F94"/>
  <c r="F95"/>
  <c r="F96"/>
  <c r="F97"/>
  <c r="F98"/>
  <c r="F99"/>
  <c r="H99" s="1"/>
  <c r="F100"/>
  <c r="F101"/>
  <c r="F102"/>
  <c r="F103"/>
  <c r="H103" s="1"/>
  <c r="F104"/>
  <c r="F105"/>
  <c r="H105" s="1"/>
  <c r="F106"/>
  <c r="F107"/>
  <c r="F108"/>
  <c r="F109"/>
  <c r="H109" s="1"/>
  <c r="F110"/>
  <c r="F111"/>
  <c r="F112"/>
  <c r="F113"/>
  <c r="F114"/>
  <c r="F115"/>
  <c r="F116"/>
  <c r="F117"/>
  <c r="F118"/>
  <c r="F119"/>
  <c r="F120"/>
  <c r="H120" s="1"/>
  <c r="F121"/>
  <c r="F122"/>
  <c r="H122" s="1"/>
  <c r="F123"/>
  <c r="H123" s="1"/>
  <c r="F124"/>
  <c r="H124" s="1"/>
  <c r="F125"/>
  <c r="F126"/>
  <c r="H126" s="1"/>
  <c r="F127"/>
  <c r="F128"/>
  <c r="H128" s="1"/>
  <c r="F129"/>
  <c r="H129" s="1"/>
  <c r="F130"/>
  <c r="F131"/>
  <c r="F132"/>
  <c r="F133"/>
  <c r="F134"/>
  <c r="F135"/>
  <c r="H135" s="1"/>
  <c r="F136"/>
  <c r="F137"/>
  <c r="F138"/>
  <c r="F139"/>
  <c r="H139" s="1"/>
  <c r="F140"/>
  <c r="F141"/>
  <c r="H141" s="1"/>
  <c r="F142"/>
  <c r="F143"/>
  <c r="F144"/>
  <c r="F145"/>
  <c r="H145" s="1"/>
  <c r="F146"/>
  <c r="F147"/>
  <c r="F148"/>
  <c r="F149"/>
  <c r="F150"/>
  <c r="F151"/>
  <c r="F152"/>
  <c r="F153"/>
  <c r="H153" s="1"/>
  <c r="F154"/>
  <c r="F155"/>
  <c r="F156"/>
  <c r="H156" s="1"/>
  <c r="F157"/>
  <c r="F158"/>
  <c r="H158" s="1"/>
  <c r="F159"/>
  <c r="H159" s="1"/>
  <c r="F160"/>
  <c r="F161"/>
  <c r="F162"/>
  <c r="F163"/>
  <c r="H163" s="1"/>
  <c r="F164"/>
  <c r="H164" s="1"/>
  <c r="F165"/>
  <c r="H165" s="1"/>
  <c r="F166"/>
  <c r="F167"/>
  <c r="F168"/>
  <c r="F169"/>
  <c r="H169" s="1"/>
  <c r="F170"/>
  <c r="H170" s="1"/>
  <c r="F171"/>
  <c r="F172"/>
  <c r="F173"/>
  <c r="F174"/>
  <c r="F175"/>
  <c r="H175" s="1"/>
  <c r="F176"/>
  <c r="H176" s="1"/>
  <c r="F177"/>
  <c r="H177" s="1"/>
  <c r="F178"/>
  <c r="F179"/>
  <c r="F180"/>
  <c r="F181"/>
  <c r="H181" s="1"/>
  <c r="F182"/>
  <c r="F183"/>
  <c r="H183" s="1"/>
  <c r="F184"/>
  <c r="F185"/>
  <c r="F186"/>
  <c r="F187"/>
  <c r="H187" s="1"/>
  <c r="F188"/>
  <c r="H188" s="1"/>
  <c r="F189"/>
  <c r="H189" s="1"/>
  <c r="F190"/>
  <c r="F191"/>
  <c r="F192"/>
  <c r="F193"/>
  <c r="H193" s="1"/>
  <c r="F194"/>
  <c r="H194" s="1"/>
  <c r="F195"/>
  <c r="F196"/>
  <c r="F197"/>
  <c r="F198"/>
  <c r="F199"/>
  <c r="H199" s="1"/>
  <c r="F200"/>
  <c r="H200" s="1"/>
  <c r="F201"/>
  <c r="F202"/>
  <c r="F203"/>
  <c r="F204"/>
  <c r="F205"/>
  <c r="H205" s="1"/>
  <c r="F206"/>
  <c r="H206" s="1"/>
  <c r="F207"/>
  <c r="F208"/>
  <c r="F209"/>
  <c r="F210"/>
  <c r="F211"/>
  <c r="H211" s="1"/>
  <c r="F212"/>
  <c r="H212" s="1"/>
  <c r="F213"/>
  <c r="F214"/>
  <c r="F215"/>
  <c r="F216"/>
  <c r="F217"/>
  <c r="H217" s="1"/>
  <c r="F218"/>
  <c r="F219"/>
  <c r="F220"/>
  <c r="F221"/>
  <c r="F222"/>
  <c r="F223"/>
  <c r="H223" s="1"/>
  <c r="F224"/>
  <c r="H224" s="1"/>
  <c r="F225"/>
  <c r="F226"/>
  <c r="F227"/>
  <c r="F228"/>
  <c r="F229"/>
  <c r="H229" s="1"/>
  <c r="F230"/>
  <c r="H230" s="1"/>
  <c r="F231"/>
  <c r="F232"/>
  <c r="F233"/>
  <c r="F234"/>
  <c r="F235"/>
  <c r="H235" s="1"/>
  <c r="F236"/>
  <c r="H236" s="1"/>
  <c r="F237"/>
  <c r="F238"/>
  <c r="F239"/>
  <c r="F240"/>
  <c r="F241"/>
  <c r="H241" s="1"/>
  <c r="F242"/>
  <c r="H242" s="1"/>
  <c r="F243"/>
  <c r="F244"/>
  <c r="F245"/>
  <c r="F246"/>
  <c r="F247"/>
  <c r="H247" s="1"/>
  <c r="F248"/>
  <c r="H248" s="1"/>
  <c r="F249"/>
  <c r="F250"/>
  <c r="F251"/>
  <c r="F252"/>
  <c r="F253"/>
  <c r="H253" s="1"/>
  <c r="F254"/>
  <c r="F255"/>
  <c r="F256"/>
  <c r="F257"/>
  <c r="F258"/>
  <c r="F259"/>
  <c r="H259" s="1"/>
  <c r="F260"/>
  <c r="H260" s="1"/>
  <c r="F261"/>
  <c r="F262"/>
  <c r="F263"/>
  <c r="F264"/>
  <c r="F265"/>
  <c r="H265" s="1"/>
  <c r="F266"/>
  <c r="H266" s="1"/>
  <c r="F267"/>
  <c r="F268"/>
  <c r="F269"/>
  <c r="F270"/>
  <c r="F271"/>
  <c r="H271" s="1"/>
  <c r="F272"/>
  <c r="H272" s="1"/>
  <c r="F273"/>
  <c r="F274"/>
  <c r="F275"/>
  <c r="F276"/>
  <c r="F277"/>
  <c r="H277" s="1"/>
  <c r="F278"/>
  <c r="H278" s="1"/>
  <c r="F279"/>
  <c r="F280"/>
  <c r="F281"/>
  <c r="F282"/>
  <c r="F283"/>
  <c r="H283" s="1"/>
  <c r="F284"/>
  <c r="H284" s="1"/>
  <c r="F285"/>
  <c r="F286"/>
  <c r="F287"/>
  <c r="F288"/>
  <c r="F289"/>
  <c r="H289" s="1"/>
  <c r="F290"/>
  <c r="F291"/>
  <c r="F292"/>
  <c r="F293"/>
  <c r="F294"/>
  <c r="F295"/>
  <c r="H295" s="1"/>
  <c r="F296"/>
  <c r="H296" s="1"/>
  <c r="F297"/>
  <c r="F298"/>
  <c r="F299"/>
  <c r="F300"/>
  <c r="F301"/>
  <c r="H301" s="1"/>
  <c r="F302"/>
  <c r="H302" s="1"/>
  <c r="F303"/>
  <c r="F304"/>
  <c r="F305"/>
  <c r="F306"/>
  <c r="F307"/>
  <c r="H307" s="1"/>
  <c r="F308"/>
  <c r="H308" s="1"/>
  <c r="F309"/>
  <c r="F310"/>
  <c r="F311"/>
  <c r="F312"/>
  <c r="F313"/>
  <c r="H313" s="1"/>
  <c r="F314"/>
  <c r="H314" s="1"/>
  <c r="F315"/>
  <c r="H315" s="1"/>
  <c r="F316"/>
  <c r="F317"/>
  <c r="F318"/>
  <c r="F319"/>
  <c r="H319" s="1"/>
  <c r="F320"/>
  <c r="F321"/>
  <c r="H321" s="1"/>
  <c r="F322"/>
  <c r="F323"/>
  <c r="F324"/>
  <c r="F325"/>
  <c r="H325" s="1"/>
  <c r="F326"/>
  <c r="H326" s="1"/>
  <c r="F327"/>
  <c r="H327" s="1"/>
  <c r="F328"/>
  <c r="F329"/>
  <c r="F330"/>
  <c r="F331"/>
  <c r="H331" s="1"/>
  <c r="F332"/>
  <c r="H332" s="1"/>
  <c r="F333"/>
  <c r="H333" s="1"/>
  <c r="F334"/>
  <c r="F335"/>
  <c r="F336"/>
  <c r="F337"/>
  <c r="H337" s="1"/>
  <c r="F338"/>
  <c r="F339"/>
  <c r="H339" s="1"/>
  <c r="F340"/>
  <c r="F341"/>
  <c r="F342"/>
  <c r="F343"/>
  <c r="H343" s="1"/>
  <c r="F344"/>
  <c r="H344" s="1"/>
  <c r="F345"/>
  <c r="H345" s="1"/>
  <c r="F346"/>
  <c r="F347"/>
  <c r="F348"/>
  <c r="F349"/>
  <c r="H349" s="1"/>
  <c r="F350"/>
  <c r="H350" s="1"/>
  <c r="F351"/>
  <c r="H351" s="1"/>
  <c r="F352"/>
  <c r="F353"/>
  <c r="F354"/>
  <c r="F355"/>
  <c r="H355" s="1"/>
  <c r="F356"/>
  <c r="F357"/>
  <c r="H357" s="1"/>
  <c r="F358"/>
  <c r="F359"/>
  <c r="F360"/>
  <c r="F361"/>
  <c r="H361" s="1"/>
  <c r="F362"/>
  <c r="H362" s="1"/>
  <c r="F363"/>
  <c r="H363" s="1"/>
  <c r="F364"/>
  <c r="F365"/>
  <c r="F366"/>
  <c r="F367"/>
  <c r="H367" s="1"/>
  <c r="F368"/>
  <c r="H368" s="1"/>
  <c r="F369"/>
  <c r="H369" s="1"/>
  <c r="F370"/>
  <c r="F371"/>
  <c r="F372"/>
  <c r="F373"/>
  <c r="H373" s="1"/>
  <c r="F374"/>
  <c r="F375"/>
  <c r="H375" s="1"/>
  <c r="F376"/>
  <c r="F377"/>
  <c r="F378"/>
  <c r="F379"/>
  <c r="H379" s="1"/>
  <c r="F380"/>
  <c r="H380" s="1"/>
  <c r="F381"/>
  <c r="H381" s="1"/>
  <c r="F382"/>
  <c r="F383"/>
  <c r="F384"/>
  <c r="F385"/>
  <c r="H385" s="1"/>
  <c r="F386"/>
  <c r="H386" s="1"/>
  <c r="F387"/>
  <c r="H387" s="1"/>
  <c r="F388"/>
  <c r="F389"/>
  <c r="F390"/>
  <c r="F391"/>
  <c r="H391" s="1"/>
  <c r="F392"/>
  <c r="F393"/>
  <c r="H393" s="1"/>
  <c r="F394"/>
  <c r="F395"/>
  <c r="F396"/>
  <c r="F397"/>
  <c r="H397" s="1"/>
  <c r="F398"/>
  <c r="H398" s="1"/>
  <c r="F399"/>
  <c r="H399" s="1"/>
  <c r="F400"/>
  <c r="F401"/>
  <c r="F402"/>
  <c r="F403"/>
  <c r="H403" s="1"/>
  <c r="F404"/>
  <c r="H404" s="1"/>
  <c r="F405"/>
  <c r="H405" s="1"/>
  <c r="F406"/>
  <c r="F407"/>
  <c r="F408"/>
  <c r="F409"/>
  <c r="H409" s="1"/>
  <c r="F410"/>
  <c r="F411"/>
  <c r="H411" s="1"/>
  <c r="F412"/>
  <c r="F413"/>
  <c r="F414"/>
  <c r="F415"/>
  <c r="H415" s="1"/>
  <c r="F416"/>
  <c r="H416" s="1"/>
  <c r="F417"/>
  <c r="H417" s="1"/>
  <c r="F418"/>
  <c r="F419"/>
  <c r="F420"/>
  <c r="F421"/>
  <c r="H421" s="1"/>
  <c r="F422"/>
  <c r="H422" s="1"/>
  <c r="F423"/>
  <c r="H423" s="1"/>
  <c r="F424"/>
  <c r="F425"/>
  <c r="F426"/>
  <c r="F427"/>
  <c r="H427" s="1"/>
  <c r="F428"/>
  <c r="F429"/>
  <c r="H429" s="1"/>
  <c r="F430"/>
  <c r="F431"/>
  <c r="F432"/>
  <c r="F433"/>
  <c r="H433" s="1"/>
  <c r="F434"/>
  <c r="H434" s="1"/>
  <c r="F435"/>
  <c r="H435" s="1"/>
  <c r="F436"/>
  <c r="F437"/>
  <c r="F438"/>
  <c r="F439"/>
  <c r="H439" s="1"/>
  <c r="F440"/>
  <c r="H440" s="1"/>
  <c r="F441"/>
  <c r="H441" s="1"/>
  <c r="F442"/>
  <c r="F443"/>
  <c r="F444"/>
  <c r="F445"/>
  <c r="H445" s="1"/>
  <c r="F446"/>
  <c r="F447"/>
  <c r="H447" s="1"/>
  <c r="F448"/>
  <c r="F449"/>
  <c r="F450"/>
  <c r="F451"/>
  <c r="H451" s="1"/>
  <c r="F452"/>
  <c r="H452" s="1"/>
  <c r="F453"/>
  <c r="H453" s="1"/>
  <c r="F454"/>
  <c r="F455"/>
  <c r="F456"/>
  <c r="F457"/>
  <c r="H457" s="1"/>
  <c r="F458"/>
  <c r="H458" s="1"/>
  <c r="F459"/>
  <c r="H459" s="1"/>
  <c r="F460"/>
  <c r="F461"/>
  <c r="F462"/>
  <c r="F463"/>
  <c r="H463" s="1"/>
  <c r="F464"/>
  <c r="F465"/>
  <c r="H465" s="1"/>
  <c r="F466"/>
  <c r="F467"/>
  <c r="F468"/>
  <c r="F469"/>
  <c r="H469" s="1"/>
  <c r="F470"/>
  <c r="H470" s="1"/>
  <c r="F471"/>
  <c r="H471" s="1"/>
  <c r="F472"/>
  <c r="F473"/>
  <c r="F474"/>
  <c r="F475"/>
  <c r="H475" s="1"/>
  <c r="F476"/>
  <c r="H476" s="1"/>
  <c r="F477"/>
  <c r="H477" s="1"/>
  <c r="F478"/>
  <c r="F479"/>
  <c r="F480"/>
  <c r="F481"/>
  <c r="H481" s="1"/>
  <c r="F482"/>
  <c r="F483"/>
  <c r="H483" s="1"/>
  <c r="F484"/>
  <c r="F485"/>
  <c r="F486"/>
  <c r="F487"/>
  <c r="H487" s="1"/>
  <c r="F488"/>
  <c r="H488" s="1"/>
  <c r="F489"/>
  <c r="H489" s="1"/>
  <c r="F490"/>
  <c r="F491"/>
  <c r="F492"/>
  <c r="F493"/>
  <c r="H493" s="1"/>
  <c r="F494"/>
  <c r="H494" s="1"/>
  <c r="F495"/>
  <c r="H495" s="1"/>
  <c r="F496"/>
  <c r="F497"/>
  <c r="F498"/>
  <c r="F499"/>
  <c r="H499" s="1"/>
  <c r="F500"/>
  <c r="F501"/>
  <c r="H501" s="1"/>
  <c r="F502"/>
  <c r="F503"/>
  <c r="F504"/>
  <c r="F505"/>
  <c r="H505" s="1"/>
  <c r="F506"/>
  <c r="H506" s="1"/>
  <c r="F507"/>
  <c r="H507" s="1"/>
  <c r="F508"/>
  <c r="F509"/>
  <c r="F510"/>
  <c r="F511"/>
  <c r="H511" s="1"/>
  <c r="F512"/>
  <c r="H512" s="1"/>
  <c r="F513"/>
  <c r="H513" s="1"/>
  <c r="F514"/>
  <c r="F515"/>
  <c r="F516"/>
  <c r="F517"/>
  <c r="H517" s="1"/>
  <c r="F518"/>
  <c r="F519"/>
  <c r="H519" s="1"/>
  <c r="F520"/>
  <c r="F521"/>
  <c r="F522"/>
  <c r="F523"/>
  <c r="H523" s="1"/>
  <c r="F524"/>
  <c r="H524" s="1"/>
  <c r="F525"/>
  <c r="H525" s="1"/>
  <c r="F526"/>
  <c r="F527"/>
  <c r="F528"/>
  <c r="F529"/>
  <c r="H529" s="1"/>
  <c r="F530"/>
  <c r="H530" s="1"/>
  <c r="F531"/>
  <c r="H531" s="1"/>
  <c r="F532"/>
  <c r="F533"/>
  <c r="F534"/>
  <c r="F535"/>
  <c r="H535" s="1"/>
  <c r="F536"/>
  <c r="F537"/>
  <c r="H537" s="1"/>
  <c r="F538"/>
  <c r="F539"/>
  <c r="F540"/>
  <c r="F541"/>
  <c r="H541" s="1"/>
  <c r="F542"/>
  <c r="H542" s="1"/>
  <c r="F543"/>
  <c r="H543" s="1"/>
  <c r="F544"/>
  <c r="F545"/>
  <c r="F546"/>
  <c r="F547"/>
  <c r="H547" s="1"/>
  <c r="F548"/>
  <c r="H548" s="1"/>
  <c r="F549"/>
  <c r="H549" s="1"/>
  <c r="F550"/>
  <c r="F551"/>
  <c r="F552"/>
  <c r="F553"/>
  <c r="H553" s="1"/>
  <c r="F554"/>
  <c r="F555"/>
  <c r="H555" s="1"/>
  <c r="F556"/>
  <c r="F557"/>
  <c r="F558"/>
  <c r="F559"/>
  <c r="H559" s="1"/>
  <c r="F560"/>
  <c r="H560" s="1"/>
  <c r="F561"/>
  <c r="H561" s="1"/>
  <c r="F562"/>
  <c r="F563"/>
  <c r="F564"/>
  <c r="F565"/>
  <c r="H565" s="1"/>
  <c r="F566"/>
  <c r="H566" s="1"/>
  <c r="F567"/>
  <c r="H567" s="1"/>
  <c r="F568"/>
  <c r="F569"/>
  <c r="F570"/>
  <c r="F571"/>
  <c r="H571" s="1"/>
  <c r="F572"/>
  <c r="F573"/>
  <c r="H573" s="1"/>
  <c r="F574"/>
  <c r="F575"/>
  <c r="F576"/>
  <c r="F577"/>
  <c r="H577" s="1"/>
  <c r="F578"/>
  <c r="H578" s="1"/>
  <c r="F579"/>
  <c r="H579" s="1"/>
  <c r="F580"/>
  <c r="F581"/>
  <c r="F582"/>
  <c r="F583"/>
  <c r="H583" s="1"/>
  <c r="F584"/>
  <c r="H584" s="1"/>
  <c r="F585"/>
  <c r="H585" s="1"/>
  <c r="F586"/>
  <c r="F587"/>
  <c r="F588"/>
  <c r="F589"/>
  <c r="H589" s="1"/>
  <c r="F590"/>
  <c r="F591"/>
  <c r="H591" s="1"/>
  <c r="F592"/>
  <c r="F593"/>
  <c r="F594"/>
  <c r="F595"/>
  <c r="H595" s="1"/>
  <c r="F596"/>
  <c r="H596" s="1"/>
  <c r="F597"/>
  <c r="H597" s="1"/>
  <c r="F598"/>
  <c r="F599"/>
  <c r="F600"/>
  <c r="F601"/>
  <c r="H601" s="1"/>
  <c r="F602"/>
  <c r="H602" s="1"/>
  <c r="F603"/>
  <c r="H603" s="1"/>
  <c r="F604"/>
  <c r="F605"/>
  <c r="F606"/>
  <c r="F607"/>
  <c r="H607" s="1"/>
  <c r="F608"/>
  <c r="F609"/>
  <c r="F610"/>
  <c r="F611"/>
  <c r="F612"/>
  <c r="F613"/>
  <c r="H613" s="1"/>
  <c r="F614"/>
  <c r="F615"/>
  <c r="F616"/>
  <c r="F617"/>
  <c r="F618"/>
  <c r="F619"/>
  <c r="H619" s="1"/>
  <c r="F620"/>
  <c r="H620" s="1"/>
  <c r="F621"/>
  <c r="F622"/>
  <c r="F623"/>
  <c r="F624"/>
  <c r="F625"/>
  <c r="H625" s="1"/>
  <c r="F626"/>
  <c r="H626" s="1"/>
  <c r="F627"/>
  <c r="F628"/>
  <c r="F629"/>
  <c r="F630"/>
  <c r="F631"/>
  <c r="H631" s="1"/>
  <c r="F632"/>
  <c r="H632" s="1"/>
  <c r="F633"/>
  <c r="F634"/>
  <c r="F635"/>
  <c r="F636"/>
  <c r="F637"/>
  <c r="H637" s="1"/>
  <c r="F638"/>
  <c r="H638" s="1"/>
  <c r="F639"/>
  <c r="F640"/>
  <c r="F641"/>
  <c r="F642"/>
  <c r="F643"/>
  <c r="H643" s="1"/>
  <c r="F644"/>
  <c r="F645"/>
  <c r="F646"/>
  <c r="F647"/>
  <c r="F648"/>
  <c r="F649"/>
  <c r="H649" s="1"/>
  <c r="F650"/>
  <c r="F651"/>
  <c r="F652"/>
  <c r="F653"/>
  <c r="F654"/>
  <c r="F655"/>
  <c r="H655" s="1"/>
  <c r="F656"/>
  <c r="H656" s="1"/>
  <c r="F657"/>
  <c r="F658"/>
  <c r="F659"/>
  <c r="F660"/>
  <c r="F661"/>
  <c r="H661" s="1"/>
  <c r="F662"/>
  <c r="H662" s="1"/>
  <c r="F663"/>
  <c r="F664"/>
  <c r="F665"/>
  <c r="F666"/>
  <c r="F667"/>
  <c r="H667" s="1"/>
  <c r="F668"/>
  <c r="H668" s="1"/>
  <c r="F669"/>
  <c r="F670"/>
  <c r="F671"/>
  <c r="F672"/>
  <c r="F673"/>
  <c r="H673" s="1"/>
  <c r="F674"/>
  <c r="H674" s="1"/>
  <c r="F675"/>
  <c r="F676"/>
  <c r="F677"/>
  <c r="F678"/>
  <c r="F679"/>
  <c r="H679" s="1"/>
  <c r="F680"/>
  <c r="F681"/>
  <c r="F682"/>
  <c r="F683"/>
  <c r="F684"/>
  <c r="F685"/>
  <c r="H685" s="1"/>
  <c r="F686"/>
  <c r="F687"/>
  <c r="F688"/>
  <c r="F689"/>
  <c r="F690"/>
  <c r="F691"/>
  <c r="H691" s="1"/>
  <c r="F692"/>
  <c r="H692" s="1"/>
  <c r="F693"/>
  <c r="F694"/>
  <c r="F695"/>
  <c r="F696"/>
  <c r="F697"/>
  <c r="H697" s="1"/>
  <c r="F698"/>
  <c r="H698" s="1"/>
  <c r="F699"/>
  <c r="F700"/>
  <c r="F701"/>
  <c r="F702"/>
  <c r="F703"/>
  <c r="H703" s="1"/>
  <c r="F704"/>
  <c r="H704" s="1"/>
  <c r="F705"/>
  <c r="F706"/>
  <c r="F707"/>
  <c r="F708"/>
  <c r="F709"/>
  <c r="H709" s="1"/>
  <c r="F710"/>
  <c r="H710" s="1"/>
  <c r="F711"/>
  <c r="F712"/>
  <c r="F713"/>
  <c r="F714"/>
  <c r="F715"/>
  <c r="H715" s="1"/>
  <c r="F716"/>
  <c r="F717"/>
  <c r="F718"/>
  <c r="F719"/>
  <c r="F720"/>
  <c r="F721"/>
  <c r="H721" s="1"/>
  <c r="F722"/>
  <c r="F723"/>
  <c r="F724"/>
  <c r="F725"/>
  <c r="F726"/>
  <c r="F727"/>
  <c r="H727" s="1"/>
  <c r="F728"/>
  <c r="H728" s="1"/>
  <c r="F729"/>
  <c r="F730"/>
  <c r="F731"/>
  <c r="F732"/>
  <c r="F733"/>
  <c r="H733" s="1"/>
  <c r="F734"/>
  <c r="H734" s="1"/>
  <c r="F735"/>
  <c r="F736"/>
  <c r="F737"/>
  <c r="F738"/>
  <c r="F739"/>
  <c r="H739" s="1"/>
  <c r="F740"/>
  <c r="F741"/>
  <c r="F742"/>
  <c r="F743"/>
  <c r="F744"/>
  <c r="F745"/>
  <c r="H745" s="1"/>
  <c r="F746"/>
  <c r="F747"/>
  <c r="F748"/>
  <c r="F749"/>
  <c r="F750"/>
  <c r="F751"/>
  <c r="H751" s="1"/>
  <c r="F752"/>
  <c r="F753"/>
  <c r="F754"/>
  <c r="F755"/>
  <c r="F756"/>
  <c r="F757"/>
  <c r="H757" s="1"/>
  <c r="F758"/>
  <c r="H758" s="1"/>
  <c r="F759"/>
  <c r="F760"/>
  <c r="F761"/>
  <c r="F762"/>
  <c r="F763"/>
  <c r="H763" s="1"/>
  <c r="F764"/>
  <c r="H764" s="1"/>
  <c r="F765"/>
  <c r="F766"/>
  <c r="F767"/>
  <c r="F768"/>
  <c r="F769"/>
  <c r="H769" s="1"/>
  <c r="F770"/>
  <c r="H770" s="1"/>
  <c r="F771"/>
  <c r="F772"/>
  <c r="F773"/>
  <c r="F774"/>
  <c r="F775"/>
  <c r="H775" s="1"/>
  <c r="F776"/>
  <c r="F777"/>
  <c r="F778"/>
  <c r="F779"/>
  <c r="F780"/>
  <c r="F781"/>
  <c r="H781" s="1"/>
  <c r="F782"/>
  <c r="F783"/>
  <c r="F784"/>
  <c r="F785"/>
  <c r="F786"/>
  <c r="F787"/>
  <c r="H787" s="1"/>
  <c r="F788"/>
  <c r="F789"/>
  <c r="F790"/>
  <c r="F791"/>
  <c r="F792"/>
  <c r="F793"/>
  <c r="H793" s="1"/>
  <c r="F794"/>
  <c r="F795"/>
  <c r="F796"/>
  <c r="F797"/>
  <c r="F798"/>
  <c r="F799"/>
  <c r="H799" s="1"/>
  <c r="F800"/>
  <c r="F801"/>
  <c r="F802"/>
  <c r="F803"/>
  <c r="F804"/>
  <c r="F805"/>
  <c r="H805" s="1"/>
  <c r="F806"/>
  <c r="F807"/>
  <c r="F808"/>
  <c r="F809"/>
  <c r="F810"/>
  <c r="F811"/>
  <c r="H811" s="1"/>
  <c r="F812"/>
  <c r="F813"/>
  <c r="F814"/>
  <c r="F815"/>
  <c r="F816"/>
  <c r="F817"/>
  <c r="H817" s="1"/>
  <c r="F818"/>
  <c r="F819"/>
  <c r="F820"/>
  <c r="F821"/>
  <c r="F822"/>
  <c r="F823"/>
  <c r="H823" s="1"/>
  <c r="F824"/>
  <c r="F825"/>
  <c r="F826"/>
  <c r="F827"/>
  <c r="F828"/>
  <c r="F829"/>
  <c r="H829" s="1"/>
  <c r="F830"/>
  <c r="F831"/>
  <c r="F832"/>
  <c r="F833"/>
  <c r="F834"/>
  <c r="F835"/>
  <c r="H835" s="1"/>
  <c r="F836"/>
  <c r="F837"/>
  <c r="F838"/>
  <c r="F839"/>
  <c r="F840"/>
  <c r="F841"/>
  <c r="H841" s="1"/>
  <c r="F842"/>
  <c r="F843"/>
  <c r="F844"/>
  <c r="F845"/>
  <c r="F846"/>
  <c r="F847"/>
  <c r="H847" s="1"/>
  <c r="F848"/>
  <c r="F849"/>
  <c r="F850"/>
  <c r="F851"/>
  <c r="F852"/>
  <c r="F853"/>
  <c r="H853" s="1"/>
  <c r="F854"/>
  <c r="F855"/>
  <c r="F856"/>
  <c r="F857"/>
  <c r="F858"/>
  <c r="F859"/>
  <c r="H859" s="1"/>
  <c r="F860"/>
  <c r="F861"/>
  <c r="F862"/>
  <c r="F863"/>
  <c r="F864"/>
  <c r="F865"/>
  <c r="H865" s="1"/>
  <c r="F866"/>
  <c r="F867"/>
  <c r="F868"/>
  <c r="F869"/>
  <c r="F870"/>
  <c r="F871"/>
  <c r="H871" s="1"/>
  <c r="F872"/>
  <c r="F873"/>
  <c r="F874"/>
  <c r="F875"/>
  <c r="F876"/>
  <c r="F877"/>
  <c r="H877" s="1"/>
  <c r="F878"/>
  <c r="F879"/>
  <c r="F880"/>
  <c r="F881"/>
  <c r="F882"/>
  <c r="F883"/>
  <c r="H883" s="1"/>
  <c r="F884"/>
  <c r="F885"/>
  <c r="F886"/>
  <c r="F887"/>
  <c r="F888"/>
  <c r="F889"/>
  <c r="H889" s="1"/>
  <c r="F890"/>
  <c r="F891"/>
  <c r="F892"/>
  <c r="F893"/>
  <c r="F894"/>
  <c r="F895"/>
  <c r="H895" s="1"/>
  <c r="F896"/>
  <c r="F897"/>
  <c r="F898"/>
  <c r="F899"/>
  <c r="F900"/>
  <c r="F901"/>
  <c r="H901" s="1"/>
  <c r="F902"/>
  <c r="F3" i="18"/>
  <c r="F4"/>
  <c r="F5"/>
  <c r="F6"/>
  <c r="F7"/>
  <c r="F8"/>
  <c r="F9"/>
  <c r="F10"/>
  <c r="H10" s="1"/>
  <c r="F11"/>
  <c r="F12"/>
  <c r="F13"/>
  <c r="F14"/>
  <c r="F15"/>
  <c r="F16"/>
  <c r="F17"/>
  <c r="F18"/>
  <c r="F19"/>
  <c r="F20"/>
  <c r="F21"/>
  <c r="F22"/>
  <c r="H22" s="1"/>
  <c r="F23"/>
  <c r="F24"/>
  <c r="F25"/>
  <c r="F26"/>
  <c r="F27"/>
  <c r="F28"/>
  <c r="H28" s="1"/>
  <c r="F29"/>
  <c r="F30"/>
  <c r="F31"/>
  <c r="F32"/>
  <c r="F33"/>
  <c r="F34"/>
  <c r="H34" s="1"/>
  <c r="F35"/>
  <c r="F36"/>
  <c r="F37"/>
  <c r="F38"/>
  <c r="F39"/>
  <c r="F40"/>
  <c r="H40" s="1"/>
  <c r="F41"/>
  <c r="F42"/>
  <c r="F43"/>
  <c r="F44"/>
  <c r="F45"/>
  <c r="F46"/>
  <c r="F47"/>
  <c r="F48"/>
  <c r="F49"/>
  <c r="F50"/>
  <c r="F51"/>
  <c r="F52"/>
  <c r="H52" s="1"/>
  <c r="F53"/>
  <c r="F54"/>
  <c r="F55"/>
  <c r="F56"/>
  <c r="F57"/>
  <c r="F58"/>
  <c r="F59"/>
  <c r="F60"/>
  <c r="F61"/>
  <c r="F62"/>
  <c r="F63"/>
  <c r="F64"/>
  <c r="H64" s="1"/>
  <c r="F65"/>
  <c r="F66"/>
  <c r="F67"/>
  <c r="F68"/>
  <c r="F69"/>
  <c r="F70"/>
  <c r="F71"/>
  <c r="F72"/>
  <c r="F73"/>
  <c r="F74"/>
  <c r="F75"/>
  <c r="F76"/>
  <c r="H76" s="1"/>
  <c r="F77"/>
  <c r="F78"/>
  <c r="F79"/>
  <c r="F80"/>
  <c r="F81"/>
  <c r="F82"/>
  <c r="H82" s="1"/>
  <c r="F83"/>
  <c r="F84"/>
  <c r="F85"/>
  <c r="F86"/>
  <c r="F87"/>
  <c r="F88"/>
  <c r="H88" s="1"/>
  <c r="F89"/>
  <c r="F90"/>
  <c r="F91"/>
  <c r="F92"/>
  <c r="F93"/>
  <c r="F94"/>
  <c r="H94" s="1"/>
  <c r="F95"/>
  <c r="F96"/>
  <c r="F97"/>
  <c r="F98"/>
  <c r="F99"/>
  <c r="F100"/>
  <c r="F101"/>
  <c r="F102"/>
  <c r="F103"/>
  <c r="F104"/>
  <c r="F105"/>
  <c r="F106"/>
  <c r="H106" s="1"/>
  <c r="F107"/>
  <c r="F108"/>
  <c r="F109"/>
  <c r="F110"/>
  <c r="F111"/>
  <c r="F112"/>
  <c r="F113"/>
  <c r="F114"/>
  <c r="F115"/>
  <c r="F116"/>
  <c r="F117"/>
  <c r="F118"/>
  <c r="H118" s="1"/>
  <c r="F119"/>
  <c r="F120"/>
  <c r="F121"/>
  <c r="F122"/>
  <c r="F123"/>
  <c r="F124"/>
  <c r="F125"/>
  <c r="F126"/>
  <c r="F127"/>
  <c r="F128"/>
  <c r="F129"/>
  <c r="F130"/>
  <c r="H130" s="1"/>
  <c r="F131"/>
  <c r="F132"/>
  <c r="F133"/>
  <c r="F134"/>
  <c r="F135"/>
  <c r="F136"/>
  <c r="H136" s="1"/>
  <c r="F137"/>
  <c r="F138"/>
  <c r="F139"/>
  <c r="F140"/>
  <c r="F141"/>
  <c r="F142"/>
  <c r="H142" s="1"/>
  <c r="F143"/>
  <c r="F144"/>
  <c r="F145"/>
  <c r="F146"/>
  <c r="F147"/>
  <c r="F148"/>
  <c r="H148" s="1"/>
  <c r="F149"/>
  <c r="F150"/>
  <c r="F151"/>
  <c r="F152"/>
  <c r="F153"/>
  <c r="F154"/>
  <c r="F155"/>
  <c r="F156"/>
  <c r="F157"/>
  <c r="F158"/>
  <c r="F159"/>
  <c r="F160"/>
  <c r="H160" s="1"/>
  <c r="F161"/>
  <c r="F162"/>
  <c r="F163"/>
  <c r="F164"/>
  <c r="F165"/>
  <c r="F166"/>
  <c r="F167"/>
  <c r="F168"/>
  <c r="F169"/>
  <c r="F170"/>
  <c r="F171"/>
  <c r="F172"/>
  <c r="H172" s="1"/>
  <c r="F173"/>
  <c r="F174"/>
  <c r="F175"/>
  <c r="F176"/>
  <c r="F177"/>
  <c r="F178"/>
  <c r="F179"/>
  <c r="F180"/>
  <c r="F181"/>
  <c r="F182"/>
  <c r="F183"/>
  <c r="F184"/>
  <c r="H184" s="1"/>
  <c r="F185"/>
  <c r="F186"/>
  <c r="F187"/>
  <c r="F188"/>
  <c r="F189"/>
  <c r="F190"/>
  <c r="H190" s="1"/>
  <c r="F191"/>
  <c r="F192"/>
  <c r="F193"/>
  <c r="F194"/>
  <c r="F195"/>
  <c r="F196"/>
  <c r="H196" s="1"/>
  <c r="F197"/>
  <c r="F198"/>
  <c r="F199"/>
  <c r="F200"/>
  <c r="F201"/>
  <c r="F202"/>
  <c r="H202" s="1"/>
  <c r="F203"/>
  <c r="F204"/>
  <c r="F205"/>
  <c r="F206"/>
  <c r="F207"/>
  <c r="F208"/>
  <c r="F209"/>
  <c r="F210"/>
  <c r="F211"/>
  <c r="F212"/>
  <c r="F213"/>
  <c r="F214"/>
  <c r="H214" s="1"/>
  <c r="F215"/>
  <c r="F216"/>
  <c r="F217"/>
  <c r="F218"/>
  <c r="F219"/>
  <c r="F220"/>
  <c r="F221"/>
  <c r="F222"/>
  <c r="F223"/>
  <c r="F224"/>
  <c r="F225"/>
  <c r="F226"/>
  <c r="H226" s="1"/>
  <c r="F227"/>
  <c r="F228"/>
  <c r="F229"/>
  <c r="F230"/>
  <c r="F231"/>
  <c r="F232"/>
  <c r="F233"/>
  <c r="F234"/>
  <c r="F235"/>
  <c r="F236"/>
  <c r="F237"/>
  <c r="F238"/>
  <c r="H238" s="1"/>
  <c r="F239"/>
  <c r="F240"/>
  <c r="F241"/>
  <c r="F242"/>
  <c r="F243"/>
  <c r="F244"/>
  <c r="H244" s="1"/>
  <c r="F245"/>
  <c r="F246"/>
  <c r="F247"/>
  <c r="F248"/>
  <c r="F249"/>
  <c r="F250"/>
  <c r="H250" s="1"/>
  <c r="F251"/>
  <c r="F252"/>
  <c r="F253"/>
  <c r="F254"/>
  <c r="F255"/>
  <c r="F256"/>
  <c r="H256" s="1"/>
  <c r="F257"/>
  <c r="F258"/>
  <c r="F259"/>
  <c r="F260"/>
  <c r="F261"/>
  <c r="F262"/>
  <c r="F263"/>
  <c r="F264"/>
  <c r="F265"/>
  <c r="F266"/>
  <c r="F267"/>
  <c r="F268"/>
  <c r="H268" s="1"/>
  <c r="F269"/>
  <c r="F270"/>
  <c r="F271"/>
  <c r="F272"/>
  <c r="F273"/>
  <c r="F274"/>
  <c r="F275"/>
  <c r="F276"/>
  <c r="F277"/>
  <c r="F278"/>
  <c r="F279"/>
  <c r="F280"/>
  <c r="H280" s="1"/>
  <c r="F281"/>
  <c r="F282"/>
  <c r="F283"/>
  <c r="F284"/>
  <c r="F285"/>
  <c r="F286"/>
  <c r="F287"/>
  <c r="F288"/>
  <c r="F289"/>
  <c r="F290"/>
  <c r="F291"/>
  <c r="F292"/>
  <c r="H292" s="1"/>
  <c r="F293"/>
  <c r="F294"/>
  <c r="F295"/>
  <c r="F296"/>
  <c r="F297"/>
  <c r="F298"/>
  <c r="H298" s="1"/>
  <c r="F299"/>
  <c r="F300"/>
  <c r="F301"/>
  <c r="F302"/>
  <c r="F303"/>
  <c r="F304"/>
  <c r="H304" s="1"/>
  <c r="F305"/>
  <c r="F306"/>
  <c r="F307"/>
  <c r="F308"/>
  <c r="F309"/>
  <c r="F310"/>
  <c r="H310" s="1"/>
  <c r="F311"/>
  <c r="F312"/>
  <c r="F313"/>
  <c r="F314"/>
  <c r="F315"/>
  <c r="F316"/>
  <c r="F317"/>
  <c r="F318"/>
  <c r="F319"/>
  <c r="F320"/>
  <c r="F321"/>
  <c r="F322"/>
  <c r="H322" s="1"/>
  <c r="F323"/>
  <c r="F324"/>
  <c r="F325"/>
  <c r="F326"/>
  <c r="F327"/>
  <c r="F328"/>
  <c r="F329"/>
  <c r="F330"/>
  <c r="F331"/>
  <c r="F332"/>
  <c r="F333"/>
  <c r="F334"/>
  <c r="H334" s="1"/>
  <c r="F335"/>
  <c r="F336"/>
  <c r="F337"/>
  <c r="F338"/>
  <c r="F339"/>
  <c r="F340"/>
  <c r="F341"/>
  <c r="F342"/>
  <c r="F343"/>
  <c r="F344"/>
  <c r="F345"/>
  <c r="F346"/>
  <c r="H346" s="1"/>
  <c r="F347"/>
  <c r="F348"/>
  <c r="F349"/>
  <c r="F350"/>
  <c r="F351"/>
  <c r="F352"/>
  <c r="H352" s="1"/>
  <c r="F353"/>
  <c r="F354"/>
  <c r="F355"/>
  <c r="F356"/>
  <c r="F357"/>
  <c r="F358"/>
  <c r="H358" s="1"/>
  <c r="F359"/>
  <c r="F360"/>
  <c r="F361"/>
  <c r="F362"/>
  <c r="F363"/>
  <c r="F364"/>
  <c r="F365"/>
  <c r="F366"/>
  <c r="F367"/>
  <c r="F368"/>
  <c r="F369"/>
  <c r="F370"/>
  <c r="H370" s="1"/>
  <c r="F371"/>
  <c r="F372"/>
  <c r="F373"/>
  <c r="F374"/>
  <c r="F375"/>
  <c r="F376"/>
  <c r="H376" s="1"/>
  <c r="F377"/>
  <c r="F378"/>
  <c r="F379"/>
  <c r="F380"/>
  <c r="F381"/>
  <c r="F382"/>
  <c r="H382" s="1"/>
  <c r="F383"/>
  <c r="F384"/>
  <c r="F385"/>
  <c r="F386"/>
  <c r="F387"/>
  <c r="F388"/>
  <c r="H388" s="1"/>
  <c r="F389"/>
  <c r="F390"/>
  <c r="F391"/>
  <c r="F392"/>
  <c r="F393"/>
  <c r="F394"/>
  <c r="H394" s="1"/>
  <c r="F395"/>
  <c r="F396"/>
  <c r="F397"/>
  <c r="F398"/>
  <c r="F399"/>
  <c r="F400"/>
  <c r="F401"/>
  <c r="F402"/>
  <c r="F403"/>
  <c r="F404"/>
  <c r="F405"/>
  <c r="F406"/>
  <c r="H406" s="1"/>
  <c r="F407"/>
  <c r="F408"/>
  <c r="F409"/>
  <c r="F410"/>
  <c r="F411"/>
  <c r="F412"/>
  <c r="H412" s="1"/>
  <c r="F413"/>
  <c r="F414"/>
  <c r="F415"/>
  <c r="F416"/>
  <c r="F417"/>
  <c r="F418"/>
  <c r="H418" s="1"/>
  <c r="F419"/>
  <c r="F420"/>
  <c r="F421"/>
  <c r="F422"/>
  <c r="F423"/>
  <c r="F424"/>
  <c r="H424" s="1"/>
  <c r="F425"/>
  <c r="F426"/>
  <c r="F427"/>
  <c r="F428"/>
  <c r="F429"/>
  <c r="F430"/>
  <c r="H430" s="1"/>
  <c r="F431"/>
  <c r="F432"/>
  <c r="F433"/>
  <c r="F434"/>
  <c r="F435"/>
  <c r="F436"/>
  <c r="F437"/>
  <c r="F438"/>
  <c r="F439"/>
  <c r="F440"/>
  <c r="F441"/>
  <c r="F442"/>
  <c r="H442" s="1"/>
  <c r="F443"/>
  <c r="F444"/>
  <c r="F445"/>
  <c r="F446"/>
  <c r="F447"/>
  <c r="F448"/>
  <c r="H448" s="1"/>
  <c r="F449"/>
  <c r="F450"/>
  <c r="F451"/>
  <c r="F452"/>
  <c r="F453"/>
  <c r="F454"/>
  <c r="H454" s="1"/>
  <c r="F455"/>
  <c r="F456"/>
  <c r="F457"/>
  <c r="F458"/>
  <c r="F459"/>
  <c r="F460"/>
  <c r="H460" s="1"/>
  <c r="F461"/>
  <c r="F462"/>
  <c r="F463"/>
  <c r="F464"/>
  <c r="F465"/>
  <c r="F466"/>
  <c r="H466" s="1"/>
  <c r="F467"/>
  <c r="F468"/>
  <c r="F469"/>
  <c r="F470"/>
  <c r="F471"/>
  <c r="F472"/>
  <c r="F473"/>
  <c r="F474"/>
  <c r="F475"/>
  <c r="F476"/>
  <c r="F477"/>
  <c r="F478"/>
  <c r="H478" s="1"/>
  <c r="F479"/>
  <c r="F480"/>
  <c r="F481"/>
  <c r="F482"/>
  <c r="F483"/>
  <c r="F484"/>
  <c r="H484" s="1"/>
  <c r="F485"/>
  <c r="F486"/>
  <c r="F487"/>
  <c r="F488"/>
  <c r="F489"/>
  <c r="F490"/>
  <c r="H490" s="1"/>
  <c r="F491"/>
  <c r="F492"/>
  <c r="F493"/>
  <c r="F494"/>
  <c r="F495"/>
  <c r="F496"/>
  <c r="H496" s="1"/>
  <c r="F497"/>
  <c r="F498"/>
  <c r="F499"/>
  <c r="F500"/>
  <c r="F501"/>
  <c r="F502"/>
  <c r="H502" s="1"/>
  <c r="F503"/>
  <c r="F504"/>
  <c r="H504" s="1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H505"/>
  <c r="H172" i="28"/>
  <c r="H166"/>
  <c r="H160"/>
  <c r="H154"/>
  <c r="H147"/>
  <c r="H117"/>
  <c r="H111"/>
  <c r="H81"/>
  <c r="H75"/>
  <c r="H45"/>
  <c r="H39"/>
  <c r="H9"/>
  <c r="G5" i="3"/>
  <c r="H5" s="1"/>
  <c r="E503" i="18"/>
  <c r="H503"/>
  <c r="I503"/>
  <c r="E504"/>
  <c r="I504"/>
  <c r="E505"/>
  <c r="I505"/>
  <c r="E506"/>
  <c r="H506"/>
  <c r="I506"/>
  <c r="E507"/>
  <c r="H507"/>
  <c r="I507"/>
  <c r="E508"/>
  <c r="H508"/>
  <c r="I508"/>
  <c r="E509"/>
  <c r="H509"/>
  <c r="I509"/>
  <c r="E510"/>
  <c r="H510"/>
  <c r="I510"/>
  <c r="E511"/>
  <c r="H511"/>
  <c r="I511"/>
  <c r="E512"/>
  <c r="H512"/>
  <c r="I512"/>
  <c r="E513"/>
  <c r="H513"/>
  <c r="I513"/>
  <c r="E514"/>
  <c r="H514"/>
  <c r="I514"/>
  <c r="E515"/>
  <c r="H515"/>
  <c r="I515"/>
  <c r="E516"/>
  <c r="H516"/>
  <c r="I516"/>
  <c r="E517"/>
  <c r="H517"/>
  <c r="I517"/>
  <c r="E518"/>
  <c r="H518"/>
  <c r="I518"/>
  <c r="E519"/>
  <c r="H519"/>
  <c r="I519"/>
  <c r="E520"/>
  <c r="H520"/>
  <c r="I520"/>
  <c r="E521"/>
  <c r="H521"/>
  <c r="I521"/>
  <c r="E522"/>
  <c r="H522"/>
  <c r="I522"/>
  <c r="E523"/>
  <c r="H523"/>
  <c r="I523"/>
  <c r="E524"/>
  <c r="H524"/>
  <c r="I524"/>
  <c r="E525"/>
  <c r="H525"/>
  <c r="I525"/>
  <c r="E526"/>
  <c r="H526"/>
  <c r="I526"/>
  <c r="E527"/>
  <c r="H527"/>
  <c r="I527"/>
  <c r="E528"/>
  <c r="H528"/>
  <c r="I528"/>
  <c r="E529"/>
  <c r="H529"/>
  <c r="I529"/>
  <c r="E530"/>
  <c r="H530"/>
  <c r="I530"/>
  <c r="E531"/>
  <c r="H531"/>
  <c r="I531"/>
  <c r="E532"/>
  <c r="H532"/>
  <c r="I532"/>
  <c r="E533"/>
  <c r="H533"/>
  <c r="I533"/>
  <c r="E534"/>
  <c r="H534"/>
  <c r="I534"/>
  <c r="E535"/>
  <c r="H535"/>
  <c r="I535"/>
  <c r="E536"/>
  <c r="H536"/>
  <c r="I536"/>
  <c r="E537"/>
  <c r="H537"/>
  <c r="I537"/>
  <c r="E538"/>
  <c r="H538"/>
  <c r="I538"/>
  <c r="E539"/>
  <c r="H539"/>
  <c r="I539"/>
  <c r="E540"/>
  <c r="H540"/>
  <c r="I540"/>
  <c r="E541"/>
  <c r="H541"/>
  <c r="I541"/>
  <c r="E542"/>
  <c r="H542"/>
  <c r="I542"/>
  <c r="E543"/>
  <c r="H543"/>
  <c r="I543"/>
  <c r="E544"/>
  <c r="H544"/>
  <c r="I544"/>
  <c r="E545"/>
  <c r="H545"/>
  <c r="I545"/>
  <c r="E546"/>
  <c r="H546"/>
  <c r="I546"/>
  <c r="E547"/>
  <c r="H547"/>
  <c r="I547"/>
  <c r="E548"/>
  <c r="H548"/>
  <c r="I548"/>
  <c r="E549"/>
  <c r="H549"/>
  <c r="I549"/>
  <c r="E550"/>
  <c r="H550"/>
  <c r="I550"/>
  <c r="E551"/>
  <c r="H551"/>
  <c r="I551"/>
  <c r="E552"/>
  <c r="H552"/>
  <c r="I552"/>
  <c r="E553"/>
  <c r="H553"/>
  <c r="I553"/>
  <c r="E554"/>
  <c r="H554"/>
  <c r="I554"/>
  <c r="E555"/>
  <c r="H555"/>
  <c r="I555"/>
  <c r="E556"/>
  <c r="H556"/>
  <c r="I556"/>
  <c r="E557"/>
  <c r="H557"/>
  <c r="I557"/>
  <c r="E558"/>
  <c r="H558"/>
  <c r="I558"/>
  <c r="E559"/>
  <c r="H559"/>
  <c r="I559"/>
  <c r="E560"/>
  <c r="H560"/>
  <c r="I560"/>
  <c r="E561"/>
  <c r="H561"/>
  <c r="I561"/>
  <c r="E562"/>
  <c r="H562"/>
  <c r="I562"/>
  <c r="E563"/>
  <c r="H563"/>
  <c r="I563"/>
  <c r="E564"/>
  <c r="H564"/>
  <c r="I564"/>
  <c r="E565"/>
  <c r="H565"/>
  <c r="I565"/>
  <c r="E566"/>
  <c r="H566"/>
  <c r="I566"/>
  <c r="E567"/>
  <c r="H567"/>
  <c r="I567"/>
  <c r="E568"/>
  <c r="H568"/>
  <c r="I568"/>
  <c r="E569"/>
  <c r="H569"/>
  <c r="I569"/>
  <c r="E570"/>
  <c r="H570"/>
  <c r="I570"/>
  <c r="E571"/>
  <c r="H571"/>
  <c r="I571"/>
  <c r="E572"/>
  <c r="H572"/>
  <c r="I572"/>
  <c r="E573"/>
  <c r="H573"/>
  <c r="I573"/>
  <c r="E574"/>
  <c r="H574"/>
  <c r="I574"/>
  <c r="E575"/>
  <c r="H575"/>
  <c r="I575"/>
  <c r="E576"/>
  <c r="H576"/>
  <c r="I576"/>
  <c r="E577"/>
  <c r="H577"/>
  <c r="I577"/>
  <c r="E578"/>
  <c r="H578"/>
  <c r="I578"/>
  <c r="E579"/>
  <c r="H579"/>
  <c r="I579"/>
  <c r="E580"/>
  <c r="H580"/>
  <c r="I580"/>
  <c r="E581"/>
  <c r="H581"/>
  <c r="I581"/>
  <c r="E582"/>
  <c r="H582"/>
  <c r="I582"/>
  <c r="E583"/>
  <c r="H583"/>
  <c r="I583"/>
  <c r="E584"/>
  <c r="H584"/>
  <c r="I584"/>
  <c r="E585"/>
  <c r="H585"/>
  <c r="I585"/>
  <c r="E586"/>
  <c r="H586"/>
  <c r="I586"/>
  <c r="E587"/>
  <c r="H587"/>
  <c r="I587"/>
  <c r="E588"/>
  <c r="H588"/>
  <c r="I588"/>
  <c r="E589"/>
  <c r="H589"/>
  <c r="I589"/>
  <c r="E590"/>
  <c r="H590"/>
  <c r="I590"/>
  <c r="E591"/>
  <c r="H591"/>
  <c r="I591"/>
  <c r="E592"/>
  <c r="H592"/>
  <c r="I592"/>
  <c r="E593"/>
  <c r="H593"/>
  <c r="I593"/>
  <c r="E594"/>
  <c r="H594"/>
  <c r="I594"/>
  <c r="E595"/>
  <c r="H595"/>
  <c r="I595"/>
  <c r="E596"/>
  <c r="H596"/>
  <c r="I596"/>
  <c r="E597"/>
  <c r="H597"/>
  <c r="I597"/>
  <c r="E598"/>
  <c r="H598"/>
  <c r="I598"/>
  <c r="E599"/>
  <c r="H599"/>
  <c r="I599"/>
  <c r="E600"/>
  <c r="H600"/>
  <c r="I600"/>
  <c r="E601"/>
  <c r="H601"/>
  <c r="I601"/>
  <c r="E602"/>
  <c r="H602"/>
  <c r="I602"/>
  <c r="E603"/>
  <c r="H603"/>
  <c r="I603"/>
  <c r="E604"/>
  <c r="H604"/>
  <c r="I604"/>
  <c r="E605"/>
  <c r="H605"/>
  <c r="I605"/>
  <c r="E606"/>
  <c r="H606"/>
  <c r="I606"/>
  <c r="E607"/>
  <c r="H607"/>
  <c r="I607"/>
  <c r="E608"/>
  <c r="H608"/>
  <c r="I608"/>
  <c r="E609"/>
  <c r="H609"/>
  <c r="I609"/>
  <c r="E610"/>
  <c r="H610"/>
  <c r="I610"/>
  <c r="E611"/>
  <c r="H611"/>
  <c r="I611"/>
  <c r="E612"/>
  <c r="H612"/>
  <c r="I612"/>
  <c r="E613"/>
  <c r="H613"/>
  <c r="I613"/>
  <c r="E614"/>
  <c r="H614"/>
  <c r="I614"/>
  <c r="E615"/>
  <c r="H615"/>
  <c r="I615"/>
  <c r="E616"/>
  <c r="H616"/>
  <c r="I616"/>
  <c r="E617"/>
  <c r="H617"/>
  <c r="I617"/>
  <c r="E618"/>
  <c r="H618"/>
  <c r="I618"/>
  <c r="E619"/>
  <c r="H619"/>
  <c r="I619"/>
  <c r="E620"/>
  <c r="H620"/>
  <c r="I620"/>
  <c r="E621"/>
  <c r="H621"/>
  <c r="I621"/>
  <c r="E622"/>
  <c r="H622"/>
  <c r="I622"/>
  <c r="E623"/>
  <c r="H623"/>
  <c r="I623"/>
  <c r="E624"/>
  <c r="H624"/>
  <c r="I624"/>
  <c r="E625"/>
  <c r="H625"/>
  <c r="I625"/>
  <c r="E626"/>
  <c r="H626"/>
  <c r="I626"/>
  <c r="E627"/>
  <c r="H627"/>
  <c r="I627"/>
  <c r="E628"/>
  <c r="H628"/>
  <c r="I628"/>
  <c r="E629"/>
  <c r="H629"/>
  <c r="I629"/>
  <c r="E630"/>
  <c r="H630"/>
  <c r="I630"/>
  <c r="E631"/>
  <c r="H631"/>
  <c r="I631"/>
  <c r="E632"/>
  <c r="H632"/>
  <c r="I632"/>
  <c r="E633"/>
  <c r="H633"/>
  <c r="I633"/>
  <c r="E634"/>
  <c r="H634"/>
  <c r="I634"/>
  <c r="E635"/>
  <c r="H635"/>
  <c r="I635"/>
  <c r="E636"/>
  <c r="H636"/>
  <c r="I636"/>
  <c r="E637"/>
  <c r="H637"/>
  <c r="I637"/>
  <c r="E638"/>
  <c r="H638"/>
  <c r="I638"/>
  <c r="E639"/>
  <c r="H639"/>
  <c r="I639"/>
  <c r="E640"/>
  <c r="H640"/>
  <c r="I640"/>
  <c r="E641"/>
  <c r="H641"/>
  <c r="I641"/>
  <c r="E642"/>
  <c r="H642"/>
  <c r="I642"/>
  <c r="E643"/>
  <c r="H643"/>
  <c r="I643"/>
  <c r="E644"/>
  <c r="H644"/>
  <c r="I644"/>
  <c r="E645"/>
  <c r="H645"/>
  <c r="I645"/>
  <c r="E646"/>
  <c r="H646"/>
  <c r="I646"/>
  <c r="E647"/>
  <c r="H647"/>
  <c r="I647"/>
  <c r="E648"/>
  <c r="H648"/>
  <c r="I648"/>
  <c r="E649"/>
  <c r="H649"/>
  <c r="I649"/>
  <c r="E650"/>
  <c r="H650"/>
  <c r="I650"/>
  <c r="E651"/>
  <c r="H651"/>
  <c r="I651"/>
  <c r="E652"/>
  <c r="H652"/>
  <c r="I652"/>
  <c r="E653"/>
  <c r="H653"/>
  <c r="I653"/>
  <c r="E654"/>
  <c r="H654"/>
  <c r="I654"/>
  <c r="E655"/>
  <c r="H655"/>
  <c r="I655"/>
  <c r="E656"/>
  <c r="H656"/>
  <c r="I656"/>
  <c r="E657"/>
  <c r="H657"/>
  <c r="I657"/>
  <c r="E658"/>
  <c r="H658"/>
  <c r="I658"/>
  <c r="E659"/>
  <c r="H659"/>
  <c r="I659"/>
  <c r="E660"/>
  <c r="H660"/>
  <c r="I660"/>
  <c r="E661"/>
  <c r="H661"/>
  <c r="I661"/>
  <c r="E662"/>
  <c r="H662"/>
  <c r="I662"/>
  <c r="E663"/>
  <c r="H663"/>
  <c r="I663"/>
  <c r="E664"/>
  <c r="H664"/>
  <c r="I664"/>
  <c r="E665"/>
  <c r="H665"/>
  <c r="I665"/>
  <c r="E666"/>
  <c r="H666"/>
  <c r="I666"/>
  <c r="E667"/>
  <c r="H667"/>
  <c r="I667"/>
  <c r="E668"/>
  <c r="H668"/>
  <c r="I668"/>
  <c r="E669"/>
  <c r="H669"/>
  <c r="I669"/>
  <c r="E670"/>
  <c r="H670"/>
  <c r="I670"/>
  <c r="E671"/>
  <c r="H671"/>
  <c r="I671"/>
  <c r="E672"/>
  <c r="H672"/>
  <c r="I672"/>
  <c r="E673"/>
  <c r="H673"/>
  <c r="I673"/>
  <c r="E674"/>
  <c r="H674"/>
  <c r="I674"/>
  <c r="E675"/>
  <c r="H675"/>
  <c r="I675"/>
  <c r="E676"/>
  <c r="H676"/>
  <c r="I676"/>
  <c r="E677"/>
  <c r="H677"/>
  <c r="I677"/>
  <c r="E678"/>
  <c r="H678"/>
  <c r="I678"/>
  <c r="E679"/>
  <c r="H679"/>
  <c r="I679"/>
  <c r="E680"/>
  <c r="H680"/>
  <c r="I680"/>
  <c r="E681"/>
  <c r="H681"/>
  <c r="I681"/>
  <c r="E682"/>
  <c r="H682"/>
  <c r="I682"/>
  <c r="E683"/>
  <c r="H683"/>
  <c r="I683"/>
  <c r="E684"/>
  <c r="H684"/>
  <c r="I684"/>
  <c r="E685"/>
  <c r="H685"/>
  <c r="I685"/>
  <c r="E686"/>
  <c r="H686"/>
  <c r="I686"/>
  <c r="E687"/>
  <c r="H687"/>
  <c r="I687"/>
  <c r="E688"/>
  <c r="H688"/>
  <c r="I688"/>
  <c r="E689"/>
  <c r="H689"/>
  <c r="I689"/>
  <c r="E690"/>
  <c r="H690"/>
  <c r="I690"/>
  <c r="E691"/>
  <c r="H691"/>
  <c r="I691"/>
  <c r="E692"/>
  <c r="H692"/>
  <c r="I692"/>
  <c r="E693"/>
  <c r="H693"/>
  <c r="I693"/>
  <c r="E694"/>
  <c r="H694"/>
  <c r="I694"/>
  <c r="E695"/>
  <c r="H695"/>
  <c r="I695"/>
  <c r="E696"/>
  <c r="H696"/>
  <c r="I696"/>
  <c r="E697"/>
  <c r="H697"/>
  <c r="I697"/>
  <c r="E698"/>
  <c r="H698"/>
  <c r="I698"/>
  <c r="E699"/>
  <c r="H699"/>
  <c r="I699"/>
  <c r="E700"/>
  <c r="H700"/>
  <c r="I700"/>
  <c r="E701"/>
  <c r="H701"/>
  <c r="I701"/>
  <c r="E702"/>
  <c r="H702"/>
  <c r="I702"/>
  <c r="E703"/>
  <c r="H703"/>
  <c r="I703"/>
  <c r="E704"/>
  <c r="H704"/>
  <c r="I704"/>
  <c r="E705"/>
  <c r="H705"/>
  <c r="I705"/>
  <c r="E706"/>
  <c r="H706"/>
  <c r="I706"/>
  <c r="E707"/>
  <c r="H707"/>
  <c r="I707"/>
  <c r="E708"/>
  <c r="H708"/>
  <c r="I708"/>
  <c r="E709"/>
  <c r="H709"/>
  <c r="I709"/>
  <c r="E710"/>
  <c r="H710"/>
  <c r="I710"/>
  <c r="E711"/>
  <c r="H711"/>
  <c r="I711"/>
  <c r="E712"/>
  <c r="H712"/>
  <c r="I712"/>
  <c r="E713"/>
  <c r="H713"/>
  <c r="I713"/>
  <c r="E714"/>
  <c r="H714"/>
  <c r="I714"/>
  <c r="E715"/>
  <c r="H715"/>
  <c r="I715"/>
  <c r="E716"/>
  <c r="H716"/>
  <c r="I716"/>
  <c r="E717"/>
  <c r="H717"/>
  <c r="I717"/>
  <c r="E718"/>
  <c r="H718"/>
  <c r="I718"/>
  <c r="E719"/>
  <c r="H719"/>
  <c r="I719"/>
  <c r="E720"/>
  <c r="H720"/>
  <c r="I720"/>
  <c r="E721"/>
  <c r="H721"/>
  <c r="I721"/>
  <c r="E722"/>
  <c r="H722"/>
  <c r="I722"/>
  <c r="E723"/>
  <c r="H723"/>
  <c r="I723"/>
  <c r="E724"/>
  <c r="H724"/>
  <c r="I724"/>
  <c r="E725"/>
  <c r="H725"/>
  <c r="I725"/>
  <c r="E726"/>
  <c r="H726"/>
  <c r="I726"/>
  <c r="E727"/>
  <c r="H727"/>
  <c r="I727"/>
  <c r="E728"/>
  <c r="H728"/>
  <c r="I728"/>
  <c r="E729"/>
  <c r="H729"/>
  <c r="I729"/>
  <c r="E730"/>
  <c r="H730"/>
  <c r="I730"/>
  <c r="E731"/>
  <c r="H731"/>
  <c r="I731"/>
  <c r="E732"/>
  <c r="H732"/>
  <c r="I732"/>
  <c r="E733"/>
  <c r="H733"/>
  <c r="I733"/>
  <c r="E734"/>
  <c r="H734"/>
  <c r="I734"/>
  <c r="E735"/>
  <c r="H735"/>
  <c r="I735"/>
  <c r="E736"/>
  <c r="H736"/>
  <c r="I736"/>
  <c r="E737"/>
  <c r="H737"/>
  <c r="I737"/>
  <c r="E738"/>
  <c r="H738"/>
  <c r="I738"/>
  <c r="E739"/>
  <c r="H739"/>
  <c r="I739"/>
  <c r="E740"/>
  <c r="H740"/>
  <c r="I740"/>
  <c r="E741"/>
  <c r="H741"/>
  <c r="I741"/>
  <c r="E742"/>
  <c r="H742"/>
  <c r="I742"/>
  <c r="E743"/>
  <c r="H743"/>
  <c r="I743"/>
  <c r="E744"/>
  <c r="H744"/>
  <c r="I744"/>
  <c r="E745"/>
  <c r="H745"/>
  <c r="I745"/>
  <c r="E746"/>
  <c r="H746"/>
  <c r="I746"/>
  <c r="E747"/>
  <c r="H747"/>
  <c r="I747"/>
  <c r="E748"/>
  <c r="H748"/>
  <c r="I748"/>
  <c r="E749"/>
  <c r="H749"/>
  <c r="I749"/>
  <c r="E750"/>
  <c r="H750"/>
  <c r="I750"/>
  <c r="E751"/>
  <c r="H751"/>
  <c r="I751"/>
  <c r="E752"/>
  <c r="H752"/>
  <c r="I752"/>
  <c r="E753"/>
  <c r="H753"/>
  <c r="I753"/>
  <c r="E754"/>
  <c r="H754"/>
  <c r="I754"/>
  <c r="E755"/>
  <c r="H755"/>
  <c r="I755"/>
  <c r="E756"/>
  <c r="H756"/>
  <c r="I756"/>
  <c r="E757"/>
  <c r="H757"/>
  <c r="I757"/>
  <c r="E758"/>
  <c r="H758"/>
  <c r="I758"/>
  <c r="E759"/>
  <c r="H759"/>
  <c r="I759"/>
  <c r="E760"/>
  <c r="H760"/>
  <c r="I760"/>
  <c r="E761"/>
  <c r="H761"/>
  <c r="I761"/>
  <c r="E762"/>
  <c r="H762"/>
  <c r="I762"/>
  <c r="E763"/>
  <c r="H763"/>
  <c r="I763"/>
  <c r="E764"/>
  <c r="H764"/>
  <c r="I764"/>
  <c r="E765"/>
  <c r="H765"/>
  <c r="I765"/>
  <c r="E766"/>
  <c r="H766"/>
  <c r="I766"/>
  <c r="E767"/>
  <c r="H767"/>
  <c r="I767"/>
  <c r="E768"/>
  <c r="H768"/>
  <c r="I768"/>
  <c r="E769"/>
  <c r="H769"/>
  <c r="I769"/>
  <c r="E770"/>
  <c r="H770"/>
  <c r="I770"/>
  <c r="E771"/>
  <c r="H771"/>
  <c r="I771"/>
  <c r="E772"/>
  <c r="H772"/>
  <c r="I772"/>
  <c r="E773"/>
  <c r="H773"/>
  <c r="I773"/>
  <c r="E774"/>
  <c r="H774"/>
  <c r="I774"/>
  <c r="E775"/>
  <c r="H775"/>
  <c r="I775"/>
  <c r="E776"/>
  <c r="H776"/>
  <c r="I776"/>
  <c r="E777"/>
  <c r="H777"/>
  <c r="I777"/>
  <c r="E778"/>
  <c r="H778"/>
  <c r="I778"/>
  <c r="E779"/>
  <c r="H779"/>
  <c r="I779"/>
  <c r="E780"/>
  <c r="H780"/>
  <c r="I780"/>
  <c r="E781"/>
  <c r="H781"/>
  <c r="I781"/>
  <c r="E782"/>
  <c r="H782"/>
  <c r="I782"/>
  <c r="E783"/>
  <c r="H783"/>
  <c r="I783"/>
  <c r="E784"/>
  <c r="H784"/>
  <c r="I784"/>
  <c r="E785"/>
  <c r="H785"/>
  <c r="I785"/>
  <c r="E786"/>
  <c r="H786"/>
  <c r="I786"/>
  <c r="E787"/>
  <c r="H787"/>
  <c r="I787"/>
  <c r="E788"/>
  <c r="H788"/>
  <c r="I788"/>
  <c r="E789"/>
  <c r="H789"/>
  <c r="I789"/>
  <c r="E790"/>
  <c r="H790"/>
  <c r="I790"/>
  <c r="E791"/>
  <c r="H791"/>
  <c r="I791"/>
  <c r="E792"/>
  <c r="H792"/>
  <c r="I792"/>
  <c r="E793"/>
  <c r="H793"/>
  <c r="I793"/>
  <c r="E794"/>
  <c r="H794"/>
  <c r="I794"/>
  <c r="E795"/>
  <c r="H795"/>
  <c r="I795"/>
  <c r="E796"/>
  <c r="H796"/>
  <c r="I796"/>
  <c r="E797"/>
  <c r="H797"/>
  <c r="I797"/>
  <c r="E798"/>
  <c r="H798"/>
  <c r="I798"/>
  <c r="E799"/>
  <c r="H799"/>
  <c r="I799"/>
  <c r="E800"/>
  <c r="H800"/>
  <c r="I800"/>
  <c r="E801"/>
  <c r="H801"/>
  <c r="I801"/>
  <c r="E802"/>
  <c r="H802"/>
  <c r="I802"/>
  <c r="E803"/>
  <c r="H803"/>
  <c r="I803"/>
  <c r="E804"/>
  <c r="H804"/>
  <c r="I804"/>
  <c r="E805"/>
  <c r="H805"/>
  <c r="I805"/>
  <c r="E806"/>
  <c r="H806"/>
  <c r="I806"/>
  <c r="E807"/>
  <c r="H807"/>
  <c r="I807"/>
  <c r="E808"/>
  <c r="H808"/>
  <c r="I808"/>
  <c r="E809"/>
  <c r="H809"/>
  <c r="I809"/>
  <c r="E810"/>
  <c r="H810"/>
  <c r="I810"/>
  <c r="E811"/>
  <c r="H811"/>
  <c r="I811"/>
  <c r="E812"/>
  <c r="H812"/>
  <c r="I812"/>
  <c r="E813"/>
  <c r="H813"/>
  <c r="I813"/>
  <c r="E814"/>
  <c r="H814"/>
  <c r="I814"/>
  <c r="E815"/>
  <c r="H815"/>
  <c r="I815"/>
  <c r="E816"/>
  <c r="H816"/>
  <c r="I816"/>
  <c r="E817"/>
  <c r="H817"/>
  <c r="I817"/>
  <c r="E818"/>
  <c r="H818"/>
  <c r="I818"/>
  <c r="E819"/>
  <c r="H819"/>
  <c r="I819"/>
  <c r="E820"/>
  <c r="H820"/>
  <c r="I820"/>
  <c r="E821"/>
  <c r="H821"/>
  <c r="I821"/>
  <c r="E822"/>
  <c r="H822"/>
  <c r="I822"/>
  <c r="E823"/>
  <c r="H823"/>
  <c r="I823"/>
  <c r="E824"/>
  <c r="H824"/>
  <c r="I824"/>
  <c r="E825"/>
  <c r="H825"/>
  <c r="I825"/>
  <c r="E826"/>
  <c r="H826"/>
  <c r="I826"/>
  <c r="E827"/>
  <c r="H827"/>
  <c r="I827"/>
  <c r="E828"/>
  <c r="H828"/>
  <c r="I828"/>
  <c r="E829"/>
  <c r="H829"/>
  <c r="I829"/>
  <c r="E830"/>
  <c r="H830"/>
  <c r="I830"/>
  <c r="E831"/>
  <c r="H831"/>
  <c r="I831"/>
  <c r="E832"/>
  <c r="H832"/>
  <c r="I832"/>
  <c r="E833"/>
  <c r="H833"/>
  <c r="I833"/>
  <c r="E834"/>
  <c r="H834"/>
  <c r="I834"/>
  <c r="E835"/>
  <c r="H835"/>
  <c r="I835"/>
  <c r="E836"/>
  <c r="H836"/>
  <c r="I836"/>
  <c r="E837"/>
  <c r="H837"/>
  <c r="I837"/>
  <c r="E838"/>
  <c r="H838"/>
  <c r="I838"/>
  <c r="E839"/>
  <c r="H839"/>
  <c r="I839"/>
  <c r="E840"/>
  <c r="H840"/>
  <c r="I840"/>
  <c r="E841"/>
  <c r="H841"/>
  <c r="I841"/>
  <c r="E842"/>
  <c r="H842"/>
  <c r="I842"/>
  <c r="E843"/>
  <c r="H843"/>
  <c r="I843"/>
  <c r="E844"/>
  <c r="H844"/>
  <c r="I844"/>
  <c r="E845"/>
  <c r="H845"/>
  <c r="I845"/>
  <c r="E846"/>
  <c r="H846"/>
  <c r="I846"/>
  <c r="E847"/>
  <c r="H847"/>
  <c r="I847"/>
  <c r="E848"/>
  <c r="H848"/>
  <c r="I848"/>
  <c r="E849"/>
  <c r="H849"/>
  <c r="I849"/>
  <c r="E850"/>
  <c r="H850"/>
  <c r="I850"/>
  <c r="E851"/>
  <c r="H851"/>
  <c r="I851"/>
  <c r="E852"/>
  <c r="H852"/>
  <c r="I852"/>
  <c r="E853"/>
  <c r="H853"/>
  <c r="I853"/>
  <c r="E854"/>
  <c r="H854"/>
  <c r="I854"/>
  <c r="E855"/>
  <c r="H855"/>
  <c r="I855"/>
  <c r="E856"/>
  <c r="H856"/>
  <c r="I856"/>
  <c r="E857"/>
  <c r="H857"/>
  <c r="I857"/>
  <c r="E858"/>
  <c r="H858"/>
  <c r="I858"/>
  <c r="E859"/>
  <c r="H859"/>
  <c r="I859"/>
  <c r="E860"/>
  <c r="H860"/>
  <c r="I860"/>
  <c r="E861"/>
  <c r="H861"/>
  <c r="I861"/>
  <c r="E862"/>
  <c r="H862"/>
  <c r="I862"/>
  <c r="E863"/>
  <c r="H863"/>
  <c r="I863"/>
  <c r="E864"/>
  <c r="H864"/>
  <c r="I864"/>
  <c r="E865"/>
  <c r="H865"/>
  <c r="I865"/>
  <c r="E866"/>
  <c r="H866"/>
  <c r="I866"/>
  <c r="E867"/>
  <c r="H867"/>
  <c r="I867"/>
  <c r="E868"/>
  <c r="H868"/>
  <c r="I868"/>
  <c r="E869"/>
  <c r="H869"/>
  <c r="I869"/>
  <c r="E870"/>
  <c r="H870"/>
  <c r="I870"/>
  <c r="E871"/>
  <c r="H871"/>
  <c r="I871"/>
  <c r="E872"/>
  <c r="H872"/>
  <c r="I872"/>
  <c r="E873"/>
  <c r="H873"/>
  <c r="I873"/>
  <c r="E874"/>
  <c r="H874"/>
  <c r="I874"/>
  <c r="E875"/>
  <c r="H875"/>
  <c r="I875"/>
  <c r="E876"/>
  <c r="H876"/>
  <c r="I876"/>
  <c r="E877"/>
  <c r="H877"/>
  <c r="I877"/>
  <c r="E878"/>
  <c r="H878"/>
  <c r="I878"/>
  <c r="E879"/>
  <c r="H879"/>
  <c r="I879"/>
  <c r="E880"/>
  <c r="H880"/>
  <c r="I880"/>
  <c r="E881"/>
  <c r="H881"/>
  <c r="I881"/>
  <c r="E882"/>
  <c r="H882"/>
  <c r="I882"/>
  <c r="E883"/>
  <c r="H883"/>
  <c r="I883"/>
  <c r="E884"/>
  <c r="H884"/>
  <c r="I884"/>
  <c r="E885"/>
  <c r="H885"/>
  <c r="I885"/>
  <c r="E886"/>
  <c r="H886"/>
  <c r="I886"/>
  <c r="E887"/>
  <c r="H887"/>
  <c r="I887"/>
  <c r="E888"/>
  <c r="H888"/>
  <c r="I888"/>
  <c r="E889"/>
  <c r="H889"/>
  <c r="I889"/>
  <c r="E890"/>
  <c r="H890"/>
  <c r="I890"/>
  <c r="E891"/>
  <c r="H891"/>
  <c r="I891"/>
  <c r="E892"/>
  <c r="H892"/>
  <c r="I892"/>
  <c r="E893"/>
  <c r="H893"/>
  <c r="I893"/>
  <c r="E894"/>
  <c r="H894"/>
  <c r="I894"/>
  <c r="E895"/>
  <c r="H895"/>
  <c r="I895"/>
  <c r="E896"/>
  <c r="H896"/>
  <c r="I896"/>
  <c r="E897"/>
  <c r="H897"/>
  <c r="I897"/>
  <c r="E898"/>
  <c r="H898"/>
  <c r="I898"/>
  <c r="E899"/>
  <c r="H899"/>
  <c r="I899"/>
  <c r="E900"/>
  <c r="H900"/>
  <c r="I900"/>
  <c r="E901"/>
  <c r="H901"/>
  <c r="I901"/>
  <c r="E902"/>
  <c r="H902"/>
  <c r="I902"/>
  <c r="E153" i="28"/>
  <c r="I153"/>
  <c r="E154"/>
  <c r="I154"/>
  <c r="E155"/>
  <c r="H155"/>
  <c r="I155"/>
  <c r="E156"/>
  <c r="I156"/>
  <c r="E157"/>
  <c r="H157"/>
  <c r="I157"/>
  <c r="E158"/>
  <c r="I158"/>
  <c r="E159"/>
  <c r="I159"/>
  <c r="E160"/>
  <c r="I160"/>
  <c r="E161"/>
  <c r="H161"/>
  <c r="I161"/>
  <c r="E162"/>
  <c r="H162"/>
  <c r="I162"/>
  <c r="E163"/>
  <c r="I163"/>
  <c r="E164"/>
  <c r="I164"/>
  <c r="E165"/>
  <c r="I165"/>
  <c r="E166"/>
  <c r="I166"/>
  <c r="E167"/>
  <c r="H167"/>
  <c r="I167"/>
  <c r="E168"/>
  <c r="H168"/>
  <c r="I168"/>
  <c r="E169"/>
  <c r="I169"/>
  <c r="E170"/>
  <c r="I170"/>
  <c r="E171"/>
  <c r="H171"/>
  <c r="I171"/>
  <c r="E172"/>
  <c r="I172"/>
  <c r="E173"/>
  <c r="H173"/>
  <c r="I173"/>
  <c r="E174"/>
  <c r="H174"/>
  <c r="I174"/>
  <c r="E175"/>
  <c r="I175"/>
  <c r="E176"/>
  <c r="I176"/>
  <c r="E177"/>
  <c r="I177"/>
  <c r="E178"/>
  <c r="H178"/>
  <c r="I178"/>
  <c r="E179"/>
  <c r="H179"/>
  <c r="I179"/>
  <c r="E180"/>
  <c r="H180"/>
  <c r="I180"/>
  <c r="E181"/>
  <c r="I181"/>
  <c r="E182"/>
  <c r="H182"/>
  <c r="I182"/>
  <c r="E183"/>
  <c r="I183"/>
  <c r="E184"/>
  <c r="H184"/>
  <c r="I184"/>
  <c r="E185"/>
  <c r="H185"/>
  <c r="I185"/>
  <c r="E186"/>
  <c r="H186"/>
  <c r="I186"/>
  <c r="E187"/>
  <c r="I187"/>
  <c r="E188"/>
  <c r="I188"/>
  <c r="E189"/>
  <c r="I189"/>
  <c r="E190"/>
  <c r="H190"/>
  <c r="I190"/>
  <c r="E191"/>
  <c r="H191"/>
  <c r="I191"/>
  <c r="E192"/>
  <c r="H192"/>
  <c r="I192"/>
  <c r="E193"/>
  <c r="I193"/>
  <c r="E194"/>
  <c r="I194"/>
  <c r="E195"/>
  <c r="H195"/>
  <c r="I195"/>
  <c r="E196"/>
  <c r="H196"/>
  <c r="I196"/>
  <c r="E197"/>
  <c r="H197"/>
  <c r="I197"/>
  <c r="E198"/>
  <c r="H198"/>
  <c r="I198"/>
  <c r="E199"/>
  <c r="I199"/>
  <c r="E200"/>
  <c r="I200"/>
  <c r="E201"/>
  <c r="H201"/>
  <c r="I201"/>
  <c r="E202"/>
  <c r="H202"/>
  <c r="I202"/>
  <c r="E203"/>
  <c r="H203"/>
  <c r="I203"/>
  <c r="E204"/>
  <c r="H204"/>
  <c r="I204"/>
  <c r="E205"/>
  <c r="I205"/>
  <c r="E206"/>
  <c r="I206"/>
  <c r="E207"/>
  <c r="H207"/>
  <c r="I207"/>
  <c r="E208"/>
  <c r="H208"/>
  <c r="I208"/>
  <c r="E209"/>
  <c r="H209"/>
  <c r="I209"/>
  <c r="E210"/>
  <c r="H210"/>
  <c r="I210"/>
  <c r="E211"/>
  <c r="I211"/>
  <c r="E212"/>
  <c r="I212"/>
  <c r="E213"/>
  <c r="H213"/>
  <c r="I213"/>
  <c r="E214"/>
  <c r="H214"/>
  <c r="I214"/>
  <c r="E215"/>
  <c r="H215"/>
  <c r="I215"/>
  <c r="E216"/>
  <c r="H216"/>
  <c r="I216"/>
  <c r="E217"/>
  <c r="I217"/>
  <c r="E218"/>
  <c r="H218"/>
  <c r="I218"/>
  <c r="E219"/>
  <c r="H219"/>
  <c r="I219"/>
  <c r="E220"/>
  <c r="H220"/>
  <c r="I220"/>
  <c r="E221"/>
  <c r="H221"/>
  <c r="I221"/>
  <c r="E222"/>
  <c r="H222"/>
  <c r="I222"/>
  <c r="E223"/>
  <c r="I223"/>
  <c r="E224"/>
  <c r="I224"/>
  <c r="E225"/>
  <c r="H225"/>
  <c r="I225"/>
  <c r="E226"/>
  <c r="H226"/>
  <c r="I226"/>
  <c r="E227"/>
  <c r="H227"/>
  <c r="I227"/>
  <c r="E228"/>
  <c r="H228"/>
  <c r="I228"/>
  <c r="E229"/>
  <c r="I229"/>
  <c r="E230"/>
  <c r="I230"/>
  <c r="E231"/>
  <c r="H231"/>
  <c r="I231"/>
  <c r="E232"/>
  <c r="H232"/>
  <c r="I232"/>
  <c r="E233"/>
  <c r="H233"/>
  <c r="I233"/>
  <c r="E234"/>
  <c r="H234"/>
  <c r="I234"/>
  <c r="E235"/>
  <c r="I235"/>
  <c r="E236"/>
  <c r="I236"/>
  <c r="E237"/>
  <c r="H237"/>
  <c r="I237"/>
  <c r="E238"/>
  <c r="H238"/>
  <c r="I238"/>
  <c r="E239"/>
  <c r="H239"/>
  <c r="I239"/>
  <c r="E240"/>
  <c r="H240"/>
  <c r="I240"/>
  <c r="E241"/>
  <c r="I241"/>
  <c r="E242"/>
  <c r="I242"/>
  <c r="E243"/>
  <c r="H243"/>
  <c r="I243"/>
  <c r="E244"/>
  <c r="H244"/>
  <c r="I244"/>
  <c r="E245"/>
  <c r="H245"/>
  <c r="I245"/>
  <c r="E246"/>
  <c r="H246"/>
  <c r="I246"/>
  <c r="E247"/>
  <c r="I247"/>
  <c r="E248"/>
  <c r="I248"/>
  <c r="E249"/>
  <c r="H249"/>
  <c r="I249"/>
  <c r="E250"/>
  <c r="H250"/>
  <c r="I250"/>
  <c r="E251"/>
  <c r="H251"/>
  <c r="I251"/>
  <c r="E252"/>
  <c r="H252"/>
  <c r="I252"/>
  <c r="E253"/>
  <c r="I253"/>
  <c r="E254"/>
  <c r="H254"/>
  <c r="I254"/>
  <c r="E255"/>
  <c r="H255"/>
  <c r="I255"/>
  <c r="E256"/>
  <c r="H256"/>
  <c r="I256"/>
  <c r="E257"/>
  <c r="H257"/>
  <c r="I257"/>
  <c r="E258"/>
  <c r="H258"/>
  <c r="I258"/>
  <c r="E259"/>
  <c r="I259"/>
  <c r="E260"/>
  <c r="I260"/>
  <c r="E261"/>
  <c r="H261"/>
  <c r="I261"/>
  <c r="E262"/>
  <c r="H262"/>
  <c r="I262"/>
  <c r="E263"/>
  <c r="H263"/>
  <c r="I263"/>
  <c r="E264"/>
  <c r="H264"/>
  <c r="I264"/>
  <c r="E265"/>
  <c r="I265"/>
  <c r="E266"/>
  <c r="I266"/>
  <c r="E267"/>
  <c r="H267"/>
  <c r="I267"/>
  <c r="E268"/>
  <c r="H268"/>
  <c r="I268"/>
  <c r="E269"/>
  <c r="H269"/>
  <c r="I269"/>
  <c r="E270"/>
  <c r="H270"/>
  <c r="I270"/>
  <c r="E271"/>
  <c r="I271"/>
  <c r="E272"/>
  <c r="I272"/>
  <c r="E273"/>
  <c r="H273"/>
  <c r="I273"/>
  <c r="E274"/>
  <c r="H274"/>
  <c r="I274"/>
  <c r="E275"/>
  <c r="H275"/>
  <c r="I275"/>
  <c r="E276"/>
  <c r="H276"/>
  <c r="I276"/>
  <c r="E277"/>
  <c r="I277"/>
  <c r="E278"/>
  <c r="I278"/>
  <c r="E279"/>
  <c r="H279"/>
  <c r="I279"/>
  <c r="E280"/>
  <c r="H280"/>
  <c r="I280"/>
  <c r="E281"/>
  <c r="H281"/>
  <c r="I281"/>
  <c r="E282"/>
  <c r="H282"/>
  <c r="I282"/>
  <c r="E283"/>
  <c r="I283"/>
  <c r="E284"/>
  <c r="I284"/>
  <c r="E285"/>
  <c r="H285"/>
  <c r="I285"/>
  <c r="E286"/>
  <c r="H286"/>
  <c r="I286"/>
  <c r="E287"/>
  <c r="H287"/>
  <c r="I287"/>
  <c r="E288"/>
  <c r="H288"/>
  <c r="I288"/>
  <c r="E289"/>
  <c r="I289"/>
  <c r="E290"/>
  <c r="H290"/>
  <c r="I290"/>
  <c r="E291"/>
  <c r="H291"/>
  <c r="I291"/>
  <c r="E292"/>
  <c r="H292"/>
  <c r="I292"/>
  <c r="E293"/>
  <c r="H293"/>
  <c r="I293"/>
  <c r="E294"/>
  <c r="H294"/>
  <c r="I294"/>
  <c r="E295"/>
  <c r="I295"/>
  <c r="E296"/>
  <c r="I296"/>
  <c r="E297"/>
  <c r="H297"/>
  <c r="I297"/>
  <c r="E298"/>
  <c r="H298"/>
  <c r="I298"/>
  <c r="E299"/>
  <c r="H299"/>
  <c r="I299"/>
  <c r="E300"/>
  <c r="H300"/>
  <c r="I300"/>
  <c r="E301"/>
  <c r="I301"/>
  <c r="E302"/>
  <c r="I302"/>
  <c r="E303"/>
  <c r="H303"/>
  <c r="I303"/>
  <c r="E304"/>
  <c r="H304"/>
  <c r="I304"/>
  <c r="E305"/>
  <c r="H305"/>
  <c r="I305"/>
  <c r="E306"/>
  <c r="H306"/>
  <c r="I306"/>
  <c r="E307"/>
  <c r="I307"/>
  <c r="E308"/>
  <c r="I308"/>
  <c r="E309"/>
  <c r="H309"/>
  <c r="I309"/>
  <c r="E310"/>
  <c r="H310"/>
  <c r="I310"/>
  <c r="E311"/>
  <c r="H311"/>
  <c r="I311"/>
  <c r="E312"/>
  <c r="H312"/>
  <c r="I312"/>
  <c r="E313"/>
  <c r="I313"/>
  <c r="E314"/>
  <c r="I314"/>
  <c r="E315"/>
  <c r="I315"/>
  <c r="E316"/>
  <c r="H316"/>
  <c r="I316"/>
  <c r="E317"/>
  <c r="H317"/>
  <c r="I317"/>
  <c r="E318"/>
  <c r="H318"/>
  <c r="I318"/>
  <c r="E319"/>
  <c r="I319"/>
  <c r="E320"/>
  <c r="H320"/>
  <c r="I320"/>
  <c r="E321"/>
  <c r="I321"/>
  <c r="E322"/>
  <c r="H322"/>
  <c r="I322"/>
  <c r="E323"/>
  <c r="H323"/>
  <c r="I323"/>
  <c r="E324"/>
  <c r="H324"/>
  <c r="I324"/>
  <c r="E325"/>
  <c r="I325"/>
  <c r="E326"/>
  <c r="I326"/>
  <c r="E327"/>
  <c r="I327"/>
  <c r="E328"/>
  <c r="H328"/>
  <c r="I328"/>
  <c r="E329"/>
  <c r="H329"/>
  <c r="I329"/>
  <c r="E330"/>
  <c r="H330"/>
  <c r="I330"/>
  <c r="E331"/>
  <c r="I331"/>
  <c r="E332"/>
  <c r="I332"/>
  <c r="E333"/>
  <c r="I333"/>
  <c r="E334"/>
  <c r="H334"/>
  <c r="I334"/>
  <c r="E335"/>
  <c r="H335"/>
  <c r="I335"/>
  <c r="E336"/>
  <c r="H336"/>
  <c r="I336"/>
  <c r="E337"/>
  <c r="I337"/>
  <c r="E338"/>
  <c r="H338"/>
  <c r="I338"/>
  <c r="E339"/>
  <c r="I339"/>
  <c r="E340"/>
  <c r="H340"/>
  <c r="I340"/>
  <c r="E341"/>
  <c r="H341"/>
  <c r="I341"/>
  <c r="E342"/>
  <c r="H342"/>
  <c r="I342"/>
  <c r="E343"/>
  <c r="I343"/>
  <c r="E344"/>
  <c r="I344"/>
  <c r="E345"/>
  <c r="I345"/>
  <c r="E346"/>
  <c r="H346"/>
  <c r="I346"/>
  <c r="E347"/>
  <c r="H347"/>
  <c r="I347"/>
  <c r="E348"/>
  <c r="H348"/>
  <c r="I348"/>
  <c r="E349"/>
  <c r="I349"/>
  <c r="E350"/>
  <c r="I350"/>
  <c r="E351"/>
  <c r="I351"/>
  <c r="E352"/>
  <c r="H352"/>
  <c r="I352"/>
  <c r="E353"/>
  <c r="H353"/>
  <c r="I353"/>
  <c r="E354"/>
  <c r="H354"/>
  <c r="I354"/>
  <c r="E355"/>
  <c r="I355"/>
  <c r="E356"/>
  <c r="H356"/>
  <c r="I356"/>
  <c r="E357"/>
  <c r="I357"/>
  <c r="E358"/>
  <c r="H358"/>
  <c r="I358"/>
  <c r="E359"/>
  <c r="H359"/>
  <c r="I359"/>
  <c r="E360"/>
  <c r="H360"/>
  <c r="I360"/>
  <c r="E361"/>
  <c r="I361"/>
  <c r="E362"/>
  <c r="I362"/>
  <c r="E363"/>
  <c r="I363"/>
  <c r="E364"/>
  <c r="H364"/>
  <c r="I364"/>
  <c r="E365"/>
  <c r="H365"/>
  <c r="I365"/>
  <c r="E366"/>
  <c r="H366"/>
  <c r="I366"/>
  <c r="E367"/>
  <c r="I367"/>
  <c r="E368"/>
  <c r="I368"/>
  <c r="E369"/>
  <c r="I369"/>
  <c r="E370"/>
  <c r="H370"/>
  <c r="I370"/>
  <c r="E371"/>
  <c r="H371"/>
  <c r="I371"/>
  <c r="E372"/>
  <c r="H372"/>
  <c r="I372"/>
  <c r="E373"/>
  <c r="I373"/>
  <c r="E374"/>
  <c r="H374"/>
  <c r="I374"/>
  <c r="E375"/>
  <c r="I375"/>
  <c r="E376"/>
  <c r="H376"/>
  <c r="I376"/>
  <c r="E377"/>
  <c r="H377"/>
  <c r="I377"/>
  <c r="E378"/>
  <c r="H378"/>
  <c r="I378"/>
  <c r="E379"/>
  <c r="I379"/>
  <c r="E380"/>
  <c r="I380"/>
  <c r="E381"/>
  <c r="I381"/>
  <c r="E382"/>
  <c r="H382"/>
  <c r="I382"/>
  <c r="E383"/>
  <c r="H383"/>
  <c r="I383"/>
  <c r="E384"/>
  <c r="H384"/>
  <c r="I384"/>
  <c r="E385"/>
  <c r="I385"/>
  <c r="E386"/>
  <c r="I386"/>
  <c r="E387"/>
  <c r="I387"/>
  <c r="E388"/>
  <c r="H388"/>
  <c r="I388"/>
  <c r="E389"/>
  <c r="H389"/>
  <c r="I389"/>
  <c r="E390"/>
  <c r="H390"/>
  <c r="I390"/>
  <c r="E391"/>
  <c r="I391"/>
  <c r="E392"/>
  <c r="H392"/>
  <c r="I392"/>
  <c r="E393"/>
  <c r="I393"/>
  <c r="E394"/>
  <c r="H394"/>
  <c r="I394"/>
  <c r="E395"/>
  <c r="H395"/>
  <c r="I395"/>
  <c r="E396"/>
  <c r="H396"/>
  <c r="I396"/>
  <c r="E397"/>
  <c r="I397"/>
  <c r="E398"/>
  <c r="I398"/>
  <c r="E399"/>
  <c r="I399"/>
  <c r="E400"/>
  <c r="H400"/>
  <c r="I400"/>
  <c r="E401"/>
  <c r="H401"/>
  <c r="I401"/>
  <c r="E402"/>
  <c r="H402"/>
  <c r="I402"/>
  <c r="E403"/>
  <c r="I403"/>
  <c r="E404"/>
  <c r="I404"/>
  <c r="E405"/>
  <c r="I405"/>
  <c r="E406"/>
  <c r="H406"/>
  <c r="I406"/>
  <c r="E407"/>
  <c r="H407"/>
  <c r="I407"/>
  <c r="E408"/>
  <c r="H408"/>
  <c r="I408"/>
  <c r="E409"/>
  <c r="I409"/>
  <c r="E410"/>
  <c r="H410"/>
  <c r="I410"/>
  <c r="E411"/>
  <c r="I411"/>
  <c r="E412"/>
  <c r="H412"/>
  <c r="I412"/>
  <c r="E413"/>
  <c r="H413"/>
  <c r="I413"/>
  <c r="E414"/>
  <c r="H414"/>
  <c r="I414"/>
  <c r="E415"/>
  <c r="I415"/>
  <c r="E416"/>
  <c r="I416"/>
  <c r="E417"/>
  <c r="I417"/>
  <c r="E418"/>
  <c r="H418"/>
  <c r="I418"/>
  <c r="E419"/>
  <c r="H419"/>
  <c r="I419"/>
  <c r="E420"/>
  <c r="H420"/>
  <c r="I420"/>
  <c r="E421"/>
  <c r="I421"/>
  <c r="E422"/>
  <c r="I422"/>
  <c r="E423"/>
  <c r="I423"/>
  <c r="E424"/>
  <c r="H424"/>
  <c r="I424"/>
  <c r="E425"/>
  <c r="H425"/>
  <c r="I425"/>
  <c r="E426"/>
  <c r="H426"/>
  <c r="I426"/>
  <c r="E427"/>
  <c r="I427"/>
  <c r="E428"/>
  <c r="H428"/>
  <c r="I428"/>
  <c r="E429"/>
  <c r="I429"/>
  <c r="E430"/>
  <c r="H430"/>
  <c r="I430"/>
  <c r="E431"/>
  <c r="H431"/>
  <c r="I431"/>
  <c r="E432"/>
  <c r="H432"/>
  <c r="I432"/>
  <c r="E433"/>
  <c r="I433"/>
  <c r="E434"/>
  <c r="I434"/>
  <c r="E435"/>
  <c r="I435"/>
  <c r="E436"/>
  <c r="H436"/>
  <c r="I436"/>
  <c r="E437"/>
  <c r="H437"/>
  <c r="I437"/>
  <c r="E438"/>
  <c r="H438"/>
  <c r="I438"/>
  <c r="E439"/>
  <c r="I439"/>
  <c r="E440"/>
  <c r="I440"/>
  <c r="E441"/>
  <c r="I441"/>
  <c r="E442"/>
  <c r="H442"/>
  <c r="I442"/>
  <c r="E443"/>
  <c r="H443"/>
  <c r="I443"/>
  <c r="E444"/>
  <c r="H444"/>
  <c r="I444"/>
  <c r="E445"/>
  <c r="I445"/>
  <c r="E446"/>
  <c r="H446"/>
  <c r="I446"/>
  <c r="E447"/>
  <c r="I447"/>
  <c r="E448"/>
  <c r="H448"/>
  <c r="I448"/>
  <c r="E449"/>
  <c r="H449"/>
  <c r="I449"/>
  <c r="E450"/>
  <c r="H450"/>
  <c r="I450"/>
  <c r="E451"/>
  <c r="I451"/>
  <c r="E452"/>
  <c r="I452"/>
  <c r="E453"/>
  <c r="I453"/>
  <c r="E454"/>
  <c r="H454"/>
  <c r="I454"/>
  <c r="E455"/>
  <c r="H455"/>
  <c r="I455"/>
  <c r="E456"/>
  <c r="H456"/>
  <c r="I456"/>
  <c r="E457"/>
  <c r="I457"/>
  <c r="E458"/>
  <c r="I458"/>
  <c r="E459"/>
  <c r="I459"/>
  <c r="E460"/>
  <c r="H460"/>
  <c r="I460"/>
  <c r="E461"/>
  <c r="H461"/>
  <c r="I461"/>
  <c r="E462"/>
  <c r="H462"/>
  <c r="I462"/>
  <c r="E463"/>
  <c r="I463"/>
  <c r="E464"/>
  <c r="H464"/>
  <c r="I464"/>
  <c r="E465"/>
  <c r="I465"/>
  <c r="E466"/>
  <c r="H466"/>
  <c r="I466"/>
  <c r="E467"/>
  <c r="H467"/>
  <c r="I467"/>
  <c r="E468"/>
  <c r="H468"/>
  <c r="I468"/>
  <c r="E469"/>
  <c r="I469"/>
  <c r="E470"/>
  <c r="I470"/>
  <c r="E471"/>
  <c r="I471"/>
  <c r="E472"/>
  <c r="H472"/>
  <c r="I472"/>
  <c r="E473"/>
  <c r="H473"/>
  <c r="I473"/>
  <c r="E474"/>
  <c r="H474"/>
  <c r="I474"/>
  <c r="E475"/>
  <c r="I475"/>
  <c r="E476"/>
  <c r="I476"/>
  <c r="E477"/>
  <c r="I477"/>
  <c r="E478"/>
  <c r="H478"/>
  <c r="I478"/>
  <c r="E479"/>
  <c r="H479"/>
  <c r="I479"/>
  <c r="E480"/>
  <c r="H480"/>
  <c r="I480"/>
  <c r="E481"/>
  <c r="I481"/>
  <c r="E482"/>
  <c r="H482"/>
  <c r="I482"/>
  <c r="E483"/>
  <c r="I483"/>
  <c r="E484"/>
  <c r="H484"/>
  <c r="I484"/>
  <c r="E485"/>
  <c r="H485"/>
  <c r="I485"/>
  <c r="E486"/>
  <c r="H486"/>
  <c r="I486"/>
  <c r="E487"/>
  <c r="I487"/>
  <c r="E488"/>
  <c r="I488"/>
  <c r="E489"/>
  <c r="I489"/>
  <c r="E490"/>
  <c r="H490"/>
  <c r="I490"/>
  <c r="E491"/>
  <c r="H491"/>
  <c r="I491"/>
  <c r="E492"/>
  <c r="H492"/>
  <c r="I492"/>
  <c r="E493"/>
  <c r="I493"/>
  <c r="E494"/>
  <c r="I494"/>
  <c r="E495"/>
  <c r="I495"/>
  <c r="E496"/>
  <c r="H496"/>
  <c r="I496"/>
  <c r="E497"/>
  <c r="H497"/>
  <c r="I497"/>
  <c r="E498"/>
  <c r="H498"/>
  <c r="I498"/>
  <c r="E499"/>
  <c r="I499"/>
  <c r="E500"/>
  <c r="H500"/>
  <c r="I500"/>
  <c r="E501"/>
  <c r="I501"/>
  <c r="E502"/>
  <c r="H502"/>
  <c r="I502"/>
  <c r="E503"/>
  <c r="H503"/>
  <c r="I503"/>
  <c r="E504"/>
  <c r="H504"/>
  <c r="I504"/>
  <c r="E505"/>
  <c r="I505"/>
  <c r="E506"/>
  <c r="I506"/>
  <c r="E507"/>
  <c r="I507"/>
  <c r="E508"/>
  <c r="H508"/>
  <c r="I508"/>
  <c r="E509"/>
  <c r="H509"/>
  <c r="I509"/>
  <c r="E510"/>
  <c r="H510"/>
  <c r="I510"/>
  <c r="E511"/>
  <c r="I511"/>
  <c r="E512"/>
  <c r="I512"/>
  <c r="E513"/>
  <c r="I513"/>
  <c r="E514"/>
  <c r="H514"/>
  <c r="I514"/>
  <c r="E515"/>
  <c r="H515"/>
  <c r="I515"/>
  <c r="E516"/>
  <c r="H516"/>
  <c r="I516"/>
  <c r="E517"/>
  <c r="I517"/>
  <c r="E518"/>
  <c r="H518"/>
  <c r="I518"/>
  <c r="E519"/>
  <c r="I519"/>
  <c r="E520"/>
  <c r="H520"/>
  <c r="I520"/>
  <c r="E521"/>
  <c r="H521"/>
  <c r="I521"/>
  <c r="E522"/>
  <c r="H522"/>
  <c r="I522"/>
  <c r="E523"/>
  <c r="I523"/>
  <c r="E524"/>
  <c r="I524"/>
  <c r="E525"/>
  <c r="I525"/>
  <c r="E526"/>
  <c r="H526"/>
  <c r="I526"/>
  <c r="E527"/>
  <c r="H527"/>
  <c r="I527"/>
  <c r="E528"/>
  <c r="H528"/>
  <c r="I528"/>
  <c r="E529"/>
  <c r="I529"/>
  <c r="E530"/>
  <c r="I530"/>
  <c r="E531"/>
  <c r="I531"/>
  <c r="E532"/>
  <c r="H532"/>
  <c r="I532"/>
  <c r="E533"/>
  <c r="H533"/>
  <c r="I533"/>
  <c r="E534"/>
  <c r="H534"/>
  <c r="I534"/>
  <c r="E535"/>
  <c r="I535"/>
  <c r="E536"/>
  <c r="H536"/>
  <c r="I536"/>
  <c r="E537"/>
  <c r="I537"/>
  <c r="E538"/>
  <c r="H538"/>
  <c r="I538"/>
  <c r="E539"/>
  <c r="H539"/>
  <c r="I539"/>
  <c r="E540"/>
  <c r="H540"/>
  <c r="I540"/>
  <c r="E541"/>
  <c r="I541"/>
  <c r="E542"/>
  <c r="I542"/>
  <c r="E543"/>
  <c r="I543"/>
  <c r="E544"/>
  <c r="H544"/>
  <c r="I544"/>
  <c r="E545"/>
  <c r="H545"/>
  <c r="I545"/>
  <c r="E546"/>
  <c r="H546"/>
  <c r="I546"/>
  <c r="E547"/>
  <c r="I547"/>
  <c r="E548"/>
  <c r="I548"/>
  <c r="E549"/>
  <c r="I549"/>
  <c r="E550"/>
  <c r="H550"/>
  <c r="I550"/>
  <c r="E551"/>
  <c r="H551"/>
  <c r="I551"/>
  <c r="E552"/>
  <c r="H552"/>
  <c r="I552"/>
  <c r="E553"/>
  <c r="I553"/>
  <c r="E554"/>
  <c r="H554"/>
  <c r="I554"/>
  <c r="E555"/>
  <c r="I555"/>
  <c r="E556"/>
  <c r="H556"/>
  <c r="I556"/>
  <c r="E557"/>
  <c r="H557"/>
  <c r="I557"/>
  <c r="E558"/>
  <c r="H558"/>
  <c r="I558"/>
  <c r="E559"/>
  <c r="I559"/>
  <c r="E560"/>
  <c r="I560"/>
  <c r="E561"/>
  <c r="I561"/>
  <c r="E562"/>
  <c r="H562"/>
  <c r="I562"/>
  <c r="E563"/>
  <c r="H563"/>
  <c r="I563"/>
  <c r="E564"/>
  <c r="H564"/>
  <c r="I564"/>
  <c r="E565"/>
  <c r="I565"/>
  <c r="E566"/>
  <c r="I566"/>
  <c r="E567"/>
  <c r="I567"/>
  <c r="E568"/>
  <c r="H568"/>
  <c r="I568"/>
  <c r="E569"/>
  <c r="H569"/>
  <c r="I569"/>
  <c r="E570"/>
  <c r="H570"/>
  <c r="I570"/>
  <c r="E571"/>
  <c r="I571"/>
  <c r="E572"/>
  <c r="H572"/>
  <c r="I572"/>
  <c r="E573"/>
  <c r="I573"/>
  <c r="E574"/>
  <c r="H574"/>
  <c r="I574"/>
  <c r="E575"/>
  <c r="H575"/>
  <c r="I575"/>
  <c r="E576"/>
  <c r="H576"/>
  <c r="I576"/>
  <c r="E577"/>
  <c r="I577"/>
  <c r="E578"/>
  <c r="I578"/>
  <c r="E579"/>
  <c r="I579"/>
  <c r="E580"/>
  <c r="H580"/>
  <c r="I580"/>
  <c r="E581"/>
  <c r="H581"/>
  <c r="I581"/>
  <c r="E582"/>
  <c r="H582"/>
  <c r="I582"/>
  <c r="E583"/>
  <c r="I583"/>
  <c r="E584"/>
  <c r="I584"/>
  <c r="E585"/>
  <c r="I585"/>
  <c r="E586"/>
  <c r="H586"/>
  <c r="I586"/>
  <c r="E587"/>
  <c r="H587"/>
  <c r="I587"/>
  <c r="E588"/>
  <c r="H588"/>
  <c r="I588"/>
  <c r="E589"/>
  <c r="I589"/>
  <c r="E590"/>
  <c r="H590"/>
  <c r="I590"/>
  <c r="E591"/>
  <c r="I591"/>
  <c r="E592"/>
  <c r="H592"/>
  <c r="I592"/>
  <c r="E593"/>
  <c r="H593"/>
  <c r="I593"/>
  <c r="E594"/>
  <c r="H594"/>
  <c r="I594"/>
  <c r="E595"/>
  <c r="I595"/>
  <c r="E596"/>
  <c r="I596"/>
  <c r="E597"/>
  <c r="I597"/>
  <c r="E598"/>
  <c r="H598"/>
  <c r="I598"/>
  <c r="E599"/>
  <c r="H599"/>
  <c r="I599"/>
  <c r="E600"/>
  <c r="H600"/>
  <c r="I600"/>
  <c r="E601"/>
  <c r="I601"/>
  <c r="E602"/>
  <c r="I602"/>
  <c r="E603"/>
  <c r="I603"/>
  <c r="E604"/>
  <c r="H604"/>
  <c r="I604"/>
  <c r="E605"/>
  <c r="H605"/>
  <c r="I605"/>
  <c r="E606"/>
  <c r="H606"/>
  <c r="I606"/>
  <c r="E607"/>
  <c r="I607"/>
  <c r="E608"/>
  <c r="H608"/>
  <c r="I608"/>
  <c r="E609"/>
  <c r="H609"/>
  <c r="I609"/>
  <c r="E610"/>
  <c r="H610"/>
  <c r="I610"/>
  <c r="E611"/>
  <c r="H611"/>
  <c r="I611"/>
  <c r="E612"/>
  <c r="H612"/>
  <c r="I612"/>
  <c r="E613"/>
  <c r="I613"/>
  <c r="E614"/>
  <c r="H614"/>
  <c r="I614"/>
  <c r="E615"/>
  <c r="H615"/>
  <c r="I615"/>
  <c r="E616"/>
  <c r="H616"/>
  <c r="I616"/>
  <c r="E617"/>
  <c r="H617"/>
  <c r="I617"/>
  <c r="E618"/>
  <c r="H618"/>
  <c r="I618"/>
  <c r="E619"/>
  <c r="I619"/>
  <c r="E620"/>
  <c r="I620"/>
  <c r="E621"/>
  <c r="H621"/>
  <c r="I621"/>
  <c r="E622"/>
  <c r="H622"/>
  <c r="I622"/>
  <c r="E623"/>
  <c r="H623"/>
  <c r="I623"/>
  <c r="E624"/>
  <c r="H624"/>
  <c r="I624"/>
  <c r="E625"/>
  <c r="I625"/>
  <c r="E626"/>
  <c r="I626"/>
  <c r="E627"/>
  <c r="H627"/>
  <c r="I627"/>
  <c r="E628"/>
  <c r="H628"/>
  <c r="I628"/>
  <c r="E629"/>
  <c r="H629"/>
  <c r="I629"/>
  <c r="E630"/>
  <c r="H630"/>
  <c r="I630"/>
  <c r="E631"/>
  <c r="I631"/>
  <c r="E632"/>
  <c r="I632"/>
  <c r="E633"/>
  <c r="H633"/>
  <c r="I633"/>
  <c r="E634"/>
  <c r="H634"/>
  <c r="I634"/>
  <c r="E635"/>
  <c r="H635"/>
  <c r="I635"/>
  <c r="E636"/>
  <c r="H636"/>
  <c r="I636"/>
  <c r="E637"/>
  <c r="I637"/>
  <c r="E638"/>
  <c r="I638"/>
  <c r="E639"/>
  <c r="H639"/>
  <c r="I639"/>
  <c r="E640"/>
  <c r="H640"/>
  <c r="I640"/>
  <c r="E641"/>
  <c r="H641"/>
  <c r="I641"/>
  <c r="E642"/>
  <c r="H642"/>
  <c r="I642"/>
  <c r="E643"/>
  <c r="I643"/>
  <c r="E644"/>
  <c r="H644"/>
  <c r="I644"/>
  <c r="E645"/>
  <c r="H645"/>
  <c r="I645"/>
  <c r="E646"/>
  <c r="H646"/>
  <c r="I646"/>
  <c r="E647"/>
  <c r="H647"/>
  <c r="I647"/>
  <c r="E648"/>
  <c r="H648"/>
  <c r="I648"/>
  <c r="E649"/>
  <c r="I649"/>
  <c r="E650"/>
  <c r="H650"/>
  <c r="I650"/>
  <c r="E651"/>
  <c r="H651"/>
  <c r="I651"/>
  <c r="E652"/>
  <c r="H652"/>
  <c r="I652"/>
  <c r="E653"/>
  <c r="H653"/>
  <c r="I653"/>
  <c r="E654"/>
  <c r="H654"/>
  <c r="I654"/>
  <c r="E655"/>
  <c r="I655"/>
  <c r="E656"/>
  <c r="I656"/>
  <c r="E657"/>
  <c r="H657"/>
  <c r="I657"/>
  <c r="E658"/>
  <c r="H658"/>
  <c r="I658"/>
  <c r="E659"/>
  <c r="H659"/>
  <c r="I659"/>
  <c r="E660"/>
  <c r="H660"/>
  <c r="I660"/>
  <c r="E661"/>
  <c r="I661"/>
  <c r="E662"/>
  <c r="I662"/>
  <c r="E663"/>
  <c r="H663"/>
  <c r="I663"/>
  <c r="E664"/>
  <c r="H664"/>
  <c r="I664"/>
  <c r="E665"/>
  <c r="H665"/>
  <c r="I665"/>
  <c r="E666"/>
  <c r="H666"/>
  <c r="I666"/>
  <c r="E667"/>
  <c r="I667"/>
  <c r="E668"/>
  <c r="I668"/>
  <c r="E669"/>
  <c r="H669"/>
  <c r="I669"/>
  <c r="E670"/>
  <c r="H670"/>
  <c r="I670"/>
  <c r="E671"/>
  <c r="H671"/>
  <c r="I671"/>
  <c r="E672"/>
  <c r="H672"/>
  <c r="I672"/>
  <c r="E673"/>
  <c r="I673"/>
  <c r="E674"/>
  <c r="I674"/>
  <c r="E675"/>
  <c r="H675"/>
  <c r="I675"/>
  <c r="E676"/>
  <c r="H676"/>
  <c r="I676"/>
  <c r="E677"/>
  <c r="H677"/>
  <c r="I677"/>
  <c r="E678"/>
  <c r="H678"/>
  <c r="I678"/>
  <c r="E679"/>
  <c r="I679"/>
  <c r="E680"/>
  <c r="H680"/>
  <c r="I680"/>
  <c r="E681"/>
  <c r="H681"/>
  <c r="I681"/>
  <c r="E682"/>
  <c r="H682"/>
  <c r="I682"/>
  <c r="E683"/>
  <c r="H683"/>
  <c r="I683"/>
  <c r="E684"/>
  <c r="H684"/>
  <c r="I684"/>
  <c r="E685"/>
  <c r="I685"/>
  <c r="E686"/>
  <c r="H686"/>
  <c r="I686"/>
  <c r="E687"/>
  <c r="H687"/>
  <c r="I687"/>
  <c r="E688"/>
  <c r="H688"/>
  <c r="I688"/>
  <c r="E689"/>
  <c r="H689"/>
  <c r="I689"/>
  <c r="E690"/>
  <c r="H690"/>
  <c r="I690"/>
  <c r="E691"/>
  <c r="I691"/>
  <c r="E692"/>
  <c r="I692"/>
  <c r="E693"/>
  <c r="H693"/>
  <c r="I693"/>
  <c r="E694"/>
  <c r="H694"/>
  <c r="I694"/>
  <c r="E695"/>
  <c r="H695"/>
  <c r="I695"/>
  <c r="E696"/>
  <c r="H696"/>
  <c r="I696"/>
  <c r="E697"/>
  <c r="I697"/>
  <c r="E698"/>
  <c r="I698"/>
  <c r="E699"/>
  <c r="H699"/>
  <c r="I699"/>
  <c r="E700"/>
  <c r="H700"/>
  <c r="I700"/>
  <c r="E701"/>
  <c r="H701"/>
  <c r="I701"/>
  <c r="E702"/>
  <c r="H702"/>
  <c r="I702"/>
  <c r="E703"/>
  <c r="I703"/>
  <c r="E704"/>
  <c r="I704"/>
  <c r="E705"/>
  <c r="H705"/>
  <c r="I705"/>
  <c r="E706"/>
  <c r="H706"/>
  <c r="I706"/>
  <c r="E707"/>
  <c r="H707"/>
  <c r="I707"/>
  <c r="E708"/>
  <c r="H708"/>
  <c r="I708"/>
  <c r="E709"/>
  <c r="I709"/>
  <c r="E710"/>
  <c r="I710"/>
  <c r="E711"/>
  <c r="H711"/>
  <c r="I711"/>
  <c r="E712"/>
  <c r="H712"/>
  <c r="I712"/>
  <c r="E713"/>
  <c r="H713"/>
  <c r="I713"/>
  <c r="E714"/>
  <c r="H714"/>
  <c r="I714"/>
  <c r="E715"/>
  <c r="I715"/>
  <c r="E716"/>
  <c r="H716"/>
  <c r="I716"/>
  <c r="E717"/>
  <c r="H717"/>
  <c r="I717"/>
  <c r="E718"/>
  <c r="H718"/>
  <c r="I718"/>
  <c r="E719"/>
  <c r="H719"/>
  <c r="I719"/>
  <c r="E720"/>
  <c r="H720"/>
  <c r="I720"/>
  <c r="E721"/>
  <c r="I721"/>
  <c r="E722"/>
  <c r="H722"/>
  <c r="I722"/>
  <c r="E723"/>
  <c r="H723"/>
  <c r="I723"/>
  <c r="E724"/>
  <c r="H724"/>
  <c r="I724"/>
  <c r="E725"/>
  <c r="H725"/>
  <c r="I725"/>
  <c r="E726"/>
  <c r="H726"/>
  <c r="I726"/>
  <c r="E727"/>
  <c r="I727"/>
  <c r="E728"/>
  <c r="I728"/>
  <c r="E729"/>
  <c r="H729"/>
  <c r="I729"/>
  <c r="E730"/>
  <c r="H730"/>
  <c r="I730"/>
  <c r="E731"/>
  <c r="H731"/>
  <c r="I731"/>
  <c r="E732"/>
  <c r="H732"/>
  <c r="I732"/>
  <c r="E733"/>
  <c r="I733"/>
  <c r="E734"/>
  <c r="I734"/>
  <c r="E735"/>
  <c r="H735"/>
  <c r="I735"/>
  <c r="E736"/>
  <c r="H736"/>
  <c r="I736"/>
  <c r="E737"/>
  <c r="H737"/>
  <c r="I737"/>
  <c r="E738"/>
  <c r="H738"/>
  <c r="I738"/>
  <c r="E739"/>
  <c r="I739"/>
  <c r="E740"/>
  <c r="H740"/>
  <c r="I740"/>
  <c r="E741"/>
  <c r="H741"/>
  <c r="I741"/>
  <c r="E742"/>
  <c r="H742"/>
  <c r="I742"/>
  <c r="E743"/>
  <c r="H743"/>
  <c r="I743"/>
  <c r="E744"/>
  <c r="H744"/>
  <c r="I744"/>
  <c r="E745"/>
  <c r="I745"/>
  <c r="E746"/>
  <c r="H746"/>
  <c r="I746"/>
  <c r="E747"/>
  <c r="H747"/>
  <c r="I747"/>
  <c r="E748"/>
  <c r="H748"/>
  <c r="I748"/>
  <c r="E749"/>
  <c r="H749"/>
  <c r="I749"/>
  <c r="E750"/>
  <c r="H750"/>
  <c r="I750"/>
  <c r="E751"/>
  <c r="I751"/>
  <c r="E752"/>
  <c r="H752"/>
  <c r="I752"/>
  <c r="E753"/>
  <c r="H753"/>
  <c r="I753"/>
  <c r="E754"/>
  <c r="H754"/>
  <c r="I754"/>
  <c r="E755"/>
  <c r="H755"/>
  <c r="I755"/>
  <c r="E756"/>
  <c r="H756"/>
  <c r="I756"/>
  <c r="E757"/>
  <c r="I757"/>
  <c r="E758"/>
  <c r="I758"/>
  <c r="E759"/>
  <c r="H759"/>
  <c r="I759"/>
  <c r="E760"/>
  <c r="H760"/>
  <c r="I760"/>
  <c r="E761"/>
  <c r="H761"/>
  <c r="I761"/>
  <c r="E762"/>
  <c r="H762"/>
  <c r="I762"/>
  <c r="E763"/>
  <c r="I763"/>
  <c r="E764"/>
  <c r="I764"/>
  <c r="E765"/>
  <c r="H765"/>
  <c r="I765"/>
  <c r="E766"/>
  <c r="H766"/>
  <c r="I766"/>
  <c r="E767"/>
  <c r="H767"/>
  <c r="I767"/>
  <c r="E768"/>
  <c r="H768"/>
  <c r="I768"/>
  <c r="E769"/>
  <c r="I769"/>
  <c r="E770"/>
  <c r="I770"/>
  <c r="E771"/>
  <c r="H771"/>
  <c r="I771"/>
  <c r="E772"/>
  <c r="H772"/>
  <c r="I772"/>
  <c r="E773"/>
  <c r="H773"/>
  <c r="I773"/>
  <c r="E774"/>
  <c r="H774"/>
  <c r="I774"/>
  <c r="E775"/>
  <c r="I775"/>
  <c r="E776"/>
  <c r="H776"/>
  <c r="I776"/>
  <c r="E777"/>
  <c r="H777"/>
  <c r="I777"/>
  <c r="E778"/>
  <c r="H778"/>
  <c r="I778"/>
  <c r="E779"/>
  <c r="H779"/>
  <c r="I779"/>
  <c r="E780"/>
  <c r="H780"/>
  <c r="I780"/>
  <c r="E781"/>
  <c r="I781"/>
  <c r="E782"/>
  <c r="H782"/>
  <c r="I782"/>
  <c r="E783"/>
  <c r="H783"/>
  <c r="I783"/>
  <c r="E784"/>
  <c r="H784"/>
  <c r="I784"/>
  <c r="E785"/>
  <c r="H785"/>
  <c r="I785"/>
  <c r="E786"/>
  <c r="H786"/>
  <c r="I786"/>
  <c r="E787"/>
  <c r="I787"/>
  <c r="E788"/>
  <c r="H788"/>
  <c r="I788"/>
  <c r="E789"/>
  <c r="H789"/>
  <c r="I789"/>
  <c r="E790"/>
  <c r="H790"/>
  <c r="I790"/>
  <c r="E791"/>
  <c r="H791"/>
  <c r="I791"/>
  <c r="E792"/>
  <c r="H792"/>
  <c r="I792"/>
  <c r="E793"/>
  <c r="I793"/>
  <c r="E794"/>
  <c r="H794"/>
  <c r="I794"/>
  <c r="E795"/>
  <c r="H795"/>
  <c r="I795"/>
  <c r="E796"/>
  <c r="H796"/>
  <c r="I796"/>
  <c r="E797"/>
  <c r="H797"/>
  <c r="I797"/>
  <c r="E798"/>
  <c r="H798"/>
  <c r="I798"/>
  <c r="E799"/>
  <c r="I799"/>
  <c r="E800"/>
  <c r="H800"/>
  <c r="I800"/>
  <c r="E801"/>
  <c r="H801"/>
  <c r="I801"/>
  <c r="E802"/>
  <c r="H802"/>
  <c r="I802"/>
  <c r="E803"/>
  <c r="H803"/>
  <c r="I803"/>
  <c r="E804"/>
  <c r="H804"/>
  <c r="I804"/>
  <c r="E805"/>
  <c r="I805"/>
  <c r="E806"/>
  <c r="H806"/>
  <c r="I806"/>
  <c r="E807"/>
  <c r="H807"/>
  <c r="I807"/>
  <c r="E808"/>
  <c r="H808"/>
  <c r="I808"/>
  <c r="E809"/>
  <c r="H809"/>
  <c r="I809"/>
  <c r="E810"/>
  <c r="H810"/>
  <c r="I810"/>
  <c r="E811"/>
  <c r="I811"/>
  <c r="E812"/>
  <c r="H812"/>
  <c r="I812"/>
  <c r="E813"/>
  <c r="H813"/>
  <c r="I813"/>
  <c r="E814"/>
  <c r="H814"/>
  <c r="I814"/>
  <c r="E815"/>
  <c r="H815"/>
  <c r="I815"/>
  <c r="E816"/>
  <c r="H816"/>
  <c r="I816"/>
  <c r="E817"/>
  <c r="I817"/>
  <c r="E818"/>
  <c r="H818"/>
  <c r="I818"/>
  <c r="E819"/>
  <c r="H819"/>
  <c r="I819"/>
  <c r="E820"/>
  <c r="H820"/>
  <c r="I820"/>
  <c r="E821"/>
  <c r="H821"/>
  <c r="I821"/>
  <c r="E822"/>
  <c r="H822"/>
  <c r="I822"/>
  <c r="E823"/>
  <c r="I823"/>
  <c r="E824"/>
  <c r="H824"/>
  <c r="I824"/>
  <c r="E825"/>
  <c r="H825"/>
  <c r="I825"/>
  <c r="E826"/>
  <c r="H826"/>
  <c r="I826"/>
  <c r="E827"/>
  <c r="H827"/>
  <c r="I827"/>
  <c r="E828"/>
  <c r="H828"/>
  <c r="I828"/>
  <c r="E829"/>
  <c r="I829"/>
  <c r="E830"/>
  <c r="H830"/>
  <c r="I830"/>
  <c r="E831"/>
  <c r="H831"/>
  <c r="I831"/>
  <c r="E832"/>
  <c r="H832"/>
  <c r="I832"/>
  <c r="E833"/>
  <c r="H833"/>
  <c r="I833"/>
  <c r="E834"/>
  <c r="H834"/>
  <c r="I834"/>
  <c r="E835"/>
  <c r="I835"/>
  <c r="E836"/>
  <c r="H836"/>
  <c r="I836"/>
  <c r="E837"/>
  <c r="H837"/>
  <c r="I837"/>
  <c r="E838"/>
  <c r="H838"/>
  <c r="I838"/>
  <c r="E839"/>
  <c r="H839"/>
  <c r="I839"/>
  <c r="E840"/>
  <c r="H840"/>
  <c r="I840"/>
  <c r="E841"/>
  <c r="I841"/>
  <c r="E842"/>
  <c r="H842"/>
  <c r="I842"/>
  <c r="E843"/>
  <c r="H843"/>
  <c r="I843"/>
  <c r="E844"/>
  <c r="H844"/>
  <c r="I844"/>
  <c r="E845"/>
  <c r="H845"/>
  <c r="I845"/>
  <c r="E846"/>
  <c r="H846"/>
  <c r="I846"/>
  <c r="E847"/>
  <c r="I847"/>
  <c r="E848"/>
  <c r="H848"/>
  <c r="I848"/>
  <c r="E849"/>
  <c r="H849"/>
  <c r="I849"/>
  <c r="E850"/>
  <c r="H850"/>
  <c r="I850"/>
  <c r="E851"/>
  <c r="H851"/>
  <c r="I851"/>
  <c r="E852"/>
  <c r="H852"/>
  <c r="I852"/>
  <c r="E853"/>
  <c r="I853"/>
  <c r="E854"/>
  <c r="H854"/>
  <c r="I854"/>
  <c r="E855"/>
  <c r="H855"/>
  <c r="I855"/>
  <c r="E856"/>
  <c r="H856"/>
  <c r="I856"/>
  <c r="E857"/>
  <c r="H857"/>
  <c r="I857"/>
  <c r="E858"/>
  <c r="H858"/>
  <c r="I858"/>
  <c r="E859"/>
  <c r="I859"/>
  <c r="E860"/>
  <c r="H860"/>
  <c r="I860"/>
  <c r="E861"/>
  <c r="H861"/>
  <c r="I861"/>
  <c r="E862"/>
  <c r="H862"/>
  <c r="I862"/>
  <c r="E863"/>
  <c r="H863"/>
  <c r="I863"/>
  <c r="E864"/>
  <c r="H864"/>
  <c r="I864"/>
  <c r="E865"/>
  <c r="I865"/>
  <c r="E866"/>
  <c r="H866"/>
  <c r="I866"/>
  <c r="E867"/>
  <c r="H867"/>
  <c r="I867"/>
  <c r="E868"/>
  <c r="H868"/>
  <c r="I868"/>
  <c r="E869"/>
  <c r="H869"/>
  <c r="I869"/>
  <c r="E870"/>
  <c r="H870"/>
  <c r="I870"/>
  <c r="E871"/>
  <c r="I871"/>
  <c r="E872"/>
  <c r="H872"/>
  <c r="I872"/>
  <c r="E873"/>
  <c r="H873"/>
  <c r="I873"/>
  <c r="E874"/>
  <c r="H874"/>
  <c r="I874"/>
  <c r="E875"/>
  <c r="H875"/>
  <c r="I875"/>
  <c r="E876"/>
  <c r="H876"/>
  <c r="I876"/>
  <c r="E877"/>
  <c r="I877"/>
  <c r="E878"/>
  <c r="H878"/>
  <c r="I878"/>
  <c r="E879"/>
  <c r="H879"/>
  <c r="I879"/>
  <c r="E880"/>
  <c r="H880"/>
  <c r="I880"/>
  <c r="E881"/>
  <c r="H881"/>
  <c r="I881"/>
  <c r="E882"/>
  <c r="H882"/>
  <c r="I882"/>
  <c r="E883"/>
  <c r="I883"/>
  <c r="E884"/>
  <c r="H884"/>
  <c r="I884"/>
  <c r="E885"/>
  <c r="H885"/>
  <c r="I885"/>
  <c r="E886"/>
  <c r="H886"/>
  <c r="I886"/>
  <c r="E887"/>
  <c r="H887"/>
  <c r="I887"/>
  <c r="E888"/>
  <c r="H888"/>
  <c r="I888"/>
  <c r="E889"/>
  <c r="I889"/>
  <c r="E890"/>
  <c r="H890"/>
  <c r="I890"/>
  <c r="E891"/>
  <c r="H891"/>
  <c r="I891"/>
  <c r="E892"/>
  <c r="H892"/>
  <c r="I892"/>
  <c r="E893"/>
  <c r="H893"/>
  <c r="I893"/>
  <c r="E894"/>
  <c r="H894"/>
  <c r="I894"/>
  <c r="E895"/>
  <c r="I895"/>
  <c r="E896"/>
  <c r="H896"/>
  <c r="I896"/>
  <c r="E897"/>
  <c r="H897"/>
  <c r="I897"/>
  <c r="E898"/>
  <c r="H898"/>
  <c r="I898"/>
  <c r="E899"/>
  <c r="H899"/>
  <c r="I899"/>
  <c r="E900"/>
  <c r="H900"/>
  <c r="I900"/>
  <c r="E901"/>
  <c r="I901"/>
  <c r="E902"/>
  <c r="H902"/>
  <c r="I902"/>
  <c r="I152"/>
  <c r="H152"/>
  <c r="E152"/>
  <c r="I151"/>
  <c r="H151"/>
  <c r="E151"/>
  <c r="I150"/>
  <c r="H150"/>
  <c r="E150"/>
  <c r="I149"/>
  <c r="H149"/>
  <c r="E149"/>
  <c r="I148"/>
  <c r="H148"/>
  <c r="E148"/>
  <c r="I147"/>
  <c r="E147"/>
  <c r="I146"/>
  <c r="H146"/>
  <c r="E146"/>
  <c r="I145"/>
  <c r="E145"/>
  <c r="I144"/>
  <c r="H144"/>
  <c r="E144"/>
  <c r="I143"/>
  <c r="H143"/>
  <c r="E143"/>
  <c r="I142"/>
  <c r="H142"/>
  <c r="E142"/>
  <c r="I141"/>
  <c r="E141"/>
  <c r="I140"/>
  <c r="H140"/>
  <c r="E140"/>
  <c r="I139"/>
  <c r="E139"/>
  <c r="I138"/>
  <c r="H138"/>
  <c r="E138"/>
  <c r="I137"/>
  <c r="H137"/>
  <c r="E137"/>
  <c r="I136"/>
  <c r="H136"/>
  <c r="E136"/>
  <c r="I135"/>
  <c r="E135"/>
  <c r="I134"/>
  <c r="H134"/>
  <c r="E134"/>
  <c r="I133"/>
  <c r="H133"/>
  <c r="E133"/>
  <c r="I132"/>
  <c r="H132"/>
  <c r="E132"/>
  <c r="I131"/>
  <c r="H131"/>
  <c r="E131"/>
  <c r="I130"/>
  <c r="H130"/>
  <c r="E130"/>
  <c r="I129"/>
  <c r="E129"/>
  <c r="I128"/>
  <c r="E128"/>
  <c r="I127"/>
  <c r="H127"/>
  <c r="E127"/>
  <c r="I126"/>
  <c r="E126"/>
  <c r="I125"/>
  <c r="H125"/>
  <c r="E125"/>
  <c r="I124"/>
  <c r="E124"/>
  <c r="I123"/>
  <c r="E123"/>
  <c r="I122"/>
  <c r="E122"/>
  <c r="I121"/>
  <c r="H121"/>
  <c r="E121"/>
  <c r="I120"/>
  <c r="E120"/>
  <c r="I119"/>
  <c r="H119"/>
  <c r="E119"/>
  <c r="I118"/>
  <c r="H118"/>
  <c r="E118"/>
  <c r="I117"/>
  <c r="E117"/>
  <c r="I116"/>
  <c r="H116"/>
  <c r="E116"/>
  <c r="I115"/>
  <c r="H115"/>
  <c r="E115"/>
  <c r="I114"/>
  <c r="H114"/>
  <c r="E114"/>
  <c r="I113"/>
  <c r="H113"/>
  <c r="E113"/>
  <c r="I112"/>
  <c r="H112"/>
  <c r="E112"/>
  <c r="I111"/>
  <c r="E111"/>
  <c r="I110"/>
  <c r="H110"/>
  <c r="E110"/>
  <c r="I109"/>
  <c r="E109"/>
  <c r="I108"/>
  <c r="H108"/>
  <c r="E108"/>
  <c r="I107"/>
  <c r="H107"/>
  <c r="E107"/>
  <c r="I106"/>
  <c r="H106"/>
  <c r="E106"/>
  <c r="I105"/>
  <c r="E105"/>
  <c r="I104"/>
  <c r="H104"/>
  <c r="E104"/>
  <c r="I103"/>
  <c r="E103"/>
  <c r="I102"/>
  <c r="H102"/>
  <c r="E102"/>
  <c r="I101"/>
  <c r="H101"/>
  <c r="E101"/>
  <c r="I100"/>
  <c r="H100"/>
  <c r="E100"/>
  <c r="I99"/>
  <c r="E99"/>
  <c r="I98"/>
  <c r="H98"/>
  <c r="E98"/>
  <c r="I97"/>
  <c r="H97"/>
  <c r="E97"/>
  <c r="I96"/>
  <c r="H96"/>
  <c r="E96"/>
  <c r="I95"/>
  <c r="H95"/>
  <c r="E95"/>
  <c r="I94"/>
  <c r="H94"/>
  <c r="E94"/>
  <c r="I93"/>
  <c r="E93"/>
  <c r="I92"/>
  <c r="E92"/>
  <c r="I91"/>
  <c r="H91"/>
  <c r="E91"/>
  <c r="I90"/>
  <c r="E90"/>
  <c r="I89"/>
  <c r="H89"/>
  <c r="E89"/>
  <c r="I88"/>
  <c r="E88"/>
  <c r="I87"/>
  <c r="E87"/>
  <c r="I86"/>
  <c r="E86"/>
  <c r="I85"/>
  <c r="H85"/>
  <c r="E85"/>
  <c r="I84"/>
  <c r="E84"/>
  <c r="I83"/>
  <c r="H83"/>
  <c r="E83"/>
  <c r="I82"/>
  <c r="H82"/>
  <c r="E82"/>
  <c r="I81"/>
  <c r="E81"/>
  <c r="I80"/>
  <c r="H80"/>
  <c r="E80"/>
  <c r="I79"/>
  <c r="H79"/>
  <c r="E79"/>
  <c r="I78"/>
  <c r="H78"/>
  <c r="E78"/>
  <c r="I77"/>
  <c r="H77"/>
  <c r="E77"/>
  <c r="I76"/>
  <c r="H76"/>
  <c r="E76"/>
  <c r="I75"/>
  <c r="E75"/>
  <c r="I74"/>
  <c r="H74"/>
  <c r="E74"/>
  <c r="I73"/>
  <c r="E73"/>
  <c r="I72"/>
  <c r="H72"/>
  <c r="E72"/>
  <c r="I71"/>
  <c r="H71"/>
  <c r="E71"/>
  <c r="I70"/>
  <c r="H70"/>
  <c r="E70"/>
  <c r="I69"/>
  <c r="E69"/>
  <c r="I68"/>
  <c r="H68"/>
  <c r="E68"/>
  <c r="I67"/>
  <c r="E67"/>
  <c r="I66"/>
  <c r="H66"/>
  <c r="E66"/>
  <c r="I65"/>
  <c r="H65"/>
  <c r="E65"/>
  <c r="I64"/>
  <c r="H64"/>
  <c r="E64"/>
  <c r="I63"/>
  <c r="E63"/>
  <c r="I62"/>
  <c r="H62"/>
  <c r="E62"/>
  <c r="I61"/>
  <c r="H61"/>
  <c r="E61"/>
  <c r="I60"/>
  <c r="H60"/>
  <c r="E60"/>
  <c r="I59"/>
  <c r="H59"/>
  <c r="E59"/>
  <c r="I58"/>
  <c r="H58"/>
  <c r="E58"/>
  <c r="I57"/>
  <c r="E57"/>
  <c r="I56"/>
  <c r="E56"/>
  <c r="I55"/>
  <c r="H55"/>
  <c r="E55"/>
  <c r="I54"/>
  <c r="E54"/>
  <c r="I53"/>
  <c r="H53"/>
  <c r="E53"/>
  <c r="I52"/>
  <c r="E52"/>
  <c r="I51"/>
  <c r="E51"/>
  <c r="I50"/>
  <c r="E50"/>
  <c r="I49"/>
  <c r="H49"/>
  <c r="E49"/>
  <c r="I48"/>
  <c r="E48"/>
  <c r="I47"/>
  <c r="H47"/>
  <c r="E47"/>
  <c r="I46"/>
  <c r="H46"/>
  <c r="E46"/>
  <c r="I45"/>
  <c r="E45"/>
  <c r="I44"/>
  <c r="H44"/>
  <c r="E44"/>
  <c r="I43"/>
  <c r="H43"/>
  <c r="E43"/>
  <c r="I42"/>
  <c r="H42"/>
  <c r="E42"/>
  <c r="I41"/>
  <c r="H41"/>
  <c r="E41"/>
  <c r="I40"/>
  <c r="H40"/>
  <c r="E40"/>
  <c r="I39"/>
  <c r="E39"/>
  <c r="I38"/>
  <c r="H38"/>
  <c r="E38"/>
  <c r="I37"/>
  <c r="E37"/>
  <c r="I36"/>
  <c r="H36"/>
  <c r="E36"/>
  <c r="I35"/>
  <c r="H35"/>
  <c r="E35"/>
  <c r="I34"/>
  <c r="H34"/>
  <c r="E34"/>
  <c r="I33"/>
  <c r="E33"/>
  <c r="I32"/>
  <c r="H32"/>
  <c r="E32"/>
  <c r="I31"/>
  <c r="E31"/>
  <c r="I30"/>
  <c r="H30"/>
  <c r="E30"/>
  <c r="I29"/>
  <c r="H29"/>
  <c r="E29"/>
  <c r="I28"/>
  <c r="H28"/>
  <c r="E28"/>
  <c r="I27"/>
  <c r="E27"/>
  <c r="I26"/>
  <c r="H26"/>
  <c r="E26"/>
  <c r="I25"/>
  <c r="H25"/>
  <c r="E25"/>
  <c r="I24"/>
  <c r="H24"/>
  <c r="E24"/>
  <c r="I23"/>
  <c r="H23"/>
  <c r="E23"/>
  <c r="I22"/>
  <c r="H22"/>
  <c r="E22"/>
  <c r="I21"/>
  <c r="E21"/>
  <c r="I20"/>
  <c r="E20"/>
  <c r="I19"/>
  <c r="H19"/>
  <c r="E19"/>
  <c r="I18"/>
  <c r="E18"/>
  <c r="I17"/>
  <c r="H17"/>
  <c r="E17"/>
  <c r="I16"/>
  <c r="E16"/>
  <c r="I15"/>
  <c r="E15"/>
  <c r="I14"/>
  <c r="E14"/>
  <c r="I13"/>
  <c r="H13"/>
  <c r="E13"/>
  <c r="I12"/>
  <c r="E12"/>
  <c r="I11"/>
  <c r="H11"/>
  <c r="E11"/>
  <c r="I10"/>
  <c r="H10"/>
  <c r="E10"/>
  <c r="I9"/>
  <c r="E9"/>
  <c r="I8"/>
  <c r="H8"/>
  <c r="E8"/>
  <c r="I7"/>
  <c r="H7"/>
  <c r="E7"/>
  <c r="I6"/>
  <c r="H6"/>
  <c r="E6"/>
  <c r="I5"/>
  <c r="H5"/>
  <c r="E5"/>
  <c r="I4"/>
  <c r="H4"/>
  <c r="E4"/>
  <c r="I3"/>
  <c r="H3"/>
  <c r="E3"/>
  <c r="F17" i="3" s="1"/>
  <c r="H152" i="27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52" i="26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G15" i="3" s="1"/>
  <c r="H15" s="1"/>
  <c r="E3" i="26"/>
  <c r="F15" i="3" s="1"/>
  <c r="H152" i="25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F14" i="3" s="1"/>
  <c r="H152" i="24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G101"/>
  <c r="F10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52" i="21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I7" i="3"/>
  <c r="G7"/>
  <c r="H7" s="1"/>
  <c r="F7"/>
  <c r="H152" i="20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152" i="19"/>
  <c r="F152"/>
  <c r="G152" s="1"/>
  <c r="E152"/>
  <c r="H151"/>
  <c r="F151"/>
  <c r="G151" s="1"/>
  <c r="E151"/>
  <c r="H150"/>
  <c r="F150"/>
  <c r="G150" s="1"/>
  <c r="E150"/>
  <c r="H149"/>
  <c r="F149"/>
  <c r="G149" s="1"/>
  <c r="E149"/>
  <c r="H148"/>
  <c r="F148"/>
  <c r="G148" s="1"/>
  <c r="E148"/>
  <c r="H147"/>
  <c r="F147"/>
  <c r="G147" s="1"/>
  <c r="E147"/>
  <c r="H146"/>
  <c r="F146"/>
  <c r="G146" s="1"/>
  <c r="E146"/>
  <c r="H145"/>
  <c r="F145"/>
  <c r="G145" s="1"/>
  <c r="E145"/>
  <c r="H144"/>
  <c r="F144"/>
  <c r="G144" s="1"/>
  <c r="E144"/>
  <c r="H143"/>
  <c r="F143"/>
  <c r="G143" s="1"/>
  <c r="E143"/>
  <c r="H142"/>
  <c r="F142"/>
  <c r="G142" s="1"/>
  <c r="E142"/>
  <c r="H141"/>
  <c r="F141"/>
  <c r="G141" s="1"/>
  <c r="E141"/>
  <c r="H140"/>
  <c r="F140"/>
  <c r="G140" s="1"/>
  <c r="E140"/>
  <c r="H139"/>
  <c r="F139"/>
  <c r="G139" s="1"/>
  <c r="E139"/>
  <c r="H138"/>
  <c r="F138"/>
  <c r="G138" s="1"/>
  <c r="E138"/>
  <c r="H137"/>
  <c r="F137"/>
  <c r="G137" s="1"/>
  <c r="E137"/>
  <c r="H136"/>
  <c r="F136"/>
  <c r="G136" s="1"/>
  <c r="E136"/>
  <c r="H135"/>
  <c r="F135"/>
  <c r="G135" s="1"/>
  <c r="E135"/>
  <c r="H134"/>
  <c r="F134"/>
  <c r="G134" s="1"/>
  <c r="E134"/>
  <c r="H133"/>
  <c r="F133"/>
  <c r="G133" s="1"/>
  <c r="E133"/>
  <c r="H132"/>
  <c r="F132"/>
  <c r="G132" s="1"/>
  <c r="E132"/>
  <c r="H131"/>
  <c r="F131"/>
  <c r="G131" s="1"/>
  <c r="E131"/>
  <c r="H130"/>
  <c r="F130"/>
  <c r="G130" s="1"/>
  <c r="E130"/>
  <c r="H129"/>
  <c r="F129"/>
  <c r="G129" s="1"/>
  <c r="E129"/>
  <c r="H128"/>
  <c r="F128"/>
  <c r="G128" s="1"/>
  <c r="E128"/>
  <c r="H127"/>
  <c r="F127"/>
  <c r="G127" s="1"/>
  <c r="E127"/>
  <c r="H126"/>
  <c r="F126"/>
  <c r="G126" s="1"/>
  <c r="E126"/>
  <c r="H125"/>
  <c r="F125"/>
  <c r="G125" s="1"/>
  <c r="E125"/>
  <c r="H124"/>
  <c r="F124"/>
  <c r="G124" s="1"/>
  <c r="E124"/>
  <c r="H123"/>
  <c r="F123"/>
  <c r="G123" s="1"/>
  <c r="E123"/>
  <c r="H122"/>
  <c r="F122"/>
  <c r="G122" s="1"/>
  <c r="E122"/>
  <c r="H121"/>
  <c r="F121"/>
  <c r="G121" s="1"/>
  <c r="E121"/>
  <c r="H120"/>
  <c r="F120"/>
  <c r="G120" s="1"/>
  <c r="E120"/>
  <c r="H119"/>
  <c r="F119"/>
  <c r="G119" s="1"/>
  <c r="E119"/>
  <c r="H118"/>
  <c r="F118"/>
  <c r="G118" s="1"/>
  <c r="E118"/>
  <c r="H117"/>
  <c r="F117"/>
  <c r="G117" s="1"/>
  <c r="E117"/>
  <c r="H116"/>
  <c r="F116"/>
  <c r="G116" s="1"/>
  <c r="E116"/>
  <c r="H115"/>
  <c r="F115"/>
  <c r="G115" s="1"/>
  <c r="E115"/>
  <c r="H114"/>
  <c r="F114"/>
  <c r="G114" s="1"/>
  <c r="E114"/>
  <c r="H113"/>
  <c r="F113"/>
  <c r="G113" s="1"/>
  <c r="E113"/>
  <c r="H112"/>
  <c r="F112"/>
  <c r="G112" s="1"/>
  <c r="E112"/>
  <c r="H111"/>
  <c r="F111"/>
  <c r="G111" s="1"/>
  <c r="E111"/>
  <c r="H110"/>
  <c r="F110"/>
  <c r="G110" s="1"/>
  <c r="E110"/>
  <c r="H109"/>
  <c r="F109"/>
  <c r="G109" s="1"/>
  <c r="E109"/>
  <c r="H108"/>
  <c r="F108"/>
  <c r="G108" s="1"/>
  <c r="E108"/>
  <c r="H107"/>
  <c r="F107"/>
  <c r="G107" s="1"/>
  <c r="E107"/>
  <c r="H106"/>
  <c r="F106"/>
  <c r="G106" s="1"/>
  <c r="E106"/>
  <c r="H105"/>
  <c r="F105"/>
  <c r="G105" s="1"/>
  <c r="E105"/>
  <c r="H104"/>
  <c r="F104"/>
  <c r="G104" s="1"/>
  <c r="E104"/>
  <c r="H103"/>
  <c r="F103"/>
  <c r="G103" s="1"/>
  <c r="E103"/>
  <c r="H102"/>
  <c r="F102"/>
  <c r="G102" s="1"/>
  <c r="E102"/>
  <c r="H101"/>
  <c r="F101"/>
  <c r="G101" s="1"/>
  <c r="E101"/>
  <c r="H100"/>
  <c r="F100"/>
  <c r="G100" s="1"/>
  <c r="E100"/>
  <c r="H99"/>
  <c r="F99"/>
  <c r="G99" s="1"/>
  <c r="E99"/>
  <c r="H98"/>
  <c r="F98"/>
  <c r="G98" s="1"/>
  <c r="E98"/>
  <c r="H97"/>
  <c r="F97"/>
  <c r="G97" s="1"/>
  <c r="E97"/>
  <c r="H96"/>
  <c r="F96"/>
  <c r="G96" s="1"/>
  <c r="E96"/>
  <c r="H95"/>
  <c r="F95"/>
  <c r="G95" s="1"/>
  <c r="E95"/>
  <c r="H94"/>
  <c r="F94"/>
  <c r="G94" s="1"/>
  <c r="E94"/>
  <c r="H93"/>
  <c r="F93"/>
  <c r="G93" s="1"/>
  <c r="E93"/>
  <c r="H92"/>
  <c r="F92"/>
  <c r="G92" s="1"/>
  <c r="E92"/>
  <c r="H91"/>
  <c r="F91"/>
  <c r="G91" s="1"/>
  <c r="E91"/>
  <c r="H90"/>
  <c r="F90"/>
  <c r="G90" s="1"/>
  <c r="E90"/>
  <c r="H89"/>
  <c r="F89"/>
  <c r="G89" s="1"/>
  <c r="E89"/>
  <c r="H88"/>
  <c r="F88"/>
  <c r="G88" s="1"/>
  <c r="E88"/>
  <c r="H87"/>
  <c r="F87"/>
  <c r="G87" s="1"/>
  <c r="E87"/>
  <c r="H86"/>
  <c r="F86"/>
  <c r="G86" s="1"/>
  <c r="E86"/>
  <c r="H85"/>
  <c r="F85"/>
  <c r="G85" s="1"/>
  <c r="E85"/>
  <c r="H84"/>
  <c r="F84"/>
  <c r="G84" s="1"/>
  <c r="E84"/>
  <c r="H83"/>
  <c r="F83"/>
  <c r="G83" s="1"/>
  <c r="E83"/>
  <c r="H82"/>
  <c r="F82"/>
  <c r="G82" s="1"/>
  <c r="E82"/>
  <c r="H81"/>
  <c r="F81"/>
  <c r="G81" s="1"/>
  <c r="E81"/>
  <c r="H80"/>
  <c r="F80"/>
  <c r="G80" s="1"/>
  <c r="E80"/>
  <c r="H79"/>
  <c r="F79"/>
  <c r="G79" s="1"/>
  <c r="E79"/>
  <c r="H78"/>
  <c r="F78"/>
  <c r="G78" s="1"/>
  <c r="E78"/>
  <c r="H77"/>
  <c r="F77"/>
  <c r="G77" s="1"/>
  <c r="E77"/>
  <c r="H76"/>
  <c r="F76"/>
  <c r="G76" s="1"/>
  <c r="E76"/>
  <c r="H75"/>
  <c r="F75"/>
  <c r="G75" s="1"/>
  <c r="E75"/>
  <c r="H74"/>
  <c r="F74"/>
  <c r="G74" s="1"/>
  <c r="E74"/>
  <c r="H73"/>
  <c r="F73"/>
  <c r="G73" s="1"/>
  <c r="E73"/>
  <c r="H72"/>
  <c r="F72"/>
  <c r="G72" s="1"/>
  <c r="E72"/>
  <c r="H71"/>
  <c r="F71"/>
  <c r="G71" s="1"/>
  <c r="E71"/>
  <c r="H70"/>
  <c r="F70"/>
  <c r="G70" s="1"/>
  <c r="E70"/>
  <c r="H69"/>
  <c r="F69"/>
  <c r="G69" s="1"/>
  <c r="E69"/>
  <c r="H68"/>
  <c r="F68"/>
  <c r="G68" s="1"/>
  <c r="E68"/>
  <c r="H67"/>
  <c r="F67"/>
  <c r="G67" s="1"/>
  <c r="E67"/>
  <c r="H66"/>
  <c r="F66"/>
  <c r="G66" s="1"/>
  <c r="E66"/>
  <c r="H65"/>
  <c r="F65"/>
  <c r="G65" s="1"/>
  <c r="E65"/>
  <c r="H64"/>
  <c r="F64"/>
  <c r="G64" s="1"/>
  <c r="E64"/>
  <c r="H63"/>
  <c r="F63"/>
  <c r="G63" s="1"/>
  <c r="E63"/>
  <c r="H62"/>
  <c r="F62"/>
  <c r="G62" s="1"/>
  <c r="E62"/>
  <c r="H61"/>
  <c r="F61"/>
  <c r="G61" s="1"/>
  <c r="E61"/>
  <c r="H60"/>
  <c r="F60"/>
  <c r="G60" s="1"/>
  <c r="E60"/>
  <c r="H59"/>
  <c r="F59"/>
  <c r="G59" s="1"/>
  <c r="E59"/>
  <c r="H58"/>
  <c r="F58"/>
  <c r="G58" s="1"/>
  <c r="E58"/>
  <c r="H57"/>
  <c r="F57"/>
  <c r="G57" s="1"/>
  <c r="E57"/>
  <c r="H56"/>
  <c r="F56"/>
  <c r="G56" s="1"/>
  <c r="E56"/>
  <c r="H55"/>
  <c r="F55"/>
  <c r="G55" s="1"/>
  <c r="E55"/>
  <c r="H54"/>
  <c r="F54"/>
  <c r="G54" s="1"/>
  <c r="E54"/>
  <c r="H53"/>
  <c r="F53"/>
  <c r="G53" s="1"/>
  <c r="E53"/>
  <c r="H52"/>
  <c r="F52"/>
  <c r="G52" s="1"/>
  <c r="E52"/>
  <c r="H51"/>
  <c r="F51"/>
  <c r="G51" s="1"/>
  <c r="E51"/>
  <c r="H50"/>
  <c r="F50"/>
  <c r="G50" s="1"/>
  <c r="E50"/>
  <c r="H49"/>
  <c r="F49"/>
  <c r="G49" s="1"/>
  <c r="E49"/>
  <c r="H48"/>
  <c r="F48"/>
  <c r="G48" s="1"/>
  <c r="E48"/>
  <c r="H47"/>
  <c r="F47"/>
  <c r="G47" s="1"/>
  <c r="E47"/>
  <c r="H46"/>
  <c r="F46"/>
  <c r="G46" s="1"/>
  <c r="E46"/>
  <c r="H45"/>
  <c r="F45"/>
  <c r="G45" s="1"/>
  <c r="E45"/>
  <c r="H44"/>
  <c r="F44"/>
  <c r="G44" s="1"/>
  <c r="E44"/>
  <c r="H43"/>
  <c r="F43"/>
  <c r="G43" s="1"/>
  <c r="E43"/>
  <c r="H42"/>
  <c r="F42"/>
  <c r="G42" s="1"/>
  <c r="E42"/>
  <c r="H41"/>
  <c r="F41"/>
  <c r="G41" s="1"/>
  <c r="E41"/>
  <c r="H40"/>
  <c r="F40"/>
  <c r="G40" s="1"/>
  <c r="E40"/>
  <c r="H39"/>
  <c r="F39"/>
  <c r="G39" s="1"/>
  <c r="E39"/>
  <c r="H38"/>
  <c r="F38"/>
  <c r="G38" s="1"/>
  <c r="E38"/>
  <c r="H37"/>
  <c r="F37"/>
  <c r="G37" s="1"/>
  <c r="E37"/>
  <c r="H36"/>
  <c r="F36"/>
  <c r="G36" s="1"/>
  <c r="E36"/>
  <c r="H35"/>
  <c r="F35"/>
  <c r="G35" s="1"/>
  <c r="E35"/>
  <c r="H34"/>
  <c r="F34"/>
  <c r="G34" s="1"/>
  <c r="E34"/>
  <c r="H33"/>
  <c r="F33"/>
  <c r="G33" s="1"/>
  <c r="E33"/>
  <c r="H32"/>
  <c r="F32"/>
  <c r="G32" s="1"/>
  <c r="E32"/>
  <c r="H31"/>
  <c r="F31"/>
  <c r="G31" s="1"/>
  <c r="E31"/>
  <c r="H30"/>
  <c r="F30"/>
  <c r="G30" s="1"/>
  <c r="E30"/>
  <c r="H29"/>
  <c r="F29"/>
  <c r="G29" s="1"/>
  <c r="E29"/>
  <c r="H28"/>
  <c r="F28"/>
  <c r="G28" s="1"/>
  <c r="E28"/>
  <c r="H27"/>
  <c r="F27"/>
  <c r="G27" s="1"/>
  <c r="E27"/>
  <c r="H26"/>
  <c r="F26"/>
  <c r="G26" s="1"/>
  <c r="E26"/>
  <c r="H25"/>
  <c r="F25"/>
  <c r="G25" s="1"/>
  <c r="E25"/>
  <c r="H24"/>
  <c r="F24"/>
  <c r="G24" s="1"/>
  <c r="E24"/>
  <c r="H23"/>
  <c r="F23"/>
  <c r="G23" s="1"/>
  <c r="E23"/>
  <c r="H22"/>
  <c r="F22"/>
  <c r="G22" s="1"/>
  <c r="E22"/>
  <c r="H21"/>
  <c r="F21"/>
  <c r="G21" s="1"/>
  <c r="E21"/>
  <c r="H20"/>
  <c r="F20"/>
  <c r="G20" s="1"/>
  <c r="E20"/>
  <c r="H19"/>
  <c r="F19"/>
  <c r="G19" s="1"/>
  <c r="E19"/>
  <c r="H18"/>
  <c r="F18"/>
  <c r="G18" s="1"/>
  <c r="E18"/>
  <c r="H17"/>
  <c r="F17"/>
  <c r="G17" s="1"/>
  <c r="E17"/>
  <c r="H16"/>
  <c r="F16"/>
  <c r="G16" s="1"/>
  <c r="E16"/>
  <c r="H15"/>
  <c r="F15"/>
  <c r="G15" s="1"/>
  <c r="E15"/>
  <c r="H14"/>
  <c r="F14"/>
  <c r="G14" s="1"/>
  <c r="E14"/>
  <c r="H13"/>
  <c r="F13"/>
  <c r="G13" s="1"/>
  <c r="E13"/>
  <c r="H12"/>
  <c r="F12"/>
  <c r="G12" s="1"/>
  <c r="E12"/>
  <c r="H11"/>
  <c r="F11"/>
  <c r="G11" s="1"/>
  <c r="E11"/>
  <c r="H10"/>
  <c r="F10"/>
  <c r="G10" s="1"/>
  <c r="E10"/>
  <c r="H9"/>
  <c r="F9"/>
  <c r="G9" s="1"/>
  <c r="E9"/>
  <c r="H8"/>
  <c r="F8"/>
  <c r="G8" s="1"/>
  <c r="E8"/>
  <c r="H7"/>
  <c r="F7"/>
  <c r="G7" s="1"/>
  <c r="E7"/>
  <c r="H6"/>
  <c r="F6"/>
  <c r="G6" s="1"/>
  <c r="E6"/>
  <c r="H5"/>
  <c r="F5"/>
  <c r="G5" s="1"/>
  <c r="E5"/>
  <c r="H4"/>
  <c r="F4"/>
  <c r="G4" s="1"/>
  <c r="E4"/>
  <c r="H3"/>
  <c r="F3"/>
  <c r="G3" s="1"/>
  <c r="E3"/>
  <c r="H491" i="18"/>
  <c r="H473"/>
  <c r="H467"/>
  <c r="H455"/>
  <c r="H437"/>
  <c r="H431"/>
  <c r="H419"/>
  <c r="H401"/>
  <c r="H395"/>
  <c r="H383"/>
  <c r="H365"/>
  <c r="H359"/>
  <c r="H347"/>
  <c r="H340"/>
  <c r="H335"/>
  <c r="H328"/>
  <c r="H317"/>
  <c r="H316"/>
  <c r="H299"/>
  <c r="H286"/>
  <c r="H281"/>
  <c r="H274"/>
  <c r="H263"/>
  <c r="H262"/>
  <c r="H245"/>
  <c r="H232"/>
  <c r="H227"/>
  <c r="H220"/>
  <c r="H209"/>
  <c r="H208"/>
  <c r="H191"/>
  <c r="H178"/>
  <c r="H173"/>
  <c r="H166"/>
  <c r="H155"/>
  <c r="H154"/>
  <c r="H137"/>
  <c r="H124"/>
  <c r="H119"/>
  <c r="H112"/>
  <c r="H101"/>
  <c r="H100"/>
  <c r="H83"/>
  <c r="H70"/>
  <c r="H65"/>
  <c r="H58"/>
  <c r="H47"/>
  <c r="H46"/>
  <c r="H29"/>
  <c r="H16"/>
  <c r="H11"/>
  <c r="H4"/>
  <c r="H5"/>
  <c r="H7"/>
  <c r="H8"/>
  <c r="H9"/>
  <c r="H12"/>
  <c r="H13"/>
  <c r="H14"/>
  <c r="H15"/>
  <c r="H17"/>
  <c r="H18"/>
  <c r="H19"/>
  <c r="H20"/>
  <c r="H21"/>
  <c r="H23"/>
  <c r="H24"/>
  <c r="H25"/>
  <c r="H26"/>
  <c r="H27"/>
  <c r="H30"/>
  <c r="H31"/>
  <c r="H32"/>
  <c r="H33"/>
  <c r="H35"/>
  <c r="H36"/>
  <c r="H37"/>
  <c r="H38"/>
  <c r="H39"/>
  <c r="H41"/>
  <c r="H42"/>
  <c r="H43"/>
  <c r="H44"/>
  <c r="H45"/>
  <c r="H48"/>
  <c r="H49"/>
  <c r="H50"/>
  <c r="H51"/>
  <c r="H53"/>
  <c r="H54"/>
  <c r="H55"/>
  <c r="H56"/>
  <c r="H57"/>
  <c r="H59"/>
  <c r="H60"/>
  <c r="H61"/>
  <c r="H62"/>
  <c r="H63"/>
  <c r="H66"/>
  <c r="H67"/>
  <c r="H68"/>
  <c r="H69"/>
  <c r="H71"/>
  <c r="H72"/>
  <c r="H73"/>
  <c r="H74"/>
  <c r="H75"/>
  <c r="H77"/>
  <c r="H78"/>
  <c r="H79"/>
  <c r="H80"/>
  <c r="H81"/>
  <c r="H84"/>
  <c r="H85"/>
  <c r="H86"/>
  <c r="H87"/>
  <c r="H89"/>
  <c r="H90"/>
  <c r="H91"/>
  <c r="H92"/>
  <c r="H93"/>
  <c r="H95"/>
  <c r="H96"/>
  <c r="H97"/>
  <c r="H98"/>
  <c r="H99"/>
  <c r="H102"/>
  <c r="H103"/>
  <c r="H104"/>
  <c r="H105"/>
  <c r="H107"/>
  <c r="H108"/>
  <c r="H109"/>
  <c r="H110"/>
  <c r="H111"/>
  <c r="H113"/>
  <c r="H114"/>
  <c r="H115"/>
  <c r="H116"/>
  <c r="H117"/>
  <c r="H120"/>
  <c r="H121"/>
  <c r="H122"/>
  <c r="H123"/>
  <c r="H125"/>
  <c r="H126"/>
  <c r="H127"/>
  <c r="H128"/>
  <c r="H129"/>
  <c r="H131"/>
  <c r="H132"/>
  <c r="H133"/>
  <c r="H134"/>
  <c r="H135"/>
  <c r="H138"/>
  <c r="H139"/>
  <c r="H140"/>
  <c r="H141"/>
  <c r="H143"/>
  <c r="H144"/>
  <c r="H145"/>
  <c r="H146"/>
  <c r="H147"/>
  <c r="H149"/>
  <c r="H150"/>
  <c r="H151"/>
  <c r="H152"/>
  <c r="H153"/>
  <c r="H156"/>
  <c r="H157"/>
  <c r="H158"/>
  <c r="H159"/>
  <c r="H161"/>
  <c r="H162"/>
  <c r="H163"/>
  <c r="H164"/>
  <c r="H165"/>
  <c r="H167"/>
  <c r="H168"/>
  <c r="H169"/>
  <c r="H170"/>
  <c r="H171"/>
  <c r="H174"/>
  <c r="H175"/>
  <c r="H176"/>
  <c r="H177"/>
  <c r="H179"/>
  <c r="H180"/>
  <c r="H181"/>
  <c r="H182"/>
  <c r="H183"/>
  <c r="H185"/>
  <c r="H186"/>
  <c r="H187"/>
  <c r="H188"/>
  <c r="H189"/>
  <c r="H192"/>
  <c r="H193"/>
  <c r="H194"/>
  <c r="H195"/>
  <c r="H197"/>
  <c r="H198"/>
  <c r="H199"/>
  <c r="H200"/>
  <c r="H201"/>
  <c r="H203"/>
  <c r="H204"/>
  <c r="H205"/>
  <c r="H206"/>
  <c r="H207"/>
  <c r="H210"/>
  <c r="H211"/>
  <c r="H212"/>
  <c r="H213"/>
  <c r="H215"/>
  <c r="H216"/>
  <c r="H217"/>
  <c r="H218"/>
  <c r="H219"/>
  <c r="H221"/>
  <c r="H222"/>
  <c r="H223"/>
  <c r="H224"/>
  <c r="H225"/>
  <c r="H228"/>
  <c r="H229"/>
  <c r="H230"/>
  <c r="H231"/>
  <c r="H233"/>
  <c r="H234"/>
  <c r="H235"/>
  <c r="H236"/>
  <c r="H237"/>
  <c r="H239"/>
  <c r="H240"/>
  <c r="H241"/>
  <c r="H242"/>
  <c r="H243"/>
  <c r="H246"/>
  <c r="H247"/>
  <c r="H248"/>
  <c r="H249"/>
  <c r="H251"/>
  <c r="H252"/>
  <c r="H253"/>
  <c r="H254"/>
  <c r="H255"/>
  <c r="H257"/>
  <c r="H258"/>
  <c r="H259"/>
  <c r="H260"/>
  <c r="H261"/>
  <c r="H264"/>
  <c r="H265"/>
  <c r="H266"/>
  <c r="H267"/>
  <c r="H269"/>
  <c r="H270"/>
  <c r="H271"/>
  <c r="H272"/>
  <c r="H273"/>
  <c r="H275"/>
  <c r="H276"/>
  <c r="H277"/>
  <c r="H278"/>
  <c r="H279"/>
  <c r="H282"/>
  <c r="H283"/>
  <c r="H284"/>
  <c r="H285"/>
  <c r="H287"/>
  <c r="H288"/>
  <c r="H289"/>
  <c r="H290"/>
  <c r="H291"/>
  <c r="H293"/>
  <c r="H294"/>
  <c r="H295"/>
  <c r="H296"/>
  <c r="H297"/>
  <c r="H300"/>
  <c r="H301"/>
  <c r="H302"/>
  <c r="H303"/>
  <c r="H305"/>
  <c r="H306"/>
  <c r="H307"/>
  <c r="H308"/>
  <c r="H309"/>
  <c r="H311"/>
  <c r="H312"/>
  <c r="H313"/>
  <c r="H314"/>
  <c r="H315"/>
  <c r="H318"/>
  <c r="H319"/>
  <c r="H320"/>
  <c r="H321"/>
  <c r="H323"/>
  <c r="H324"/>
  <c r="H325"/>
  <c r="H326"/>
  <c r="H327"/>
  <c r="H329"/>
  <c r="H330"/>
  <c r="H331"/>
  <c r="H332"/>
  <c r="H333"/>
  <c r="H336"/>
  <c r="H337"/>
  <c r="H338"/>
  <c r="H339"/>
  <c r="H341"/>
  <c r="H342"/>
  <c r="H343"/>
  <c r="H344"/>
  <c r="H345"/>
  <c r="H348"/>
  <c r="H349"/>
  <c r="H350"/>
  <c r="H351"/>
  <c r="H353"/>
  <c r="H354"/>
  <c r="H355"/>
  <c r="H356"/>
  <c r="H357"/>
  <c r="H360"/>
  <c r="H361"/>
  <c r="H362"/>
  <c r="H363"/>
  <c r="H364"/>
  <c r="H366"/>
  <c r="H367"/>
  <c r="H368"/>
  <c r="H369"/>
  <c r="H371"/>
  <c r="H372"/>
  <c r="H373"/>
  <c r="H374"/>
  <c r="H375"/>
  <c r="H377"/>
  <c r="H378"/>
  <c r="H379"/>
  <c r="H380"/>
  <c r="H381"/>
  <c r="H384"/>
  <c r="H385"/>
  <c r="H386"/>
  <c r="H387"/>
  <c r="H389"/>
  <c r="H390"/>
  <c r="H391"/>
  <c r="H392"/>
  <c r="H393"/>
  <c r="H396"/>
  <c r="H397"/>
  <c r="H398"/>
  <c r="H399"/>
  <c r="H400"/>
  <c r="H402"/>
  <c r="H403"/>
  <c r="H404"/>
  <c r="H405"/>
  <c r="H407"/>
  <c r="H408"/>
  <c r="H409"/>
  <c r="H410"/>
  <c r="H411"/>
  <c r="H413"/>
  <c r="H414"/>
  <c r="H415"/>
  <c r="H416"/>
  <c r="H417"/>
  <c r="H420"/>
  <c r="H421"/>
  <c r="H422"/>
  <c r="H423"/>
  <c r="H425"/>
  <c r="H426"/>
  <c r="H427"/>
  <c r="H428"/>
  <c r="H429"/>
  <c r="H432"/>
  <c r="H433"/>
  <c r="H434"/>
  <c r="H435"/>
  <c r="H436"/>
  <c r="H438"/>
  <c r="H439"/>
  <c r="H440"/>
  <c r="H441"/>
  <c r="H443"/>
  <c r="H444"/>
  <c r="H445"/>
  <c r="H446"/>
  <c r="H447"/>
  <c r="H449"/>
  <c r="H450"/>
  <c r="H451"/>
  <c r="H452"/>
  <c r="H453"/>
  <c r="H456"/>
  <c r="H457"/>
  <c r="H458"/>
  <c r="H459"/>
  <c r="H461"/>
  <c r="H462"/>
  <c r="H463"/>
  <c r="H464"/>
  <c r="H465"/>
  <c r="H468"/>
  <c r="H469"/>
  <c r="H470"/>
  <c r="H471"/>
  <c r="H472"/>
  <c r="H474"/>
  <c r="H475"/>
  <c r="H476"/>
  <c r="H477"/>
  <c r="H479"/>
  <c r="H480"/>
  <c r="H481"/>
  <c r="H482"/>
  <c r="H483"/>
  <c r="H485"/>
  <c r="H486"/>
  <c r="H487"/>
  <c r="H488"/>
  <c r="H489"/>
  <c r="H492"/>
  <c r="H493"/>
  <c r="H494"/>
  <c r="H495"/>
  <c r="H497"/>
  <c r="H498"/>
  <c r="H499"/>
  <c r="H500"/>
  <c r="H501"/>
  <c r="H3"/>
  <c r="G148" i="16"/>
  <c r="G145"/>
  <c r="G130"/>
  <c r="G127"/>
  <c r="G112"/>
  <c r="G109"/>
  <c r="G94"/>
  <c r="G91"/>
  <c r="G76"/>
  <c r="G73"/>
  <c r="G58"/>
  <c r="G55"/>
  <c r="G40"/>
  <c r="G37"/>
  <c r="G22"/>
  <c r="G19"/>
  <c r="G4"/>
  <c r="F4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G13" s="1"/>
  <c r="F14"/>
  <c r="G14" s="1"/>
  <c r="F15"/>
  <c r="G15" s="1"/>
  <c r="F16"/>
  <c r="G16" s="1"/>
  <c r="F17"/>
  <c r="G17" s="1"/>
  <c r="F18"/>
  <c r="G18" s="1"/>
  <c r="F19"/>
  <c r="F20"/>
  <c r="G20" s="1"/>
  <c r="F21"/>
  <c r="G21" s="1"/>
  <c r="F22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F38"/>
  <c r="G38" s="1"/>
  <c r="F39"/>
  <c r="G39" s="1"/>
  <c r="F40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F56"/>
  <c r="G56" s="1"/>
  <c r="F57"/>
  <c r="G57" s="1"/>
  <c r="F58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G70" s="1"/>
  <c r="F71"/>
  <c r="G71" s="1"/>
  <c r="F72"/>
  <c r="G72" s="1"/>
  <c r="F73"/>
  <c r="F74"/>
  <c r="G74" s="1"/>
  <c r="F75"/>
  <c r="G75" s="1"/>
  <c r="F76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G88" s="1"/>
  <c r="F89"/>
  <c r="G89" s="1"/>
  <c r="F90"/>
  <c r="G90" s="1"/>
  <c r="F91"/>
  <c r="F92"/>
  <c r="G92" s="1"/>
  <c r="F93"/>
  <c r="G93" s="1"/>
  <c r="F94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F110"/>
  <c r="G110" s="1"/>
  <c r="F111"/>
  <c r="G111" s="1"/>
  <c r="F112"/>
  <c r="F113"/>
  <c r="G113" s="1"/>
  <c r="F114"/>
  <c r="G114" s="1"/>
  <c r="F115"/>
  <c r="G115" s="1"/>
  <c r="F116"/>
  <c r="G116" s="1"/>
  <c r="F117"/>
  <c r="G117" s="1"/>
  <c r="F118"/>
  <c r="G118" s="1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F128"/>
  <c r="G128" s="1"/>
  <c r="F129"/>
  <c r="G129" s="1"/>
  <c r="F130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F146"/>
  <c r="G146" s="1"/>
  <c r="F147"/>
  <c r="G147" s="1"/>
  <c r="F148"/>
  <c r="F149"/>
  <c r="G149" s="1"/>
  <c r="F150"/>
  <c r="G150" s="1"/>
  <c r="F151"/>
  <c r="G151" s="1"/>
  <c r="F152"/>
  <c r="G152" s="1"/>
  <c r="F3"/>
  <c r="G3" s="1"/>
  <c r="F4" i="10"/>
  <c r="G4" s="1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G13" s="1"/>
  <c r="F14"/>
  <c r="G14" s="1"/>
  <c r="F15"/>
  <c r="G15" s="1"/>
  <c r="F16"/>
  <c r="G16" s="1"/>
  <c r="F17"/>
  <c r="G17" s="1"/>
  <c r="F18"/>
  <c r="G18" s="1"/>
  <c r="F19"/>
  <c r="G19" s="1"/>
  <c r="F20"/>
  <c r="G20" s="1"/>
  <c r="F21"/>
  <c r="G21" s="1"/>
  <c r="F22"/>
  <c r="G22" s="1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G37" s="1"/>
  <c r="F38"/>
  <c r="G38" s="1"/>
  <c r="F39"/>
  <c r="G39" s="1"/>
  <c r="F40"/>
  <c r="G40" s="1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G55" s="1"/>
  <c r="F56"/>
  <c r="G56" s="1"/>
  <c r="F57"/>
  <c r="G57" s="1"/>
  <c r="F58"/>
  <c r="G58" s="1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G70" s="1"/>
  <c r="F71"/>
  <c r="G71" s="1"/>
  <c r="F72"/>
  <c r="G72" s="1"/>
  <c r="F73"/>
  <c r="G73" s="1"/>
  <c r="F74"/>
  <c r="G74" s="1"/>
  <c r="F75"/>
  <c r="G75" s="1"/>
  <c r="F76"/>
  <c r="G76" s="1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G88" s="1"/>
  <c r="F89"/>
  <c r="G89" s="1"/>
  <c r="F90"/>
  <c r="G90" s="1"/>
  <c r="F91"/>
  <c r="G91" s="1"/>
  <c r="F92"/>
  <c r="G92" s="1"/>
  <c r="F93"/>
  <c r="G93" s="1"/>
  <c r="F94"/>
  <c r="G94" s="1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G109" s="1"/>
  <c r="F110"/>
  <c r="G110" s="1"/>
  <c r="F111"/>
  <c r="G111" s="1"/>
  <c r="F112"/>
  <c r="G112" s="1"/>
  <c r="F113"/>
  <c r="G113" s="1"/>
  <c r="F114"/>
  <c r="G114" s="1"/>
  <c r="F115"/>
  <c r="G115" s="1"/>
  <c r="F116"/>
  <c r="G116" s="1"/>
  <c r="F117"/>
  <c r="G117" s="1"/>
  <c r="F118"/>
  <c r="G118" s="1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G127" s="1"/>
  <c r="F128"/>
  <c r="G128" s="1"/>
  <c r="F129"/>
  <c r="G129" s="1"/>
  <c r="F130"/>
  <c r="G130" s="1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G145" s="1"/>
  <c r="F146"/>
  <c r="G146" s="1"/>
  <c r="F147"/>
  <c r="G147" s="1"/>
  <c r="F148"/>
  <c r="G148" s="1"/>
  <c r="F149"/>
  <c r="G149" s="1"/>
  <c r="F150"/>
  <c r="G150" s="1"/>
  <c r="F151"/>
  <c r="G151" s="1"/>
  <c r="F152"/>
  <c r="G152" s="1"/>
  <c r="F3"/>
  <c r="G3" s="1"/>
  <c r="G130" i="17"/>
  <c r="G118"/>
  <c r="G94"/>
  <c r="G88"/>
  <c r="G76"/>
  <c r="G70"/>
  <c r="G58"/>
  <c r="G52"/>
  <c r="G40"/>
  <c r="G34"/>
  <c r="G22"/>
  <c r="G16"/>
  <c r="G13"/>
  <c r="G4"/>
  <c r="F4"/>
  <c r="F5"/>
  <c r="G5" s="1"/>
  <c r="F6"/>
  <c r="G6" s="1"/>
  <c r="F7"/>
  <c r="G7" s="1"/>
  <c r="F8"/>
  <c r="G8" s="1"/>
  <c r="F9"/>
  <c r="G9" s="1"/>
  <c r="F10"/>
  <c r="G10" s="1"/>
  <c r="F11"/>
  <c r="G11" s="1"/>
  <c r="F12"/>
  <c r="G12" s="1"/>
  <c r="F13"/>
  <c r="F14"/>
  <c r="G14" s="1"/>
  <c r="F15"/>
  <c r="G15" s="1"/>
  <c r="F16"/>
  <c r="F17"/>
  <c r="G17" s="1"/>
  <c r="F18"/>
  <c r="G18" s="1"/>
  <c r="F19"/>
  <c r="G19" s="1"/>
  <c r="F20"/>
  <c r="G20" s="1"/>
  <c r="F21"/>
  <c r="G21" s="1"/>
  <c r="F22"/>
  <c r="F23"/>
  <c r="G23" s="1"/>
  <c r="F24"/>
  <c r="G24" s="1"/>
  <c r="F25"/>
  <c r="G25" s="1"/>
  <c r="F26"/>
  <c r="G26" s="1"/>
  <c r="F27"/>
  <c r="G27" s="1"/>
  <c r="F28"/>
  <c r="G28" s="1"/>
  <c r="F29"/>
  <c r="G29" s="1"/>
  <c r="F30"/>
  <c r="G30" s="1"/>
  <c r="F31"/>
  <c r="G31" s="1"/>
  <c r="F32"/>
  <c r="G32" s="1"/>
  <c r="F33"/>
  <c r="G33" s="1"/>
  <c r="F34"/>
  <c r="F35"/>
  <c r="G35" s="1"/>
  <c r="F36"/>
  <c r="G36" s="1"/>
  <c r="F37"/>
  <c r="G37" s="1"/>
  <c r="F38"/>
  <c r="G38" s="1"/>
  <c r="F39"/>
  <c r="G39" s="1"/>
  <c r="F40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F53"/>
  <c r="G53" s="1"/>
  <c r="F54"/>
  <c r="G54" s="1"/>
  <c r="F55"/>
  <c r="G55" s="1"/>
  <c r="F56"/>
  <c r="G56" s="1"/>
  <c r="F57"/>
  <c r="G57" s="1"/>
  <c r="F58"/>
  <c r="F59"/>
  <c r="G59" s="1"/>
  <c r="F60"/>
  <c r="G60" s="1"/>
  <c r="F61"/>
  <c r="G61" s="1"/>
  <c r="F62"/>
  <c r="G62" s="1"/>
  <c r="F63"/>
  <c r="G63" s="1"/>
  <c r="F64"/>
  <c r="G64" s="1"/>
  <c r="F65"/>
  <c r="G65" s="1"/>
  <c r="F66"/>
  <c r="G66" s="1"/>
  <c r="F67"/>
  <c r="G67" s="1"/>
  <c r="F68"/>
  <c r="G68" s="1"/>
  <c r="F69"/>
  <c r="G69" s="1"/>
  <c r="F70"/>
  <c r="F71"/>
  <c r="G71" s="1"/>
  <c r="F72"/>
  <c r="G72" s="1"/>
  <c r="F73"/>
  <c r="G73" s="1"/>
  <c r="F74"/>
  <c r="G74" s="1"/>
  <c r="F75"/>
  <c r="G75" s="1"/>
  <c r="F76"/>
  <c r="F77"/>
  <c r="G77" s="1"/>
  <c r="F78"/>
  <c r="G78" s="1"/>
  <c r="F79"/>
  <c r="G79" s="1"/>
  <c r="F80"/>
  <c r="G80" s="1"/>
  <c r="F81"/>
  <c r="G81" s="1"/>
  <c r="F82"/>
  <c r="G82" s="1"/>
  <c r="F83"/>
  <c r="G83" s="1"/>
  <c r="F84"/>
  <c r="G84" s="1"/>
  <c r="F85"/>
  <c r="G85" s="1"/>
  <c r="F86"/>
  <c r="G86" s="1"/>
  <c r="F87"/>
  <c r="G87" s="1"/>
  <c r="F88"/>
  <c r="F89"/>
  <c r="G89" s="1"/>
  <c r="F90"/>
  <c r="G90" s="1"/>
  <c r="F91"/>
  <c r="G91" s="1"/>
  <c r="F92"/>
  <c r="G92" s="1"/>
  <c r="F93"/>
  <c r="G93" s="1"/>
  <c r="F94"/>
  <c r="F95"/>
  <c r="G95" s="1"/>
  <c r="F96"/>
  <c r="G96" s="1"/>
  <c r="F97"/>
  <c r="G97" s="1"/>
  <c r="F98"/>
  <c r="G98" s="1"/>
  <c r="F99"/>
  <c r="G99" s="1"/>
  <c r="F100"/>
  <c r="G100" s="1"/>
  <c r="F101"/>
  <c r="G101" s="1"/>
  <c r="F102"/>
  <c r="G102" s="1"/>
  <c r="F103"/>
  <c r="G103" s="1"/>
  <c r="F104"/>
  <c r="G104" s="1"/>
  <c r="F105"/>
  <c r="G105" s="1"/>
  <c r="F106"/>
  <c r="G106" s="1"/>
  <c r="F107"/>
  <c r="G107" s="1"/>
  <c r="F108"/>
  <c r="G108" s="1"/>
  <c r="F109"/>
  <c r="G109" s="1"/>
  <c r="F110"/>
  <c r="G110" s="1"/>
  <c r="F111"/>
  <c r="G111" s="1"/>
  <c r="F112"/>
  <c r="G112" s="1"/>
  <c r="F113"/>
  <c r="G113" s="1"/>
  <c r="F114"/>
  <c r="G114" s="1"/>
  <c r="F115"/>
  <c r="G115" s="1"/>
  <c r="F116"/>
  <c r="G116" s="1"/>
  <c r="F117"/>
  <c r="G117" s="1"/>
  <c r="F118"/>
  <c r="F119"/>
  <c r="G119" s="1"/>
  <c r="F120"/>
  <c r="G120" s="1"/>
  <c r="F121"/>
  <c r="G121" s="1"/>
  <c r="F122"/>
  <c r="G122" s="1"/>
  <c r="F123"/>
  <c r="G123" s="1"/>
  <c r="F124"/>
  <c r="G124" s="1"/>
  <c r="F125"/>
  <c r="G125" s="1"/>
  <c r="F126"/>
  <c r="G126" s="1"/>
  <c r="F127"/>
  <c r="G127" s="1"/>
  <c r="F128"/>
  <c r="G128" s="1"/>
  <c r="F129"/>
  <c r="G129" s="1"/>
  <c r="F130"/>
  <c r="F131"/>
  <c r="G131" s="1"/>
  <c r="F132"/>
  <c r="G132" s="1"/>
  <c r="F133"/>
  <c r="G133" s="1"/>
  <c r="F134"/>
  <c r="G134" s="1"/>
  <c r="F135"/>
  <c r="G135" s="1"/>
  <c r="F136"/>
  <c r="G136" s="1"/>
  <c r="F137"/>
  <c r="G137" s="1"/>
  <c r="F138"/>
  <c r="G138" s="1"/>
  <c r="F139"/>
  <c r="G139" s="1"/>
  <c r="F140"/>
  <c r="G140" s="1"/>
  <c r="F141"/>
  <c r="G141" s="1"/>
  <c r="F142"/>
  <c r="G142" s="1"/>
  <c r="F143"/>
  <c r="G143" s="1"/>
  <c r="F144"/>
  <c r="G144" s="1"/>
  <c r="F145"/>
  <c r="G145" s="1"/>
  <c r="F146"/>
  <c r="G146" s="1"/>
  <c r="F147"/>
  <c r="G147" s="1"/>
  <c r="F148"/>
  <c r="G148" s="1"/>
  <c r="F149"/>
  <c r="G149" s="1"/>
  <c r="F150"/>
  <c r="G150" s="1"/>
  <c r="F151"/>
  <c r="G151" s="1"/>
  <c r="F152"/>
  <c r="G152" s="1"/>
  <c r="F3"/>
  <c r="G3" s="1"/>
  <c r="E153" i="18"/>
  <c r="I153"/>
  <c r="E154"/>
  <c r="I154"/>
  <c r="E155"/>
  <c r="I155"/>
  <c r="E156"/>
  <c r="I156"/>
  <c r="E157"/>
  <c r="I157"/>
  <c r="E158"/>
  <c r="I158"/>
  <c r="E159"/>
  <c r="I159"/>
  <c r="E160"/>
  <c r="I160"/>
  <c r="E161"/>
  <c r="I161"/>
  <c r="E162"/>
  <c r="I162"/>
  <c r="E163"/>
  <c r="I163"/>
  <c r="E164"/>
  <c r="I164"/>
  <c r="E165"/>
  <c r="I165"/>
  <c r="E166"/>
  <c r="I166"/>
  <c r="E167"/>
  <c r="I167"/>
  <c r="E168"/>
  <c r="I168"/>
  <c r="E169"/>
  <c r="I169"/>
  <c r="E170"/>
  <c r="I170"/>
  <c r="E171"/>
  <c r="I171"/>
  <c r="E172"/>
  <c r="I172"/>
  <c r="E173"/>
  <c r="I173"/>
  <c r="E174"/>
  <c r="I174"/>
  <c r="E175"/>
  <c r="I175"/>
  <c r="E176"/>
  <c r="I176"/>
  <c r="E177"/>
  <c r="I177"/>
  <c r="E178"/>
  <c r="I178"/>
  <c r="E179"/>
  <c r="I179"/>
  <c r="E180"/>
  <c r="I180"/>
  <c r="E181"/>
  <c r="I181"/>
  <c r="E182"/>
  <c r="I182"/>
  <c r="E183"/>
  <c r="I183"/>
  <c r="E184"/>
  <c r="I184"/>
  <c r="E185"/>
  <c r="I185"/>
  <c r="E186"/>
  <c r="I186"/>
  <c r="E187"/>
  <c r="I187"/>
  <c r="E188"/>
  <c r="I188"/>
  <c r="E189"/>
  <c r="I189"/>
  <c r="E190"/>
  <c r="I190"/>
  <c r="E191"/>
  <c r="I191"/>
  <c r="E192"/>
  <c r="I192"/>
  <c r="E193"/>
  <c r="I193"/>
  <c r="E194"/>
  <c r="I194"/>
  <c r="E195"/>
  <c r="I195"/>
  <c r="E196"/>
  <c r="I196"/>
  <c r="E197"/>
  <c r="I197"/>
  <c r="E198"/>
  <c r="I198"/>
  <c r="E199"/>
  <c r="I199"/>
  <c r="E200"/>
  <c r="I200"/>
  <c r="E201"/>
  <c r="I201"/>
  <c r="E202"/>
  <c r="I202"/>
  <c r="E203"/>
  <c r="I203"/>
  <c r="E204"/>
  <c r="I204"/>
  <c r="E205"/>
  <c r="I205"/>
  <c r="E206"/>
  <c r="I206"/>
  <c r="E207"/>
  <c r="I207"/>
  <c r="E208"/>
  <c r="I208"/>
  <c r="E209"/>
  <c r="I209"/>
  <c r="E210"/>
  <c r="I210"/>
  <c r="E211"/>
  <c r="I211"/>
  <c r="E212"/>
  <c r="I212"/>
  <c r="E213"/>
  <c r="I213"/>
  <c r="E214"/>
  <c r="I214"/>
  <c r="E215"/>
  <c r="I215"/>
  <c r="E216"/>
  <c r="I216"/>
  <c r="E217"/>
  <c r="I217"/>
  <c r="E218"/>
  <c r="I218"/>
  <c r="E219"/>
  <c r="I219"/>
  <c r="E220"/>
  <c r="I220"/>
  <c r="E221"/>
  <c r="I221"/>
  <c r="E222"/>
  <c r="I222"/>
  <c r="E223"/>
  <c r="I223"/>
  <c r="E224"/>
  <c r="I224"/>
  <c r="E225"/>
  <c r="I225"/>
  <c r="E226"/>
  <c r="I226"/>
  <c r="E227"/>
  <c r="I227"/>
  <c r="E228"/>
  <c r="I228"/>
  <c r="E229"/>
  <c r="I229"/>
  <c r="E230"/>
  <c r="I230"/>
  <c r="E231"/>
  <c r="I231"/>
  <c r="E232"/>
  <c r="I232"/>
  <c r="E233"/>
  <c r="I233"/>
  <c r="E234"/>
  <c r="I234"/>
  <c r="E235"/>
  <c r="I235"/>
  <c r="E236"/>
  <c r="I236"/>
  <c r="E237"/>
  <c r="I237"/>
  <c r="E238"/>
  <c r="I238"/>
  <c r="E239"/>
  <c r="I239"/>
  <c r="E240"/>
  <c r="I240"/>
  <c r="E241"/>
  <c r="I241"/>
  <c r="E242"/>
  <c r="I242"/>
  <c r="E243"/>
  <c r="I243"/>
  <c r="E244"/>
  <c r="I244"/>
  <c r="E245"/>
  <c r="I245"/>
  <c r="E246"/>
  <c r="I246"/>
  <c r="E247"/>
  <c r="I247"/>
  <c r="E248"/>
  <c r="I248"/>
  <c r="E249"/>
  <c r="I249"/>
  <c r="E250"/>
  <c r="I250"/>
  <c r="E251"/>
  <c r="I251"/>
  <c r="E252"/>
  <c r="I252"/>
  <c r="E253"/>
  <c r="I253"/>
  <c r="E254"/>
  <c r="I254"/>
  <c r="E255"/>
  <c r="I255"/>
  <c r="E256"/>
  <c r="I256"/>
  <c r="E257"/>
  <c r="I257"/>
  <c r="E258"/>
  <c r="I258"/>
  <c r="E259"/>
  <c r="I259"/>
  <c r="E260"/>
  <c r="I260"/>
  <c r="E261"/>
  <c r="I261"/>
  <c r="E262"/>
  <c r="I262"/>
  <c r="E263"/>
  <c r="I263"/>
  <c r="E264"/>
  <c r="I264"/>
  <c r="E265"/>
  <c r="I265"/>
  <c r="E266"/>
  <c r="I266"/>
  <c r="E267"/>
  <c r="I267"/>
  <c r="E268"/>
  <c r="I268"/>
  <c r="E269"/>
  <c r="I269"/>
  <c r="E270"/>
  <c r="I270"/>
  <c r="E271"/>
  <c r="I271"/>
  <c r="E272"/>
  <c r="I272"/>
  <c r="E273"/>
  <c r="I273"/>
  <c r="E274"/>
  <c r="I274"/>
  <c r="E275"/>
  <c r="I275"/>
  <c r="E276"/>
  <c r="I276"/>
  <c r="E277"/>
  <c r="I277"/>
  <c r="E278"/>
  <c r="I278"/>
  <c r="E279"/>
  <c r="I279"/>
  <c r="E280"/>
  <c r="I280"/>
  <c r="E281"/>
  <c r="I281"/>
  <c r="E282"/>
  <c r="I282"/>
  <c r="E283"/>
  <c r="I283"/>
  <c r="E284"/>
  <c r="I284"/>
  <c r="E285"/>
  <c r="I285"/>
  <c r="E286"/>
  <c r="I286"/>
  <c r="E287"/>
  <c r="I287"/>
  <c r="E288"/>
  <c r="I288"/>
  <c r="E289"/>
  <c r="I289"/>
  <c r="E290"/>
  <c r="I290"/>
  <c r="E291"/>
  <c r="I291"/>
  <c r="E292"/>
  <c r="I292"/>
  <c r="E293"/>
  <c r="I293"/>
  <c r="E294"/>
  <c r="I294"/>
  <c r="E295"/>
  <c r="I295"/>
  <c r="E296"/>
  <c r="I296"/>
  <c r="E297"/>
  <c r="I297"/>
  <c r="E298"/>
  <c r="I298"/>
  <c r="E299"/>
  <c r="I299"/>
  <c r="E300"/>
  <c r="I300"/>
  <c r="E301"/>
  <c r="I301"/>
  <c r="E302"/>
  <c r="I302"/>
  <c r="E303"/>
  <c r="I303"/>
  <c r="E304"/>
  <c r="I304"/>
  <c r="E305"/>
  <c r="I305"/>
  <c r="E306"/>
  <c r="I306"/>
  <c r="E307"/>
  <c r="I307"/>
  <c r="E308"/>
  <c r="I308"/>
  <c r="E309"/>
  <c r="I309"/>
  <c r="E310"/>
  <c r="I310"/>
  <c r="E311"/>
  <c r="I311"/>
  <c r="E312"/>
  <c r="I312"/>
  <c r="E313"/>
  <c r="I313"/>
  <c r="E314"/>
  <c r="I314"/>
  <c r="E315"/>
  <c r="I315"/>
  <c r="E316"/>
  <c r="I316"/>
  <c r="E317"/>
  <c r="I317"/>
  <c r="E318"/>
  <c r="I318"/>
  <c r="E319"/>
  <c r="I319"/>
  <c r="E320"/>
  <c r="I320"/>
  <c r="E321"/>
  <c r="I321"/>
  <c r="E322"/>
  <c r="I322"/>
  <c r="E323"/>
  <c r="I323"/>
  <c r="E324"/>
  <c r="I324"/>
  <c r="E325"/>
  <c r="I325"/>
  <c r="E326"/>
  <c r="I326"/>
  <c r="E327"/>
  <c r="I327"/>
  <c r="E328"/>
  <c r="I328"/>
  <c r="E329"/>
  <c r="I329"/>
  <c r="E330"/>
  <c r="I330"/>
  <c r="E331"/>
  <c r="I331"/>
  <c r="E332"/>
  <c r="I332"/>
  <c r="E333"/>
  <c r="I333"/>
  <c r="E334"/>
  <c r="I334"/>
  <c r="E335"/>
  <c r="I335"/>
  <c r="E336"/>
  <c r="I336"/>
  <c r="E337"/>
  <c r="I337"/>
  <c r="E338"/>
  <c r="I338"/>
  <c r="E339"/>
  <c r="I339"/>
  <c r="E340"/>
  <c r="I340"/>
  <c r="E341"/>
  <c r="I341"/>
  <c r="E342"/>
  <c r="I342"/>
  <c r="E343"/>
  <c r="I343"/>
  <c r="E344"/>
  <c r="I344"/>
  <c r="E345"/>
  <c r="I345"/>
  <c r="E346"/>
  <c r="I346"/>
  <c r="E347"/>
  <c r="I347"/>
  <c r="E348"/>
  <c r="I348"/>
  <c r="E349"/>
  <c r="I349"/>
  <c r="E350"/>
  <c r="I350"/>
  <c r="E351"/>
  <c r="I351"/>
  <c r="E352"/>
  <c r="I352"/>
  <c r="E353"/>
  <c r="I353"/>
  <c r="E354"/>
  <c r="I354"/>
  <c r="E355"/>
  <c r="I355"/>
  <c r="E356"/>
  <c r="I356"/>
  <c r="E357"/>
  <c r="I357"/>
  <c r="E358"/>
  <c r="I358"/>
  <c r="E359"/>
  <c r="I359"/>
  <c r="E360"/>
  <c r="I360"/>
  <c r="E361"/>
  <c r="I361"/>
  <c r="E362"/>
  <c r="I362"/>
  <c r="E363"/>
  <c r="I363"/>
  <c r="E364"/>
  <c r="I364"/>
  <c r="E365"/>
  <c r="I365"/>
  <c r="E366"/>
  <c r="I366"/>
  <c r="E367"/>
  <c r="I367"/>
  <c r="E368"/>
  <c r="I368"/>
  <c r="E369"/>
  <c r="I369"/>
  <c r="E370"/>
  <c r="I370"/>
  <c r="E371"/>
  <c r="I371"/>
  <c r="E372"/>
  <c r="I372"/>
  <c r="E373"/>
  <c r="I373"/>
  <c r="E374"/>
  <c r="I374"/>
  <c r="E375"/>
  <c r="I375"/>
  <c r="E376"/>
  <c r="I376"/>
  <c r="E377"/>
  <c r="I377"/>
  <c r="E378"/>
  <c r="I378"/>
  <c r="E379"/>
  <c r="I379"/>
  <c r="E380"/>
  <c r="I380"/>
  <c r="E381"/>
  <c r="I381"/>
  <c r="E382"/>
  <c r="I382"/>
  <c r="E383"/>
  <c r="I383"/>
  <c r="E384"/>
  <c r="I384"/>
  <c r="E385"/>
  <c r="I385"/>
  <c r="E386"/>
  <c r="I386"/>
  <c r="E387"/>
  <c r="I387"/>
  <c r="E388"/>
  <c r="I388"/>
  <c r="E389"/>
  <c r="I389"/>
  <c r="E390"/>
  <c r="I390"/>
  <c r="E391"/>
  <c r="I391"/>
  <c r="E392"/>
  <c r="I392"/>
  <c r="E393"/>
  <c r="I393"/>
  <c r="E394"/>
  <c r="I394"/>
  <c r="E395"/>
  <c r="I395"/>
  <c r="E396"/>
  <c r="I396"/>
  <c r="E397"/>
  <c r="I397"/>
  <c r="E398"/>
  <c r="I398"/>
  <c r="E399"/>
  <c r="I399"/>
  <c r="E400"/>
  <c r="I400"/>
  <c r="E401"/>
  <c r="I401"/>
  <c r="E402"/>
  <c r="I402"/>
  <c r="E403"/>
  <c r="I403"/>
  <c r="E404"/>
  <c r="I404"/>
  <c r="E405"/>
  <c r="I405"/>
  <c r="E406"/>
  <c r="I406"/>
  <c r="E407"/>
  <c r="I407"/>
  <c r="E408"/>
  <c r="I408"/>
  <c r="E409"/>
  <c r="I409"/>
  <c r="E410"/>
  <c r="I410"/>
  <c r="E411"/>
  <c r="I411"/>
  <c r="E412"/>
  <c r="I412"/>
  <c r="E413"/>
  <c r="I413"/>
  <c r="E414"/>
  <c r="I414"/>
  <c r="E415"/>
  <c r="I415"/>
  <c r="E416"/>
  <c r="I416"/>
  <c r="E417"/>
  <c r="I417"/>
  <c r="E418"/>
  <c r="I418"/>
  <c r="E419"/>
  <c r="I419"/>
  <c r="E420"/>
  <c r="I420"/>
  <c r="E421"/>
  <c r="I421"/>
  <c r="E422"/>
  <c r="I422"/>
  <c r="E423"/>
  <c r="I423"/>
  <c r="E424"/>
  <c r="I424"/>
  <c r="E425"/>
  <c r="I425"/>
  <c r="E426"/>
  <c r="I426"/>
  <c r="E427"/>
  <c r="I427"/>
  <c r="E428"/>
  <c r="I428"/>
  <c r="E429"/>
  <c r="I429"/>
  <c r="E430"/>
  <c r="I430"/>
  <c r="E431"/>
  <c r="I431"/>
  <c r="E432"/>
  <c r="I432"/>
  <c r="E433"/>
  <c r="I433"/>
  <c r="E434"/>
  <c r="I434"/>
  <c r="E435"/>
  <c r="I435"/>
  <c r="E436"/>
  <c r="I436"/>
  <c r="E437"/>
  <c r="I437"/>
  <c r="E438"/>
  <c r="I438"/>
  <c r="E439"/>
  <c r="I439"/>
  <c r="E440"/>
  <c r="I440"/>
  <c r="E441"/>
  <c r="I441"/>
  <c r="E442"/>
  <c r="I442"/>
  <c r="E443"/>
  <c r="I443"/>
  <c r="E444"/>
  <c r="I444"/>
  <c r="E445"/>
  <c r="I445"/>
  <c r="E446"/>
  <c r="I446"/>
  <c r="E447"/>
  <c r="I447"/>
  <c r="E448"/>
  <c r="I448"/>
  <c r="E449"/>
  <c r="I449"/>
  <c r="E450"/>
  <c r="I450"/>
  <c r="E451"/>
  <c r="I451"/>
  <c r="E452"/>
  <c r="I452"/>
  <c r="E453"/>
  <c r="I453"/>
  <c r="E454"/>
  <c r="I454"/>
  <c r="E455"/>
  <c r="I455"/>
  <c r="E456"/>
  <c r="I456"/>
  <c r="E457"/>
  <c r="I457"/>
  <c r="E458"/>
  <c r="I458"/>
  <c r="E459"/>
  <c r="I459"/>
  <c r="E460"/>
  <c r="I460"/>
  <c r="E461"/>
  <c r="I461"/>
  <c r="E462"/>
  <c r="I462"/>
  <c r="E463"/>
  <c r="I463"/>
  <c r="E464"/>
  <c r="I464"/>
  <c r="E465"/>
  <c r="I465"/>
  <c r="E466"/>
  <c r="I466"/>
  <c r="E467"/>
  <c r="I467"/>
  <c r="E468"/>
  <c r="I468"/>
  <c r="E469"/>
  <c r="I469"/>
  <c r="E470"/>
  <c r="I470"/>
  <c r="E471"/>
  <c r="I471"/>
  <c r="E472"/>
  <c r="I472"/>
  <c r="E473"/>
  <c r="I473"/>
  <c r="E474"/>
  <c r="I474"/>
  <c r="E475"/>
  <c r="I475"/>
  <c r="E476"/>
  <c r="I476"/>
  <c r="E477"/>
  <c r="I477"/>
  <c r="E478"/>
  <c r="I478"/>
  <c r="E479"/>
  <c r="I479"/>
  <c r="E480"/>
  <c r="I480"/>
  <c r="E481"/>
  <c r="I481"/>
  <c r="E482"/>
  <c r="I482"/>
  <c r="E483"/>
  <c r="I483"/>
  <c r="E484"/>
  <c r="I484"/>
  <c r="E485"/>
  <c r="I485"/>
  <c r="E486"/>
  <c r="I486"/>
  <c r="E487"/>
  <c r="I487"/>
  <c r="E488"/>
  <c r="I488"/>
  <c r="E489"/>
  <c r="I489"/>
  <c r="E490"/>
  <c r="I490"/>
  <c r="E491"/>
  <c r="I491"/>
  <c r="E492"/>
  <c r="I492"/>
  <c r="E493"/>
  <c r="I493"/>
  <c r="E494"/>
  <c r="I494"/>
  <c r="E495"/>
  <c r="I495"/>
  <c r="E496"/>
  <c r="I496"/>
  <c r="E497"/>
  <c r="I497"/>
  <c r="E498"/>
  <c r="I498"/>
  <c r="E499"/>
  <c r="I499"/>
  <c r="E500"/>
  <c r="I500"/>
  <c r="E501"/>
  <c r="I501"/>
  <c r="E502"/>
  <c r="I502"/>
  <c r="I152"/>
  <c r="E152"/>
  <c r="I151"/>
  <c r="E151"/>
  <c r="I150"/>
  <c r="E150"/>
  <c r="I149"/>
  <c r="E149"/>
  <c r="I148"/>
  <c r="E148"/>
  <c r="I147"/>
  <c r="E147"/>
  <c r="I146"/>
  <c r="E146"/>
  <c r="I145"/>
  <c r="E145"/>
  <c r="I144"/>
  <c r="E144"/>
  <c r="I143"/>
  <c r="E143"/>
  <c r="I142"/>
  <c r="E142"/>
  <c r="I141"/>
  <c r="E141"/>
  <c r="I140"/>
  <c r="E140"/>
  <c r="I139"/>
  <c r="E139"/>
  <c r="I138"/>
  <c r="E138"/>
  <c r="I137"/>
  <c r="E137"/>
  <c r="I136"/>
  <c r="E136"/>
  <c r="I135"/>
  <c r="E135"/>
  <c r="I134"/>
  <c r="E134"/>
  <c r="I133"/>
  <c r="E133"/>
  <c r="I132"/>
  <c r="E132"/>
  <c r="I131"/>
  <c r="E131"/>
  <c r="I130"/>
  <c r="E130"/>
  <c r="I129"/>
  <c r="E129"/>
  <c r="I128"/>
  <c r="E128"/>
  <c r="I127"/>
  <c r="E127"/>
  <c r="I126"/>
  <c r="E126"/>
  <c r="I125"/>
  <c r="E125"/>
  <c r="I124"/>
  <c r="E124"/>
  <c r="I123"/>
  <c r="E123"/>
  <c r="I122"/>
  <c r="E122"/>
  <c r="I121"/>
  <c r="E121"/>
  <c r="I120"/>
  <c r="E120"/>
  <c r="I119"/>
  <c r="E119"/>
  <c r="I118"/>
  <c r="E118"/>
  <c r="I117"/>
  <c r="E117"/>
  <c r="I116"/>
  <c r="E116"/>
  <c r="I115"/>
  <c r="E115"/>
  <c r="I114"/>
  <c r="E114"/>
  <c r="I113"/>
  <c r="E113"/>
  <c r="I112"/>
  <c r="E112"/>
  <c r="I111"/>
  <c r="E111"/>
  <c r="I110"/>
  <c r="E110"/>
  <c r="I109"/>
  <c r="E109"/>
  <c r="I108"/>
  <c r="E108"/>
  <c r="I107"/>
  <c r="E107"/>
  <c r="I106"/>
  <c r="E106"/>
  <c r="I105"/>
  <c r="E105"/>
  <c r="I104"/>
  <c r="E104"/>
  <c r="I103"/>
  <c r="E103"/>
  <c r="I102"/>
  <c r="E102"/>
  <c r="I101"/>
  <c r="E101"/>
  <c r="I100"/>
  <c r="E100"/>
  <c r="I99"/>
  <c r="E99"/>
  <c r="I98"/>
  <c r="E98"/>
  <c r="I97"/>
  <c r="E97"/>
  <c r="I96"/>
  <c r="E96"/>
  <c r="I95"/>
  <c r="E95"/>
  <c r="I94"/>
  <c r="E94"/>
  <c r="I93"/>
  <c r="E93"/>
  <c r="I92"/>
  <c r="E92"/>
  <c r="I91"/>
  <c r="E91"/>
  <c r="I90"/>
  <c r="E90"/>
  <c r="I89"/>
  <c r="E89"/>
  <c r="I88"/>
  <c r="E88"/>
  <c r="I87"/>
  <c r="E87"/>
  <c r="I86"/>
  <c r="E86"/>
  <c r="I85"/>
  <c r="E85"/>
  <c r="I84"/>
  <c r="E84"/>
  <c r="I83"/>
  <c r="E83"/>
  <c r="I82"/>
  <c r="E82"/>
  <c r="I81"/>
  <c r="E81"/>
  <c r="I80"/>
  <c r="E80"/>
  <c r="I79"/>
  <c r="E79"/>
  <c r="I78"/>
  <c r="E78"/>
  <c r="I77"/>
  <c r="E77"/>
  <c r="I76"/>
  <c r="E76"/>
  <c r="I75"/>
  <c r="E75"/>
  <c r="I74"/>
  <c r="E74"/>
  <c r="I73"/>
  <c r="E73"/>
  <c r="I72"/>
  <c r="E72"/>
  <c r="I71"/>
  <c r="E71"/>
  <c r="I70"/>
  <c r="E70"/>
  <c r="I69"/>
  <c r="E69"/>
  <c r="I68"/>
  <c r="E68"/>
  <c r="I67"/>
  <c r="E67"/>
  <c r="I66"/>
  <c r="E66"/>
  <c r="I65"/>
  <c r="E65"/>
  <c r="I64"/>
  <c r="E64"/>
  <c r="I63"/>
  <c r="E63"/>
  <c r="I62"/>
  <c r="E62"/>
  <c r="I61"/>
  <c r="E61"/>
  <c r="I60"/>
  <c r="E60"/>
  <c r="I59"/>
  <c r="E59"/>
  <c r="I58"/>
  <c r="E58"/>
  <c r="I57"/>
  <c r="E57"/>
  <c r="I56"/>
  <c r="E56"/>
  <c r="I55"/>
  <c r="E55"/>
  <c r="I54"/>
  <c r="E54"/>
  <c r="I53"/>
  <c r="E53"/>
  <c r="I52"/>
  <c r="E52"/>
  <c r="I51"/>
  <c r="E51"/>
  <c r="I50"/>
  <c r="E50"/>
  <c r="I49"/>
  <c r="E49"/>
  <c r="I48"/>
  <c r="E48"/>
  <c r="I47"/>
  <c r="E47"/>
  <c r="I46"/>
  <c r="E46"/>
  <c r="I45"/>
  <c r="E45"/>
  <c r="I44"/>
  <c r="E44"/>
  <c r="I43"/>
  <c r="E43"/>
  <c r="I42"/>
  <c r="E42"/>
  <c r="I41"/>
  <c r="E41"/>
  <c r="I40"/>
  <c r="E40"/>
  <c r="I39"/>
  <c r="E39"/>
  <c r="I38"/>
  <c r="E38"/>
  <c r="I37"/>
  <c r="E37"/>
  <c r="I36"/>
  <c r="E36"/>
  <c r="I35"/>
  <c r="E35"/>
  <c r="I34"/>
  <c r="E34"/>
  <c r="I33"/>
  <c r="E33"/>
  <c r="I32"/>
  <c r="E32"/>
  <c r="I31"/>
  <c r="E31"/>
  <c r="I30"/>
  <c r="E30"/>
  <c r="I29"/>
  <c r="E29"/>
  <c r="I28"/>
  <c r="E28"/>
  <c r="I27"/>
  <c r="E27"/>
  <c r="I26"/>
  <c r="E26"/>
  <c r="I25"/>
  <c r="E25"/>
  <c r="I24"/>
  <c r="E24"/>
  <c r="I23"/>
  <c r="E23"/>
  <c r="I22"/>
  <c r="E22"/>
  <c r="I21"/>
  <c r="E21"/>
  <c r="I20"/>
  <c r="E20"/>
  <c r="I19"/>
  <c r="E19"/>
  <c r="I18"/>
  <c r="E18"/>
  <c r="I17"/>
  <c r="E17"/>
  <c r="I16"/>
  <c r="E16"/>
  <c r="I15"/>
  <c r="E15"/>
  <c r="I14"/>
  <c r="E14"/>
  <c r="I13"/>
  <c r="E13"/>
  <c r="I12"/>
  <c r="E12"/>
  <c r="I11"/>
  <c r="E11"/>
  <c r="I10"/>
  <c r="E10"/>
  <c r="I9"/>
  <c r="E9"/>
  <c r="I8"/>
  <c r="E8"/>
  <c r="I7"/>
  <c r="E7"/>
  <c r="I6"/>
  <c r="E6"/>
  <c r="I5"/>
  <c r="E5"/>
  <c r="I4"/>
  <c r="E4"/>
  <c r="I3"/>
  <c r="E3"/>
  <c r="H152" i="17"/>
  <c r="E152"/>
  <c r="H151"/>
  <c r="E151"/>
  <c r="H150"/>
  <c r="E150"/>
  <c r="H149"/>
  <c r="E149"/>
  <c r="H148"/>
  <c r="E148"/>
  <c r="H147"/>
  <c r="E147"/>
  <c r="H146"/>
  <c r="E146"/>
  <c r="H145"/>
  <c r="E145"/>
  <c r="H144"/>
  <c r="E144"/>
  <c r="H143"/>
  <c r="E143"/>
  <c r="H142"/>
  <c r="E142"/>
  <c r="H141"/>
  <c r="E141"/>
  <c r="H140"/>
  <c r="E140"/>
  <c r="H139"/>
  <c r="E139"/>
  <c r="H138"/>
  <c r="E138"/>
  <c r="H137"/>
  <c r="E137"/>
  <c r="H136"/>
  <c r="E136"/>
  <c r="H135"/>
  <c r="E135"/>
  <c r="H134"/>
  <c r="E134"/>
  <c r="H133"/>
  <c r="E133"/>
  <c r="H132"/>
  <c r="E132"/>
  <c r="H131"/>
  <c r="E131"/>
  <c r="H130"/>
  <c r="E130"/>
  <c r="H129"/>
  <c r="E129"/>
  <c r="H128"/>
  <c r="E128"/>
  <c r="H127"/>
  <c r="E127"/>
  <c r="H126"/>
  <c r="E126"/>
  <c r="H125"/>
  <c r="E125"/>
  <c r="H124"/>
  <c r="E124"/>
  <c r="H123"/>
  <c r="E123"/>
  <c r="H122"/>
  <c r="E122"/>
  <c r="H121"/>
  <c r="E121"/>
  <c r="H120"/>
  <c r="E120"/>
  <c r="H119"/>
  <c r="E119"/>
  <c r="H118"/>
  <c r="E118"/>
  <c r="H117"/>
  <c r="E117"/>
  <c r="H116"/>
  <c r="E116"/>
  <c r="H115"/>
  <c r="E115"/>
  <c r="H114"/>
  <c r="E114"/>
  <c r="H113"/>
  <c r="E113"/>
  <c r="H112"/>
  <c r="E112"/>
  <c r="H111"/>
  <c r="E111"/>
  <c r="H110"/>
  <c r="E110"/>
  <c r="H109"/>
  <c r="E109"/>
  <c r="H108"/>
  <c r="E108"/>
  <c r="H107"/>
  <c r="E107"/>
  <c r="H106"/>
  <c r="E106"/>
  <c r="H105"/>
  <c r="E105"/>
  <c r="H104"/>
  <c r="E104"/>
  <c r="H103"/>
  <c r="E103"/>
  <c r="H102"/>
  <c r="E102"/>
  <c r="H101"/>
  <c r="E101"/>
  <c r="H100"/>
  <c r="E100"/>
  <c r="H99"/>
  <c r="E99"/>
  <c r="H98"/>
  <c r="E98"/>
  <c r="H97"/>
  <c r="E97"/>
  <c r="H96"/>
  <c r="E96"/>
  <c r="H95"/>
  <c r="E95"/>
  <c r="H94"/>
  <c r="E94"/>
  <c r="H93"/>
  <c r="E93"/>
  <c r="H92"/>
  <c r="E92"/>
  <c r="H91"/>
  <c r="E91"/>
  <c r="H90"/>
  <c r="E90"/>
  <c r="H89"/>
  <c r="E89"/>
  <c r="H88"/>
  <c r="E88"/>
  <c r="H87"/>
  <c r="E87"/>
  <c r="H86"/>
  <c r="E86"/>
  <c r="H85"/>
  <c r="E85"/>
  <c r="H84"/>
  <c r="E84"/>
  <c r="H83"/>
  <c r="E83"/>
  <c r="H82"/>
  <c r="E82"/>
  <c r="H81"/>
  <c r="E81"/>
  <c r="H80"/>
  <c r="E80"/>
  <c r="H79"/>
  <c r="E79"/>
  <c r="H78"/>
  <c r="E78"/>
  <c r="H77"/>
  <c r="E77"/>
  <c r="H76"/>
  <c r="E76"/>
  <c r="H75"/>
  <c r="E75"/>
  <c r="H74"/>
  <c r="E74"/>
  <c r="H73"/>
  <c r="E73"/>
  <c r="H72"/>
  <c r="E72"/>
  <c r="H71"/>
  <c r="E71"/>
  <c r="H70"/>
  <c r="E70"/>
  <c r="H69"/>
  <c r="E69"/>
  <c r="H68"/>
  <c r="E68"/>
  <c r="H67"/>
  <c r="E67"/>
  <c r="H66"/>
  <c r="E66"/>
  <c r="H65"/>
  <c r="E65"/>
  <c r="H64"/>
  <c r="E64"/>
  <c r="H63"/>
  <c r="E63"/>
  <c r="H62"/>
  <c r="E62"/>
  <c r="H61"/>
  <c r="E61"/>
  <c r="H60"/>
  <c r="E60"/>
  <c r="H59"/>
  <c r="E59"/>
  <c r="H58"/>
  <c r="E58"/>
  <c r="H57"/>
  <c r="E57"/>
  <c r="H56"/>
  <c r="E56"/>
  <c r="H55"/>
  <c r="E55"/>
  <c r="H54"/>
  <c r="E54"/>
  <c r="H53"/>
  <c r="E53"/>
  <c r="H52"/>
  <c r="E52"/>
  <c r="H51"/>
  <c r="E51"/>
  <c r="H50"/>
  <c r="E50"/>
  <c r="H49"/>
  <c r="E49"/>
  <c r="H48"/>
  <c r="E48"/>
  <c r="H47"/>
  <c r="E47"/>
  <c r="H46"/>
  <c r="E46"/>
  <c r="H45"/>
  <c r="E45"/>
  <c r="H44"/>
  <c r="E44"/>
  <c r="H43"/>
  <c r="E43"/>
  <c r="H42"/>
  <c r="E42"/>
  <c r="H41"/>
  <c r="E41"/>
  <c r="H40"/>
  <c r="E40"/>
  <c r="H39"/>
  <c r="E39"/>
  <c r="H38"/>
  <c r="E38"/>
  <c r="H37"/>
  <c r="E37"/>
  <c r="H36"/>
  <c r="E36"/>
  <c r="H35"/>
  <c r="E35"/>
  <c r="H34"/>
  <c r="E34"/>
  <c r="H33"/>
  <c r="E33"/>
  <c r="H32"/>
  <c r="E32"/>
  <c r="H31"/>
  <c r="E31"/>
  <c r="H30"/>
  <c r="E30"/>
  <c r="H29"/>
  <c r="E29"/>
  <c r="H28"/>
  <c r="E28"/>
  <c r="H27"/>
  <c r="E27"/>
  <c r="H26"/>
  <c r="E26"/>
  <c r="H25"/>
  <c r="E25"/>
  <c r="H24"/>
  <c r="E24"/>
  <c r="H23"/>
  <c r="E23"/>
  <c r="H22"/>
  <c r="E22"/>
  <c r="H21"/>
  <c r="E21"/>
  <c r="H20"/>
  <c r="E20"/>
  <c r="H19"/>
  <c r="E19"/>
  <c r="H18"/>
  <c r="E18"/>
  <c r="H17"/>
  <c r="E17"/>
  <c r="H16"/>
  <c r="E16"/>
  <c r="H15"/>
  <c r="E15"/>
  <c r="H14"/>
  <c r="E14"/>
  <c r="H13"/>
  <c r="E13"/>
  <c r="H12"/>
  <c r="E12"/>
  <c r="H11"/>
  <c r="E11"/>
  <c r="H10"/>
  <c r="E10"/>
  <c r="H9"/>
  <c r="E9"/>
  <c r="H8"/>
  <c r="E8"/>
  <c r="H7"/>
  <c r="E7"/>
  <c r="H6"/>
  <c r="E6"/>
  <c r="H5"/>
  <c r="E5"/>
  <c r="H4"/>
  <c r="E4"/>
  <c r="H3"/>
  <c r="E3"/>
  <c r="H152" i="16"/>
  <c r="E152"/>
  <c r="H151"/>
  <c r="E151"/>
  <c r="H150"/>
  <c r="E150"/>
  <c r="H149"/>
  <c r="E149"/>
  <c r="H148"/>
  <c r="E148"/>
  <c r="H147"/>
  <c r="E147"/>
  <c r="H146"/>
  <c r="E146"/>
  <c r="H145"/>
  <c r="E145"/>
  <c r="H144"/>
  <c r="E144"/>
  <c r="H143"/>
  <c r="E143"/>
  <c r="H142"/>
  <c r="E142"/>
  <c r="H141"/>
  <c r="E141"/>
  <c r="H140"/>
  <c r="E140"/>
  <c r="H139"/>
  <c r="E139"/>
  <c r="H138"/>
  <c r="E138"/>
  <c r="H137"/>
  <c r="E137"/>
  <c r="H136"/>
  <c r="E136"/>
  <c r="H135"/>
  <c r="E135"/>
  <c r="H134"/>
  <c r="E134"/>
  <c r="H133"/>
  <c r="E133"/>
  <c r="H132"/>
  <c r="E132"/>
  <c r="H131"/>
  <c r="E131"/>
  <c r="H130"/>
  <c r="E130"/>
  <c r="H129"/>
  <c r="E129"/>
  <c r="H128"/>
  <c r="E128"/>
  <c r="H127"/>
  <c r="E127"/>
  <c r="H126"/>
  <c r="E126"/>
  <c r="H125"/>
  <c r="E125"/>
  <c r="H124"/>
  <c r="E124"/>
  <c r="H123"/>
  <c r="E123"/>
  <c r="H122"/>
  <c r="E122"/>
  <c r="H121"/>
  <c r="E121"/>
  <c r="H120"/>
  <c r="E120"/>
  <c r="H119"/>
  <c r="E119"/>
  <c r="H118"/>
  <c r="E118"/>
  <c r="H117"/>
  <c r="E117"/>
  <c r="H116"/>
  <c r="E116"/>
  <c r="H115"/>
  <c r="E115"/>
  <c r="H114"/>
  <c r="E114"/>
  <c r="H113"/>
  <c r="E113"/>
  <c r="H112"/>
  <c r="E112"/>
  <c r="H111"/>
  <c r="E111"/>
  <c r="H110"/>
  <c r="E110"/>
  <c r="H109"/>
  <c r="E109"/>
  <c r="H108"/>
  <c r="E108"/>
  <c r="H107"/>
  <c r="E107"/>
  <c r="H106"/>
  <c r="E106"/>
  <c r="H105"/>
  <c r="E105"/>
  <c r="H104"/>
  <c r="E104"/>
  <c r="H103"/>
  <c r="E103"/>
  <c r="H102"/>
  <c r="E102"/>
  <c r="H101"/>
  <c r="E101"/>
  <c r="H100"/>
  <c r="E100"/>
  <c r="H99"/>
  <c r="E99"/>
  <c r="H98"/>
  <c r="E98"/>
  <c r="H97"/>
  <c r="E97"/>
  <c r="H96"/>
  <c r="E96"/>
  <c r="H95"/>
  <c r="E95"/>
  <c r="H94"/>
  <c r="E94"/>
  <c r="H93"/>
  <c r="E93"/>
  <c r="H92"/>
  <c r="E92"/>
  <c r="H91"/>
  <c r="E91"/>
  <c r="H90"/>
  <c r="E90"/>
  <c r="H89"/>
  <c r="E89"/>
  <c r="H88"/>
  <c r="E88"/>
  <c r="H87"/>
  <c r="E87"/>
  <c r="H86"/>
  <c r="E86"/>
  <c r="H85"/>
  <c r="E85"/>
  <c r="H84"/>
  <c r="E84"/>
  <c r="H83"/>
  <c r="E83"/>
  <c r="H82"/>
  <c r="E82"/>
  <c r="H81"/>
  <c r="E81"/>
  <c r="H80"/>
  <c r="E80"/>
  <c r="H79"/>
  <c r="E79"/>
  <c r="H78"/>
  <c r="E78"/>
  <c r="H77"/>
  <c r="E77"/>
  <c r="H76"/>
  <c r="E76"/>
  <c r="H75"/>
  <c r="E75"/>
  <c r="H74"/>
  <c r="E74"/>
  <c r="H73"/>
  <c r="E73"/>
  <c r="H72"/>
  <c r="E72"/>
  <c r="H71"/>
  <c r="E71"/>
  <c r="H70"/>
  <c r="E70"/>
  <c r="H69"/>
  <c r="E69"/>
  <c r="H68"/>
  <c r="E68"/>
  <c r="H67"/>
  <c r="E67"/>
  <c r="H66"/>
  <c r="E66"/>
  <c r="H65"/>
  <c r="E65"/>
  <c r="H64"/>
  <c r="E64"/>
  <c r="H63"/>
  <c r="E63"/>
  <c r="H62"/>
  <c r="E62"/>
  <c r="H61"/>
  <c r="E61"/>
  <c r="H60"/>
  <c r="E60"/>
  <c r="H59"/>
  <c r="E59"/>
  <c r="H58"/>
  <c r="E58"/>
  <c r="H57"/>
  <c r="E57"/>
  <c r="H56"/>
  <c r="E56"/>
  <c r="H55"/>
  <c r="E55"/>
  <c r="H54"/>
  <c r="E54"/>
  <c r="H53"/>
  <c r="E53"/>
  <c r="H52"/>
  <c r="E52"/>
  <c r="H51"/>
  <c r="E51"/>
  <c r="H50"/>
  <c r="E50"/>
  <c r="H49"/>
  <c r="E49"/>
  <c r="H48"/>
  <c r="E48"/>
  <c r="H47"/>
  <c r="E47"/>
  <c r="H46"/>
  <c r="E46"/>
  <c r="H45"/>
  <c r="E45"/>
  <c r="H44"/>
  <c r="E44"/>
  <c r="H43"/>
  <c r="E43"/>
  <c r="H42"/>
  <c r="E42"/>
  <c r="H41"/>
  <c r="E41"/>
  <c r="H40"/>
  <c r="E40"/>
  <c r="H39"/>
  <c r="E39"/>
  <c r="H38"/>
  <c r="E38"/>
  <c r="H37"/>
  <c r="E37"/>
  <c r="H36"/>
  <c r="E36"/>
  <c r="H35"/>
  <c r="E35"/>
  <c r="H34"/>
  <c r="E34"/>
  <c r="H33"/>
  <c r="E33"/>
  <c r="H32"/>
  <c r="E32"/>
  <c r="H31"/>
  <c r="E31"/>
  <c r="H30"/>
  <c r="E30"/>
  <c r="H29"/>
  <c r="E29"/>
  <c r="H28"/>
  <c r="E28"/>
  <c r="H27"/>
  <c r="E27"/>
  <c r="H26"/>
  <c r="E26"/>
  <c r="H25"/>
  <c r="E25"/>
  <c r="H24"/>
  <c r="E24"/>
  <c r="H23"/>
  <c r="E23"/>
  <c r="H22"/>
  <c r="E22"/>
  <c r="H21"/>
  <c r="E21"/>
  <c r="H20"/>
  <c r="E20"/>
  <c r="H19"/>
  <c r="E19"/>
  <c r="H18"/>
  <c r="E18"/>
  <c r="H17"/>
  <c r="E17"/>
  <c r="H16"/>
  <c r="E16"/>
  <c r="H15"/>
  <c r="E15"/>
  <c r="H14"/>
  <c r="E14"/>
  <c r="H13"/>
  <c r="E13"/>
  <c r="H12"/>
  <c r="E12"/>
  <c r="H11"/>
  <c r="E11"/>
  <c r="H10"/>
  <c r="E10"/>
  <c r="H9"/>
  <c r="E9"/>
  <c r="H8"/>
  <c r="E8"/>
  <c r="H7"/>
  <c r="E7"/>
  <c r="H6"/>
  <c r="E6"/>
  <c r="H5"/>
  <c r="E5"/>
  <c r="H4"/>
  <c r="E4"/>
  <c r="H3"/>
  <c r="E3"/>
  <c r="E152" i="10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G19" i="3" l="1"/>
  <c r="F19"/>
  <c r="I19"/>
  <c r="F9"/>
  <c r="G9"/>
  <c r="I9"/>
  <c r="I10"/>
  <c r="I17"/>
  <c r="F13"/>
  <c r="G3"/>
  <c r="H3" s="1"/>
  <c r="F3"/>
  <c r="I3"/>
  <c r="I8"/>
  <c r="F8"/>
  <c r="H6" i="18"/>
  <c r="G16" i="3"/>
  <c r="H16" s="1"/>
  <c r="F16"/>
  <c r="I16"/>
  <c r="I15"/>
  <c r="G14"/>
  <c r="H14" s="1"/>
  <c r="I14"/>
  <c r="G13"/>
  <c r="I13"/>
  <c r="F12"/>
  <c r="G12"/>
  <c r="H12" s="1"/>
  <c r="I12"/>
  <c r="F6"/>
  <c r="G6"/>
  <c r="H6" s="1"/>
  <c r="I6"/>
  <c r="I5"/>
  <c r="I4"/>
  <c r="F4"/>
  <c r="G4"/>
  <c r="H19" l="1"/>
  <c r="H9"/>
  <c r="H4"/>
  <c r="H13"/>
</calcChain>
</file>

<file path=xl/sharedStrings.xml><?xml version="1.0" encoding="utf-8"?>
<sst xmlns="http://schemas.openxmlformats.org/spreadsheetml/2006/main" count="236" uniqueCount="44">
  <si>
    <t>RMSE</t>
  </si>
  <si>
    <t>Sample Size</t>
  </si>
  <si>
    <t>NRMSE (Goal)</t>
  </si>
  <si>
    <t>MAE</t>
  </si>
  <si>
    <t>Sample</t>
  </si>
  <si>
    <t>Link Credit</t>
  </si>
  <si>
    <t>Setpoint</t>
  </si>
  <si>
    <t>Goal range</t>
  </si>
  <si>
    <t>Measured</t>
  </si>
  <si>
    <t>Arrival Rate</t>
  </si>
  <si>
    <t>Setpoint-Measured</t>
  </si>
  <si>
    <t>F^2</t>
  </si>
  <si>
    <t>Accumulated RMSE</t>
  </si>
  <si>
    <t>Agressive</t>
  </si>
  <si>
    <t>Output</t>
  </si>
  <si>
    <t>233, 498, 100, 453, 343, 233</t>
  </si>
  <si>
    <t>4600, 9500, 2600, 8110, 6680, 4600</t>
  </si>
  <si>
    <t>Goal Range (20%)</t>
  </si>
  <si>
    <t>Fixed</t>
  </si>
  <si>
    <t>Variable</t>
  </si>
  <si>
    <t>MOM</t>
  </si>
  <si>
    <t>RabbitMQ</t>
  </si>
  <si>
    <t>Operational Point</t>
  </si>
  <si>
    <t>P2</t>
  </si>
  <si>
    <t>P5</t>
  </si>
  <si>
    <t>P8</t>
  </si>
  <si>
    <t>Goal</t>
  </si>
  <si>
    <t>P14</t>
  </si>
  <si>
    <t>P11</t>
  </si>
  <si>
    <t>Pulsar</t>
  </si>
  <si>
    <t>P3</t>
  </si>
  <si>
    <t>P6</t>
  </si>
  <si>
    <t>P9</t>
  </si>
  <si>
    <t>P12</t>
  </si>
  <si>
    <t>P6→P14→P3→P12→P9→P6</t>
  </si>
  <si>
    <t>P5→P14→P2→P11→P8→P5</t>
  </si>
  <si>
    <t>For NRMSE (V)</t>
  </si>
  <si>
    <t>NRMSE (V)</t>
  </si>
  <si>
    <t>Control</t>
  </si>
  <si>
    <t>PI</t>
  </si>
  <si>
    <t>Native</t>
  </si>
  <si>
    <t xml:space="preserve">P5 </t>
  </si>
  <si>
    <t>Chart 2</t>
  </si>
  <si>
    <t>Chart 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</si>
</sst>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16" fillId="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10" fontId="1" fillId="33" borderId="10" xfId="4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34" borderId="10" xfId="0" applyFont="1" applyFill="1" applyBorder="1" applyAlignment="1">
      <alignment horizontal="center"/>
    </xf>
    <xf numFmtId="2" fontId="0" fillId="33" borderId="10" xfId="0" applyNumberFormat="1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33" borderId="10" xfId="0" applyFill="1" applyBorder="1"/>
    <xf numFmtId="0" fontId="0" fillId="33" borderId="0" xfId="0" applyFill="1"/>
    <xf numFmtId="10" fontId="0" fillId="33" borderId="10" xfId="42" applyNumberFormat="1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0" fillId="0" borderId="10" xfId="0" applyBorder="1"/>
    <xf numFmtId="0" fontId="16" fillId="34" borderId="10" xfId="0" applyFont="1" applyFill="1" applyBorder="1" applyAlignment="1">
      <alignment horizontal="center"/>
    </xf>
    <xf numFmtId="0" fontId="0" fillId="35" borderId="10" xfId="0" applyFill="1" applyBorder="1"/>
    <xf numFmtId="10" fontId="1" fillId="35" borderId="10" xfId="42" applyNumberFormat="1" applyFont="1" applyFill="1" applyBorder="1" applyAlignment="1">
      <alignment horizontal="center"/>
    </xf>
    <xf numFmtId="2" fontId="0" fillId="35" borderId="10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10" fontId="0" fillId="35" borderId="10" xfId="42" applyNumberFormat="1" applyFont="1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6" borderId="10" xfId="0" applyFill="1" applyBorder="1"/>
    <xf numFmtId="10" fontId="0" fillId="36" borderId="10" xfId="42" applyNumberFormat="1" applyFont="1" applyFill="1" applyBorder="1" applyAlignment="1">
      <alignment horizontal="center"/>
    </xf>
    <xf numFmtId="2" fontId="0" fillId="36" borderId="10" xfId="0" applyNumberFormat="1" applyFill="1" applyBorder="1" applyAlignment="1">
      <alignment horizontal="center"/>
    </xf>
    <xf numFmtId="2" fontId="0" fillId="36" borderId="10" xfId="0" applyNumberFormat="1" applyFont="1" applyFill="1" applyBorder="1" applyAlignment="1">
      <alignment horizontal="center"/>
    </xf>
    <xf numFmtId="10" fontId="18" fillId="35" borderId="10" xfId="42" applyNumberFormat="1" applyFont="1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10" xfId="0" applyFill="1" applyBorder="1"/>
    <xf numFmtId="10" fontId="1" fillId="37" borderId="10" xfId="42" applyNumberFormat="1" applyFont="1" applyFill="1" applyBorder="1" applyAlignment="1">
      <alignment horizontal="center"/>
    </xf>
    <xf numFmtId="2" fontId="0" fillId="37" borderId="10" xfId="0" applyNumberFormat="1" applyFont="1" applyFill="1" applyBorder="1" applyAlignment="1">
      <alignment horizontal="center"/>
    </xf>
    <xf numFmtId="10" fontId="0" fillId="37" borderId="10" xfId="42" applyNumberFormat="1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 vertical="center"/>
    </xf>
    <xf numFmtId="0" fontId="16" fillId="34" borderId="13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Porcentagem" xfId="42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'r-native-multi'!$I$3:$I$152</c:f>
              <c:numCache>
                <c:formatCode>0.00</c:formatCode>
                <c:ptCount val="150"/>
                <c:pt idx="0">
                  <c:v>38.236108588610321</c:v>
                </c:pt>
                <c:pt idx="1">
                  <c:v>59.156571908791335</c:v>
                </c:pt>
                <c:pt idx="2">
                  <c:v>64.997435846859887</c:v>
                </c:pt>
                <c:pt idx="3">
                  <c:v>67.496296194680198</c:v>
                </c:pt>
                <c:pt idx="4">
                  <c:v>68.761908059622655</c:v>
                </c:pt>
                <c:pt idx="5">
                  <c:v>69.919000755636276</c:v>
                </c:pt>
                <c:pt idx="6">
                  <c:v>70.736937209030231</c:v>
                </c:pt>
                <c:pt idx="7">
                  <c:v>71.402030783444815</c:v>
                </c:pt>
                <c:pt idx="8">
                  <c:v>71.840873540841017</c:v>
                </c:pt>
                <c:pt idx="9">
                  <c:v>72.208725234558742</c:v>
                </c:pt>
                <c:pt idx="10">
                  <c:v>72.420489315712814</c:v>
                </c:pt>
                <c:pt idx="11">
                  <c:v>72.567210226106937</c:v>
                </c:pt>
                <c:pt idx="12">
                  <c:v>72.660432571919515</c:v>
                </c:pt>
                <c:pt idx="13">
                  <c:v>72.883468633154394</c:v>
                </c:pt>
                <c:pt idx="14">
                  <c:v>73.021914518862076</c:v>
                </c:pt>
                <c:pt idx="15">
                  <c:v>73.069744080570032</c:v>
                </c:pt>
                <c:pt idx="16">
                  <c:v>73.096632255247044</c:v>
                </c:pt>
                <c:pt idx="17">
                  <c:v>73.17065289065313</c:v>
                </c:pt>
                <c:pt idx="18">
                  <c:v>73.260889257071142</c:v>
                </c:pt>
                <c:pt idx="19">
                  <c:v>73.323938792184364</c:v>
                </c:pt>
                <c:pt idx="20">
                  <c:v>73.379639059969676</c:v>
                </c:pt>
                <c:pt idx="21">
                  <c:v>73.437666827663506</c:v>
                </c:pt>
                <c:pt idx="22">
                  <c:v>73.477591970199526</c:v>
                </c:pt>
                <c:pt idx="23">
                  <c:v>73.549586447964927</c:v>
                </c:pt>
                <c:pt idx="24">
                  <c:v>73.602445611542009</c:v>
                </c:pt>
                <c:pt idx="25">
                  <c:v>73.645460458563534</c:v>
                </c:pt>
                <c:pt idx="26">
                  <c:v>73.687528468878995</c:v>
                </c:pt>
                <c:pt idx="27">
                  <c:v>73.72027245899578</c:v>
                </c:pt>
                <c:pt idx="28">
                  <c:v>73.694616843594062</c:v>
                </c:pt>
                <c:pt idx="29">
                  <c:v>73.732172986650369</c:v>
                </c:pt>
                <c:pt idx="30">
                  <c:v>73.759198442219457</c:v>
                </c:pt>
                <c:pt idx="31">
                  <c:v>73.766311755434813</c:v>
                </c:pt>
                <c:pt idx="32">
                  <c:v>73.798045469724428</c:v>
                </c:pt>
                <c:pt idx="33">
                  <c:v>73.831087028193664</c:v>
                </c:pt>
                <c:pt idx="34">
                  <c:v>73.816374490062458</c:v>
                </c:pt>
                <c:pt idx="35">
                  <c:v>73.836154949846744</c:v>
                </c:pt>
                <c:pt idx="36">
                  <c:v>73.857239942282519</c:v>
                </c:pt>
                <c:pt idx="37">
                  <c:v>73.888607483085465</c:v>
                </c:pt>
                <c:pt idx="38">
                  <c:v>73.919047890416181</c:v>
                </c:pt>
                <c:pt idx="39">
                  <c:v>73.925638313104884</c:v>
                </c:pt>
                <c:pt idx="40">
                  <c:v>73.904519812934907</c:v>
                </c:pt>
                <c:pt idx="41">
                  <c:v>73.913720615580544</c:v>
                </c:pt>
                <c:pt idx="42">
                  <c:v>73.932873388242257</c:v>
                </c:pt>
                <c:pt idx="43">
                  <c:v>73.937166198431925</c:v>
                </c:pt>
                <c:pt idx="44">
                  <c:v>73.956443637830205</c:v>
                </c:pt>
                <c:pt idx="45">
                  <c:v>73.967384116538</c:v>
                </c:pt>
                <c:pt idx="46">
                  <c:v>73.989217155739311</c:v>
                </c:pt>
                <c:pt idx="47">
                  <c:v>73.994509931480721</c:v>
                </c:pt>
                <c:pt idx="48">
                  <c:v>74.023438097369549</c:v>
                </c:pt>
                <c:pt idx="49">
                  <c:v>73.894925400869042</c:v>
                </c:pt>
                <c:pt idx="50">
                  <c:v>73.901099782206273</c:v>
                </c:pt>
                <c:pt idx="51">
                  <c:v>73.909377983082464</c:v>
                </c:pt>
                <c:pt idx="52">
                  <c:v>73.88759949064908</c:v>
                </c:pt>
                <c:pt idx="53">
                  <c:v>73.85972691026727</c:v>
                </c:pt>
                <c:pt idx="54">
                  <c:v>73.762518197991938</c:v>
                </c:pt>
                <c:pt idx="55">
                  <c:v>73.735168000079852</c:v>
                </c:pt>
                <c:pt idx="56">
                  <c:v>73.738513824545123</c:v>
                </c:pt>
                <c:pt idx="57">
                  <c:v>73.705378084782183</c:v>
                </c:pt>
                <c:pt idx="58">
                  <c:v>73.72210762412027</c:v>
                </c:pt>
                <c:pt idx="59">
                  <c:v>73.722904627169072</c:v>
                </c:pt>
                <c:pt idx="60">
                  <c:v>73.729567883772859</c:v>
                </c:pt>
                <c:pt idx="61">
                  <c:v>73.725077801072501</c:v>
                </c:pt>
                <c:pt idx="62">
                  <c:v>73.729126720612442</c:v>
                </c:pt>
                <c:pt idx="63">
                  <c:v>73.732095284211198</c:v>
                </c:pt>
                <c:pt idx="64">
                  <c:v>73.710974029025635</c:v>
                </c:pt>
                <c:pt idx="65">
                  <c:v>73.713203455258707</c:v>
                </c:pt>
                <c:pt idx="66">
                  <c:v>73.719921769299532</c:v>
                </c:pt>
                <c:pt idx="67">
                  <c:v>73.722352744046674</c:v>
                </c:pt>
                <c:pt idx="68">
                  <c:v>73.740143040627288</c:v>
                </c:pt>
                <c:pt idx="69">
                  <c:v>73.744830327284632</c:v>
                </c:pt>
                <c:pt idx="70">
                  <c:v>73.73085810310171</c:v>
                </c:pt>
                <c:pt idx="71">
                  <c:v>73.742890429443364</c:v>
                </c:pt>
                <c:pt idx="72">
                  <c:v>73.737408955373894</c:v>
                </c:pt>
                <c:pt idx="73">
                  <c:v>73.751591828904253</c:v>
                </c:pt>
                <c:pt idx="74">
                  <c:v>73.768285868657685</c:v>
                </c:pt>
                <c:pt idx="75">
                  <c:v>73.73316043252467</c:v>
                </c:pt>
                <c:pt idx="76">
                  <c:v>73.671259969234583</c:v>
                </c:pt>
                <c:pt idx="77">
                  <c:v>73.666434620820283</c:v>
                </c:pt>
                <c:pt idx="78">
                  <c:v>73.668948167125563</c:v>
                </c:pt>
                <c:pt idx="79">
                  <c:v>73.677506743917448</c:v>
                </c:pt>
                <c:pt idx="80">
                  <c:v>73.689957772706109</c:v>
                </c:pt>
                <c:pt idx="81">
                  <c:v>73.695153231105351</c:v>
                </c:pt>
                <c:pt idx="82">
                  <c:v>73.707824370917209</c:v>
                </c:pt>
                <c:pt idx="83">
                  <c:v>73.718011626028272</c:v>
                </c:pt>
                <c:pt idx="84">
                  <c:v>73.727239758131063</c:v>
                </c:pt>
                <c:pt idx="85">
                  <c:v>73.737198337098832</c:v>
                </c:pt>
                <c:pt idx="86">
                  <c:v>73.742874193055926</c:v>
                </c:pt>
                <c:pt idx="87">
                  <c:v>73.750654850713644</c:v>
                </c:pt>
                <c:pt idx="88">
                  <c:v>73.746605330366279</c:v>
                </c:pt>
                <c:pt idx="89">
                  <c:v>73.753568651888898</c:v>
                </c:pt>
                <c:pt idx="90">
                  <c:v>73.760750753014648</c:v>
                </c:pt>
                <c:pt idx="91">
                  <c:v>73.766965624128147</c:v>
                </c:pt>
                <c:pt idx="92">
                  <c:v>73.77348359485562</c:v>
                </c:pt>
                <c:pt idx="93">
                  <c:v>73.780799555024643</c:v>
                </c:pt>
                <c:pt idx="94">
                  <c:v>73.788388759949726</c:v>
                </c:pt>
                <c:pt idx="95">
                  <c:v>73.793560581756267</c:v>
                </c:pt>
                <c:pt idx="96">
                  <c:v>73.795412368235588</c:v>
                </c:pt>
                <c:pt idx="97">
                  <c:v>73.792040940215557</c:v>
                </c:pt>
                <c:pt idx="98">
                  <c:v>73.792570319398919</c:v>
                </c:pt>
                <c:pt idx="99">
                  <c:v>73.790717573418405</c:v>
                </c:pt>
                <c:pt idx="100">
                  <c:v>73.787358384927586</c:v>
                </c:pt>
                <c:pt idx="101">
                  <c:v>73.787918135322784</c:v>
                </c:pt>
                <c:pt idx="102">
                  <c:v>73.789322246988434</c:v>
                </c:pt>
                <c:pt idx="103">
                  <c:v>73.78815831617095</c:v>
                </c:pt>
                <c:pt idx="104">
                  <c:v>73.785274050224047</c:v>
                </c:pt>
                <c:pt idx="105">
                  <c:v>73.793247633007823</c:v>
                </c:pt>
                <c:pt idx="106">
                  <c:v>73.800501479946519</c:v>
                </c:pt>
                <c:pt idx="107">
                  <c:v>73.799214589818462</c:v>
                </c:pt>
                <c:pt idx="108">
                  <c:v>73.809822572994179</c:v>
                </c:pt>
                <c:pt idx="109">
                  <c:v>73.806442192337855</c:v>
                </c:pt>
                <c:pt idx="110">
                  <c:v>73.814779154459458</c:v>
                </c:pt>
                <c:pt idx="111">
                  <c:v>73.816314011780037</c:v>
                </c:pt>
                <c:pt idx="112">
                  <c:v>73.820638886856813</c:v>
                </c:pt>
                <c:pt idx="113">
                  <c:v>73.820907037163082</c:v>
                </c:pt>
                <c:pt idx="114">
                  <c:v>73.828591138970125</c:v>
                </c:pt>
                <c:pt idx="115">
                  <c:v>73.83036241136233</c:v>
                </c:pt>
                <c:pt idx="116">
                  <c:v>73.833550384585749</c:v>
                </c:pt>
                <c:pt idx="117">
                  <c:v>73.759802566006584</c:v>
                </c:pt>
                <c:pt idx="118">
                  <c:v>73.7665520522728</c:v>
                </c:pt>
                <c:pt idx="119">
                  <c:v>73.770703308743549</c:v>
                </c:pt>
                <c:pt idx="120">
                  <c:v>73.777642249314042</c:v>
                </c:pt>
                <c:pt idx="121">
                  <c:v>73.780967380083766</c:v>
                </c:pt>
                <c:pt idx="122">
                  <c:v>73.786221641069545</c:v>
                </c:pt>
                <c:pt idx="123">
                  <c:v>73.771005756479838</c:v>
                </c:pt>
                <c:pt idx="124">
                  <c:v>73.770183678773634</c:v>
                </c:pt>
                <c:pt idx="125">
                  <c:v>73.760982502150412</c:v>
                </c:pt>
                <c:pt idx="126">
                  <c:v>73.760358941514795</c:v>
                </c:pt>
                <c:pt idx="127">
                  <c:v>73.76106908457875</c:v>
                </c:pt>
                <c:pt idx="128">
                  <c:v>73.761558022187032</c:v>
                </c:pt>
                <c:pt idx="129">
                  <c:v>73.763551558080081</c:v>
                </c:pt>
                <c:pt idx="130">
                  <c:v>73.764221038003996</c:v>
                </c:pt>
                <c:pt idx="131">
                  <c:v>73.771247581269563</c:v>
                </c:pt>
                <c:pt idx="132">
                  <c:v>73.769912566031962</c:v>
                </c:pt>
                <c:pt idx="133">
                  <c:v>73.772745038040725</c:v>
                </c:pt>
                <c:pt idx="134">
                  <c:v>73.775485238812365</c:v>
                </c:pt>
                <c:pt idx="135">
                  <c:v>73.776391090598494</c:v>
                </c:pt>
                <c:pt idx="136">
                  <c:v>73.776838491563325</c:v>
                </c:pt>
                <c:pt idx="137">
                  <c:v>73.778752685485856</c:v>
                </c:pt>
                <c:pt idx="138">
                  <c:v>73.787952068773379</c:v>
                </c:pt>
                <c:pt idx="139">
                  <c:v>73.791888830296628</c:v>
                </c:pt>
                <c:pt idx="140">
                  <c:v>73.79226160201641</c:v>
                </c:pt>
                <c:pt idx="141">
                  <c:v>73.791913370458417</c:v>
                </c:pt>
                <c:pt idx="142">
                  <c:v>73.79564487689774</c:v>
                </c:pt>
                <c:pt idx="143">
                  <c:v>73.795278003105025</c:v>
                </c:pt>
                <c:pt idx="144">
                  <c:v>73.801644687775692</c:v>
                </c:pt>
                <c:pt idx="145">
                  <c:v>73.804211558932167</c:v>
                </c:pt>
                <c:pt idx="146">
                  <c:v>73.8057756344773</c:v>
                </c:pt>
                <c:pt idx="147">
                  <c:v>73.808005132381282</c:v>
                </c:pt>
                <c:pt idx="148">
                  <c:v>73.808522452201828</c:v>
                </c:pt>
                <c:pt idx="149">
                  <c:v>73.803793940420164</c:v>
                </c:pt>
              </c:numCache>
            </c:numRef>
          </c:val>
        </c:ser>
        <c:marker val="1"/>
        <c:axId val="110659456"/>
        <c:axId val="110660992"/>
      </c:lineChart>
      <c:catAx>
        <c:axId val="110659456"/>
        <c:scaling>
          <c:orientation val="minMax"/>
        </c:scaling>
        <c:axPos val="b"/>
        <c:tickLblPos val="nextTo"/>
        <c:crossAx val="110660992"/>
        <c:crosses val="autoZero"/>
        <c:auto val="1"/>
        <c:lblAlgn val="ctr"/>
        <c:lblOffset val="100"/>
      </c:catAx>
      <c:valAx>
        <c:axId val="110660992"/>
        <c:scaling>
          <c:orientation val="minMax"/>
        </c:scaling>
        <c:axPos val="l"/>
        <c:majorGridlines/>
        <c:numFmt formatCode="0.00" sourceLinked="1"/>
        <c:tickLblPos val="nextTo"/>
        <c:crossAx val="11065945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152" footer="0.314960620000001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'r-native-fixed'!$C$3:$C$152</c:f>
              <c:numCache>
                <c:formatCode>General</c:formatCode>
                <c:ptCount val="150"/>
                <c:pt idx="0">
                  <c:v>4600</c:v>
                </c:pt>
                <c:pt idx="1">
                  <c:v>4600</c:v>
                </c:pt>
                <c:pt idx="2">
                  <c:v>4600</c:v>
                </c:pt>
                <c:pt idx="3">
                  <c:v>4600</c:v>
                </c:pt>
                <c:pt idx="4">
                  <c:v>4600</c:v>
                </c:pt>
                <c:pt idx="5">
                  <c:v>4600</c:v>
                </c:pt>
                <c:pt idx="6">
                  <c:v>4600</c:v>
                </c:pt>
                <c:pt idx="7">
                  <c:v>4600</c:v>
                </c:pt>
                <c:pt idx="8">
                  <c:v>4600</c:v>
                </c:pt>
                <c:pt idx="9">
                  <c:v>4600</c:v>
                </c:pt>
                <c:pt idx="10">
                  <c:v>4600</c:v>
                </c:pt>
                <c:pt idx="11">
                  <c:v>4600</c:v>
                </c:pt>
                <c:pt idx="12">
                  <c:v>4600</c:v>
                </c:pt>
                <c:pt idx="13">
                  <c:v>4600</c:v>
                </c:pt>
                <c:pt idx="14">
                  <c:v>4600</c:v>
                </c:pt>
                <c:pt idx="15">
                  <c:v>4600</c:v>
                </c:pt>
                <c:pt idx="16">
                  <c:v>4600</c:v>
                </c:pt>
                <c:pt idx="17">
                  <c:v>4600</c:v>
                </c:pt>
                <c:pt idx="18">
                  <c:v>4600</c:v>
                </c:pt>
                <c:pt idx="19">
                  <c:v>4600</c:v>
                </c:pt>
                <c:pt idx="20">
                  <c:v>4600</c:v>
                </c:pt>
                <c:pt idx="21">
                  <c:v>4600</c:v>
                </c:pt>
                <c:pt idx="22">
                  <c:v>4600</c:v>
                </c:pt>
                <c:pt idx="23">
                  <c:v>4600</c:v>
                </c:pt>
                <c:pt idx="24">
                  <c:v>4600</c:v>
                </c:pt>
                <c:pt idx="25">
                  <c:v>4600</c:v>
                </c:pt>
                <c:pt idx="26">
                  <c:v>4600</c:v>
                </c:pt>
                <c:pt idx="27">
                  <c:v>4600</c:v>
                </c:pt>
                <c:pt idx="28">
                  <c:v>4600</c:v>
                </c:pt>
                <c:pt idx="29">
                  <c:v>4600</c:v>
                </c:pt>
                <c:pt idx="30">
                  <c:v>4600</c:v>
                </c:pt>
                <c:pt idx="31">
                  <c:v>4600</c:v>
                </c:pt>
                <c:pt idx="32">
                  <c:v>4600</c:v>
                </c:pt>
                <c:pt idx="33">
                  <c:v>4600</c:v>
                </c:pt>
                <c:pt idx="34">
                  <c:v>4600</c:v>
                </c:pt>
                <c:pt idx="35">
                  <c:v>4600</c:v>
                </c:pt>
                <c:pt idx="36">
                  <c:v>4600</c:v>
                </c:pt>
                <c:pt idx="37">
                  <c:v>4600</c:v>
                </c:pt>
                <c:pt idx="38">
                  <c:v>4600</c:v>
                </c:pt>
                <c:pt idx="39">
                  <c:v>4600</c:v>
                </c:pt>
                <c:pt idx="40">
                  <c:v>4600</c:v>
                </c:pt>
                <c:pt idx="41">
                  <c:v>4600</c:v>
                </c:pt>
                <c:pt idx="42">
                  <c:v>4600</c:v>
                </c:pt>
                <c:pt idx="43">
                  <c:v>4600</c:v>
                </c:pt>
                <c:pt idx="44">
                  <c:v>4600</c:v>
                </c:pt>
                <c:pt idx="45">
                  <c:v>4600</c:v>
                </c:pt>
                <c:pt idx="46">
                  <c:v>4600</c:v>
                </c:pt>
                <c:pt idx="47">
                  <c:v>4600</c:v>
                </c:pt>
                <c:pt idx="48">
                  <c:v>4600</c:v>
                </c:pt>
                <c:pt idx="49">
                  <c:v>4600</c:v>
                </c:pt>
                <c:pt idx="50">
                  <c:v>4600</c:v>
                </c:pt>
                <c:pt idx="51">
                  <c:v>4600</c:v>
                </c:pt>
                <c:pt idx="52">
                  <c:v>4600</c:v>
                </c:pt>
                <c:pt idx="53">
                  <c:v>4600</c:v>
                </c:pt>
                <c:pt idx="54">
                  <c:v>4600</c:v>
                </c:pt>
                <c:pt idx="55">
                  <c:v>4600</c:v>
                </c:pt>
                <c:pt idx="56">
                  <c:v>4600</c:v>
                </c:pt>
                <c:pt idx="57">
                  <c:v>4600</c:v>
                </c:pt>
                <c:pt idx="58">
                  <c:v>4600</c:v>
                </c:pt>
                <c:pt idx="59">
                  <c:v>4600</c:v>
                </c:pt>
                <c:pt idx="60">
                  <c:v>4600</c:v>
                </c:pt>
                <c:pt idx="61">
                  <c:v>4600</c:v>
                </c:pt>
                <c:pt idx="62">
                  <c:v>4600</c:v>
                </c:pt>
                <c:pt idx="63">
                  <c:v>4600</c:v>
                </c:pt>
                <c:pt idx="64">
                  <c:v>4600</c:v>
                </c:pt>
                <c:pt idx="65">
                  <c:v>4600</c:v>
                </c:pt>
                <c:pt idx="66">
                  <c:v>4600</c:v>
                </c:pt>
                <c:pt idx="67">
                  <c:v>4600</c:v>
                </c:pt>
                <c:pt idx="68">
                  <c:v>4600</c:v>
                </c:pt>
                <c:pt idx="69">
                  <c:v>4600</c:v>
                </c:pt>
                <c:pt idx="70">
                  <c:v>4600</c:v>
                </c:pt>
                <c:pt idx="71">
                  <c:v>4600</c:v>
                </c:pt>
                <c:pt idx="72">
                  <c:v>4600</c:v>
                </c:pt>
                <c:pt idx="73">
                  <c:v>4600</c:v>
                </c:pt>
                <c:pt idx="74">
                  <c:v>4600</c:v>
                </c:pt>
                <c:pt idx="75">
                  <c:v>4600</c:v>
                </c:pt>
                <c:pt idx="76">
                  <c:v>4600</c:v>
                </c:pt>
                <c:pt idx="77">
                  <c:v>4600</c:v>
                </c:pt>
                <c:pt idx="78">
                  <c:v>4600</c:v>
                </c:pt>
                <c:pt idx="79">
                  <c:v>4600</c:v>
                </c:pt>
                <c:pt idx="80">
                  <c:v>4600</c:v>
                </c:pt>
                <c:pt idx="81">
                  <c:v>4600</c:v>
                </c:pt>
                <c:pt idx="82">
                  <c:v>4600</c:v>
                </c:pt>
                <c:pt idx="83">
                  <c:v>4600</c:v>
                </c:pt>
                <c:pt idx="84">
                  <c:v>4600</c:v>
                </c:pt>
                <c:pt idx="85">
                  <c:v>4600</c:v>
                </c:pt>
                <c:pt idx="86">
                  <c:v>4600</c:v>
                </c:pt>
                <c:pt idx="87">
                  <c:v>4600</c:v>
                </c:pt>
                <c:pt idx="88">
                  <c:v>4600</c:v>
                </c:pt>
                <c:pt idx="89">
                  <c:v>4600</c:v>
                </c:pt>
                <c:pt idx="90">
                  <c:v>4600</c:v>
                </c:pt>
                <c:pt idx="91">
                  <c:v>4600</c:v>
                </c:pt>
                <c:pt idx="92">
                  <c:v>4600</c:v>
                </c:pt>
                <c:pt idx="93">
                  <c:v>4600</c:v>
                </c:pt>
                <c:pt idx="94">
                  <c:v>4600</c:v>
                </c:pt>
                <c:pt idx="95">
                  <c:v>4600</c:v>
                </c:pt>
                <c:pt idx="96">
                  <c:v>4600</c:v>
                </c:pt>
                <c:pt idx="97">
                  <c:v>4600</c:v>
                </c:pt>
                <c:pt idx="98">
                  <c:v>4600</c:v>
                </c:pt>
                <c:pt idx="99">
                  <c:v>4600</c:v>
                </c:pt>
                <c:pt idx="100">
                  <c:v>4600</c:v>
                </c:pt>
                <c:pt idx="101">
                  <c:v>4600</c:v>
                </c:pt>
                <c:pt idx="102">
                  <c:v>4600</c:v>
                </c:pt>
                <c:pt idx="103">
                  <c:v>4600</c:v>
                </c:pt>
                <c:pt idx="104">
                  <c:v>4600</c:v>
                </c:pt>
                <c:pt idx="105">
                  <c:v>4600</c:v>
                </c:pt>
                <c:pt idx="106">
                  <c:v>4600</c:v>
                </c:pt>
                <c:pt idx="107">
                  <c:v>4600</c:v>
                </c:pt>
                <c:pt idx="108">
                  <c:v>4600</c:v>
                </c:pt>
                <c:pt idx="109">
                  <c:v>4600</c:v>
                </c:pt>
                <c:pt idx="110">
                  <c:v>4600</c:v>
                </c:pt>
                <c:pt idx="111">
                  <c:v>4600</c:v>
                </c:pt>
                <c:pt idx="112">
                  <c:v>4600</c:v>
                </c:pt>
                <c:pt idx="113">
                  <c:v>4600</c:v>
                </c:pt>
                <c:pt idx="114">
                  <c:v>4600</c:v>
                </c:pt>
                <c:pt idx="115">
                  <c:v>4600</c:v>
                </c:pt>
                <c:pt idx="116">
                  <c:v>4600</c:v>
                </c:pt>
                <c:pt idx="117">
                  <c:v>4600</c:v>
                </c:pt>
                <c:pt idx="118">
                  <c:v>4600</c:v>
                </c:pt>
                <c:pt idx="119">
                  <c:v>4600</c:v>
                </c:pt>
                <c:pt idx="120">
                  <c:v>4600</c:v>
                </c:pt>
                <c:pt idx="121">
                  <c:v>4600</c:v>
                </c:pt>
                <c:pt idx="122">
                  <c:v>4600</c:v>
                </c:pt>
                <c:pt idx="123">
                  <c:v>4600</c:v>
                </c:pt>
                <c:pt idx="124">
                  <c:v>4600</c:v>
                </c:pt>
                <c:pt idx="125">
                  <c:v>4600</c:v>
                </c:pt>
                <c:pt idx="126">
                  <c:v>4600</c:v>
                </c:pt>
                <c:pt idx="127">
                  <c:v>4600</c:v>
                </c:pt>
                <c:pt idx="128">
                  <c:v>4600</c:v>
                </c:pt>
                <c:pt idx="129">
                  <c:v>4600</c:v>
                </c:pt>
                <c:pt idx="130">
                  <c:v>4600</c:v>
                </c:pt>
                <c:pt idx="131">
                  <c:v>4600</c:v>
                </c:pt>
                <c:pt idx="132">
                  <c:v>4600</c:v>
                </c:pt>
                <c:pt idx="133">
                  <c:v>4600</c:v>
                </c:pt>
                <c:pt idx="134">
                  <c:v>4600</c:v>
                </c:pt>
                <c:pt idx="135">
                  <c:v>4600</c:v>
                </c:pt>
                <c:pt idx="136">
                  <c:v>4600</c:v>
                </c:pt>
                <c:pt idx="137">
                  <c:v>4600</c:v>
                </c:pt>
                <c:pt idx="138">
                  <c:v>4600</c:v>
                </c:pt>
                <c:pt idx="139">
                  <c:v>4600</c:v>
                </c:pt>
                <c:pt idx="140">
                  <c:v>4600</c:v>
                </c:pt>
                <c:pt idx="141">
                  <c:v>4600</c:v>
                </c:pt>
                <c:pt idx="142">
                  <c:v>4600</c:v>
                </c:pt>
                <c:pt idx="143">
                  <c:v>4600</c:v>
                </c:pt>
                <c:pt idx="144">
                  <c:v>4600</c:v>
                </c:pt>
                <c:pt idx="145">
                  <c:v>4600</c:v>
                </c:pt>
                <c:pt idx="146">
                  <c:v>4600</c:v>
                </c:pt>
                <c:pt idx="147">
                  <c:v>4600</c:v>
                </c:pt>
                <c:pt idx="148">
                  <c:v>4600</c:v>
                </c:pt>
                <c:pt idx="149">
                  <c:v>4600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'r-native-fixed'!$D$3:$D$152</c:f>
              <c:numCache>
                <c:formatCode>General</c:formatCode>
                <c:ptCount val="150"/>
                <c:pt idx="0">
                  <c:v>2102</c:v>
                </c:pt>
                <c:pt idx="1">
                  <c:v>4440</c:v>
                </c:pt>
                <c:pt idx="2">
                  <c:v>4627</c:v>
                </c:pt>
                <c:pt idx="3">
                  <c:v>4448</c:v>
                </c:pt>
                <c:pt idx="4">
                  <c:v>4524</c:v>
                </c:pt>
                <c:pt idx="5">
                  <c:v>4645</c:v>
                </c:pt>
                <c:pt idx="6">
                  <c:v>4631</c:v>
                </c:pt>
                <c:pt idx="7">
                  <c:v>4589</c:v>
                </c:pt>
                <c:pt idx="8">
                  <c:v>4594</c:v>
                </c:pt>
                <c:pt idx="9">
                  <c:v>4511</c:v>
                </c:pt>
                <c:pt idx="10">
                  <c:v>4577</c:v>
                </c:pt>
                <c:pt idx="11">
                  <c:v>4605</c:v>
                </c:pt>
                <c:pt idx="12">
                  <c:v>4482</c:v>
                </c:pt>
                <c:pt idx="13">
                  <c:v>4354</c:v>
                </c:pt>
                <c:pt idx="14">
                  <c:v>4559</c:v>
                </c:pt>
                <c:pt idx="15">
                  <c:v>4564</c:v>
                </c:pt>
                <c:pt idx="16">
                  <c:v>4575</c:v>
                </c:pt>
                <c:pt idx="17">
                  <c:v>4479</c:v>
                </c:pt>
                <c:pt idx="18">
                  <c:v>3738</c:v>
                </c:pt>
                <c:pt idx="19">
                  <c:v>4487</c:v>
                </c:pt>
                <c:pt idx="20">
                  <c:v>4420</c:v>
                </c:pt>
                <c:pt idx="21">
                  <c:v>4512</c:v>
                </c:pt>
                <c:pt idx="22">
                  <c:v>4585</c:v>
                </c:pt>
                <c:pt idx="23">
                  <c:v>4646</c:v>
                </c:pt>
                <c:pt idx="24">
                  <c:v>4469</c:v>
                </c:pt>
                <c:pt idx="25">
                  <c:v>4463</c:v>
                </c:pt>
                <c:pt idx="26">
                  <c:v>4536</c:v>
                </c:pt>
                <c:pt idx="27">
                  <c:v>4637</c:v>
                </c:pt>
                <c:pt idx="28">
                  <c:v>4537</c:v>
                </c:pt>
                <c:pt idx="29">
                  <c:v>4618</c:v>
                </c:pt>
                <c:pt idx="30">
                  <c:v>4557</c:v>
                </c:pt>
                <c:pt idx="31">
                  <c:v>4575</c:v>
                </c:pt>
                <c:pt idx="32">
                  <c:v>4571</c:v>
                </c:pt>
                <c:pt idx="33">
                  <c:v>4556</c:v>
                </c:pt>
                <c:pt idx="34">
                  <c:v>4523</c:v>
                </c:pt>
                <c:pt idx="35">
                  <c:v>4587</c:v>
                </c:pt>
                <c:pt idx="36">
                  <c:v>4363</c:v>
                </c:pt>
                <c:pt idx="37">
                  <c:v>4508</c:v>
                </c:pt>
                <c:pt idx="38">
                  <c:v>4606</c:v>
                </c:pt>
                <c:pt idx="39">
                  <c:v>4578</c:v>
                </c:pt>
                <c:pt idx="40">
                  <c:v>4577</c:v>
                </c:pt>
                <c:pt idx="41">
                  <c:v>4629</c:v>
                </c:pt>
                <c:pt idx="42">
                  <c:v>4528</c:v>
                </c:pt>
                <c:pt idx="43">
                  <c:v>4501</c:v>
                </c:pt>
                <c:pt idx="44">
                  <c:v>4582</c:v>
                </c:pt>
                <c:pt idx="45">
                  <c:v>4577</c:v>
                </c:pt>
                <c:pt idx="46">
                  <c:v>4620</c:v>
                </c:pt>
                <c:pt idx="47">
                  <c:v>4615</c:v>
                </c:pt>
                <c:pt idx="48">
                  <c:v>4464</c:v>
                </c:pt>
                <c:pt idx="49">
                  <c:v>3986</c:v>
                </c:pt>
                <c:pt idx="50">
                  <c:v>4562</c:v>
                </c:pt>
                <c:pt idx="51">
                  <c:v>3854</c:v>
                </c:pt>
                <c:pt idx="52">
                  <c:v>4485</c:v>
                </c:pt>
                <c:pt idx="53">
                  <c:v>4570</c:v>
                </c:pt>
                <c:pt idx="54">
                  <c:v>4432</c:v>
                </c:pt>
                <c:pt idx="55">
                  <c:v>4582</c:v>
                </c:pt>
                <c:pt idx="56">
                  <c:v>4592</c:v>
                </c:pt>
                <c:pt idx="57">
                  <c:v>4559</c:v>
                </c:pt>
                <c:pt idx="58">
                  <c:v>4616</c:v>
                </c:pt>
                <c:pt idx="59">
                  <c:v>4579</c:v>
                </c:pt>
                <c:pt idx="60">
                  <c:v>4283</c:v>
                </c:pt>
                <c:pt idx="61">
                  <c:v>4336</c:v>
                </c:pt>
                <c:pt idx="62">
                  <c:v>4534</c:v>
                </c:pt>
                <c:pt idx="63">
                  <c:v>4497</c:v>
                </c:pt>
                <c:pt idx="64">
                  <c:v>4371</c:v>
                </c:pt>
                <c:pt idx="65">
                  <c:v>4581</c:v>
                </c:pt>
                <c:pt idx="66">
                  <c:v>4553</c:v>
                </c:pt>
                <c:pt idx="67">
                  <c:v>4535</c:v>
                </c:pt>
                <c:pt idx="68">
                  <c:v>4573</c:v>
                </c:pt>
                <c:pt idx="69">
                  <c:v>4364</c:v>
                </c:pt>
                <c:pt idx="70">
                  <c:v>4505</c:v>
                </c:pt>
                <c:pt idx="71">
                  <c:v>4550</c:v>
                </c:pt>
                <c:pt idx="72">
                  <c:v>4541</c:v>
                </c:pt>
                <c:pt idx="73">
                  <c:v>4424</c:v>
                </c:pt>
                <c:pt idx="74">
                  <c:v>4526</c:v>
                </c:pt>
                <c:pt idx="75">
                  <c:v>4602</c:v>
                </c:pt>
                <c:pt idx="76">
                  <c:v>4459</c:v>
                </c:pt>
                <c:pt idx="77">
                  <c:v>4574</c:v>
                </c:pt>
                <c:pt idx="78">
                  <c:v>4538</c:v>
                </c:pt>
                <c:pt idx="79">
                  <c:v>4609</c:v>
                </c:pt>
                <c:pt idx="80">
                  <c:v>4497</c:v>
                </c:pt>
                <c:pt idx="81">
                  <c:v>4554</c:v>
                </c:pt>
                <c:pt idx="82">
                  <c:v>4564</c:v>
                </c:pt>
                <c:pt idx="83">
                  <c:v>4587</c:v>
                </c:pt>
                <c:pt idx="84">
                  <c:v>4377</c:v>
                </c:pt>
                <c:pt idx="85">
                  <c:v>4420</c:v>
                </c:pt>
                <c:pt idx="86">
                  <c:v>4579</c:v>
                </c:pt>
                <c:pt idx="87">
                  <c:v>4535</c:v>
                </c:pt>
                <c:pt idx="88">
                  <c:v>4528</c:v>
                </c:pt>
                <c:pt idx="89">
                  <c:v>4658</c:v>
                </c:pt>
                <c:pt idx="90">
                  <c:v>4569</c:v>
                </c:pt>
                <c:pt idx="91">
                  <c:v>4619</c:v>
                </c:pt>
                <c:pt idx="92">
                  <c:v>4604</c:v>
                </c:pt>
                <c:pt idx="93">
                  <c:v>4592</c:v>
                </c:pt>
                <c:pt idx="94">
                  <c:v>4635</c:v>
                </c:pt>
                <c:pt idx="95">
                  <c:v>4557</c:v>
                </c:pt>
                <c:pt idx="96">
                  <c:v>4522</c:v>
                </c:pt>
                <c:pt idx="97">
                  <c:v>4472</c:v>
                </c:pt>
                <c:pt idx="98">
                  <c:v>4591</c:v>
                </c:pt>
                <c:pt idx="99">
                  <c:v>4575</c:v>
                </c:pt>
                <c:pt idx="100">
                  <c:v>4536</c:v>
                </c:pt>
                <c:pt idx="101">
                  <c:v>4322</c:v>
                </c:pt>
                <c:pt idx="102">
                  <c:v>4604</c:v>
                </c:pt>
                <c:pt idx="103">
                  <c:v>4538</c:v>
                </c:pt>
                <c:pt idx="104">
                  <c:v>4534</c:v>
                </c:pt>
                <c:pt idx="105">
                  <c:v>4530</c:v>
                </c:pt>
                <c:pt idx="106">
                  <c:v>4584</c:v>
                </c:pt>
                <c:pt idx="107">
                  <c:v>4567</c:v>
                </c:pt>
                <c:pt idx="108">
                  <c:v>4342</c:v>
                </c:pt>
                <c:pt idx="109">
                  <c:v>4402</c:v>
                </c:pt>
                <c:pt idx="110">
                  <c:v>4603</c:v>
                </c:pt>
                <c:pt idx="111">
                  <c:v>4538</c:v>
                </c:pt>
                <c:pt idx="112">
                  <c:v>4519</c:v>
                </c:pt>
                <c:pt idx="113">
                  <c:v>4618</c:v>
                </c:pt>
                <c:pt idx="114">
                  <c:v>4507</c:v>
                </c:pt>
                <c:pt idx="115">
                  <c:v>4501</c:v>
                </c:pt>
                <c:pt idx="116">
                  <c:v>4513</c:v>
                </c:pt>
                <c:pt idx="117">
                  <c:v>4532</c:v>
                </c:pt>
                <c:pt idx="118">
                  <c:v>4567</c:v>
                </c:pt>
                <c:pt idx="119">
                  <c:v>4050</c:v>
                </c:pt>
                <c:pt idx="120">
                  <c:v>4490</c:v>
                </c:pt>
                <c:pt idx="121">
                  <c:v>4472</c:v>
                </c:pt>
                <c:pt idx="122">
                  <c:v>4606</c:v>
                </c:pt>
                <c:pt idx="123">
                  <c:v>4568</c:v>
                </c:pt>
                <c:pt idx="124">
                  <c:v>4600</c:v>
                </c:pt>
                <c:pt idx="125">
                  <c:v>4591</c:v>
                </c:pt>
                <c:pt idx="126">
                  <c:v>4553</c:v>
                </c:pt>
                <c:pt idx="127">
                  <c:v>4510</c:v>
                </c:pt>
                <c:pt idx="128">
                  <c:v>4526</c:v>
                </c:pt>
                <c:pt idx="129">
                  <c:v>4545</c:v>
                </c:pt>
                <c:pt idx="130">
                  <c:v>4593</c:v>
                </c:pt>
                <c:pt idx="131">
                  <c:v>4529</c:v>
                </c:pt>
                <c:pt idx="132">
                  <c:v>4410</c:v>
                </c:pt>
                <c:pt idx="133">
                  <c:v>4450</c:v>
                </c:pt>
                <c:pt idx="134">
                  <c:v>4571</c:v>
                </c:pt>
                <c:pt idx="135">
                  <c:v>4560</c:v>
                </c:pt>
                <c:pt idx="136">
                  <c:v>4629</c:v>
                </c:pt>
                <c:pt idx="137">
                  <c:v>4561</c:v>
                </c:pt>
                <c:pt idx="138">
                  <c:v>4544</c:v>
                </c:pt>
                <c:pt idx="139">
                  <c:v>4531</c:v>
                </c:pt>
                <c:pt idx="140">
                  <c:v>4443</c:v>
                </c:pt>
                <c:pt idx="141">
                  <c:v>4559</c:v>
                </c:pt>
                <c:pt idx="142">
                  <c:v>4562</c:v>
                </c:pt>
                <c:pt idx="143">
                  <c:v>4564</c:v>
                </c:pt>
                <c:pt idx="144">
                  <c:v>4457</c:v>
                </c:pt>
                <c:pt idx="145">
                  <c:v>4364</c:v>
                </c:pt>
                <c:pt idx="146">
                  <c:v>4583</c:v>
                </c:pt>
                <c:pt idx="147">
                  <c:v>4485</c:v>
                </c:pt>
                <c:pt idx="148">
                  <c:v>4538</c:v>
                </c:pt>
                <c:pt idx="149">
                  <c:v>4577</c:v>
                </c:pt>
              </c:numCache>
            </c:numRef>
          </c:val>
        </c:ser>
        <c:marker val="1"/>
        <c:axId val="111796224"/>
        <c:axId val="111797760"/>
      </c:lineChart>
      <c:catAx>
        <c:axId val="111796224"/>
        <c:scaling>
          <c:orientation val="minMax"/>
        </c:scaling>
        <c:axPos val="b"/>
        <c:tickLblPos val="nextTo"/>
        <c:crossAx val="111797760"/>
        <c:crosses val="autoZero"/>
        <c:auto val="1"/>
        <c:lblAlgn val="ctr"/>
        <c:lblOffset val="100"/>
      </c:catAx>
      <c:valAx>
        <c:axId val="111797760"/>
        <c:scaling>
          <c:orientation val="minMax"/>
        </c:scaling>
        <c:axPos val="l"/>
        <c:majorGridlines/>
        <c:numFmt formatCode="General" sourceLinked="1"/>
        <c:tickLblPos val="nextTo"/>
        <c:crossAx val="111796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'r-pi-2'!$H$3:$H$152</c:f>
              <c:numCache>
                <c:formatCode>0.00</c:formatCode>
                <c:ptCount val="150"/>
                <c:pt idx="0">
                  <c:v>17.435595774162696</c:v>
                </c:pt>
                <c:pt idx="1">
                  <c:v>28.574464124459098</c:v>
                </c:pt>
                <c:pt idx="2">
                  <c:v>31.160872901765767</c:v>
                </c:pt>
                <c:pt idx="3">
                  <c:v>33.173784830796741</c:v>
                </c:pt>
                <c:pt idx="4">
                  <c:v>33.754999629684491</c:v>
                </c:pt>
                <c:pt idx="5">
                  <c:v>34.583232931581165</c:v>
                </c:pt>
                <c:pt idx="6">
                  <c:v>35.134435692473723</c:v>
                </c:pt>
                <c:pt idx="7">
                  <c:v>35.601966237835796</c:v>
                </c:pt>
                <c:pt idx="8">
                  <c:v>35.978388574871502</c:v>
                </c:pt>
                <c:pt idx="9">
                  <c:v>36.253275714064792</c:v>
                </c:pt>
                <c:pt idx="10">
                  <c:v>36.455452267116371</c:v>
                </c:pt>
                <c:pt idx="11">
                  <c:v>36.611701226065236</c:v>
                </c:pt>
                <c:pt idx="12">
                  <c:v>36.78942155649554</c:v>
                </c:pt>
                <c:pt idx="13">
                  <c:v>36.923666433022909</c:v>
                </c:pt>
                <c:pt idx="14">
                  <c:v>37.023416013832829</c:v>
                </c:pt>
                <c:pt idx="15">
                  <c:v>38.009044976163239</c:v>
                </c:pt>
                <c:pt idx="16">
                  <c:v>38.04409206665958</c:v>
                </c:pt>
                <c:pt idx="17">
                  <c:v>38.860862917164702</c:v>
                </c:pt>
                <c:pt idx="18">
                  <c:v>38.829587199779283</c:v>
                </c:pt>
                <c:pt idx="19">
                  <c:v>39.522778242426227</c:v>
                </c:pt>
                <c:pt idx="20">
                  <c:v>40.136078058335023</c:v>
                </c:pt>
                <c:pt idx="21">
                  <c:v>40.681691213615984</c:v>
                </c:pt>
                <c:pt idx="22">
                  <c:v>41.129699414328854</c:v>
                </c:pt>
                <c:pt idx="23">
                  <c:v>41.585253796668518</c:v>
                </c:pt>
                <c:pt idx="24">
                  <c:v>41.972371865311594</c:v>
                </c:pt>
                <c:pt idx="25">
                  <c:v>42.341105686663767</c:v>
                </c:pt>
                <c:pt idx="26">
                  <c:v>42.666232636681286</c:v>
                </c:pt>
                <c:pt idx="27">
                  <c:v>42.995846975526099</c:v>
                </c:pt>
                <c:pt idx="28">
                  <c:v>43.271396939588726</c:v>
                </c:pt>
                <c:pt idx="29">
                  <c:v>43.435392634732032</c:v>
                </c:pt>
                <c:pt idx="30">
                  <c:v>43.678074517409613</c:v>
                </c:pt>
                <c:pt idx="31">
                  <c:v>43.909352648382324</c:v>
                </c:pt>
                <c:pt idx="32">
                  <c:v>44.134093191298057</c:v>
                </c:pt>
                <c:pt idx="33">
                  <c:v>44.351868453246901</c:v>
                </c:pt>
                <c:pt idx="34">
                  <c:v>44.48691621460982</c:v>
                </c:pt>
                <c:pt idx="35">
                  <c:v>44.572973874310875</c:v>
                </c:pt>
                <c:pt idx="36">
                  <c:v>44.692946417297883</c:v>
                </c:pt>
                <c:pt idx="37">
                  <c:v>44.857962973203129</c:v>
                </c:pt>
                <c:pt idx="38">
                  <c:v>45.014527569526848</c:v>
                </c:pt>
                <c:pt idx="39">
                  <c:v>45.141721278657506</c:v>
                </c:pt>
                <c:pt idx="40">
                  <c:v>45.286082501058566</c:v>
                </c:pt>
                <c:pt idx="41">
                  <c:v>45.421308194450305</c:v>
                </c:pt>
                <c:pt idx="42">
                  <c:v>45.549870446296751</c:v>
                </c:pt>
                <c:pt idx="43">
                  <c:v>45.657071542294318</c:v>
                </c:pt>
                <c:pt idx="44">
                  <c:v>45.766314638121735</c:v>
                </c:pt>
                <c:pt idx="45">
                  <c:v>45.868431883794116</c:v>
                </c:pt>
                <c:pt idx="46">
                  <c:v>45.971082492496464</c:v>
                </c:pt>
                <c:pt idx="47">
                  <c:v>46.063814431720701</c:v>
                </c:pt>
                <c:pt idx="48">
                  <c:v>46.157450147095787</c:v>
                </c:pt>
                <c:pt idx="49">
                  <c:v>46.200865792753277</c:v>
                </c:pt>
                <c:pt idx="50">
                  <c:v>46.281957692421969</c:v>
                </c:pt>
                <c:pt idx="51">
                  <c:v>46.366018723928548</c:v>
                </c:pt>
                <c:pt idx="52">
                  <c:v>46.447373344098132</c:v>
                </c:pt>
                <c:pt idx="53">
                  <c:v>46.465040621955772</c:v>
                </c:pt>
                <c:pt idx="54">
                  <c:v>46.531904988063637</c:v>
                </c:pt>
                <c:pt idx="55">
                  <c:v>46.519964992002549</c:v>
                </c:pt>
                <c:pt idx="56">
                  <c:v>46.590225614467869</c:v>
                </c:pt>
                <c:pt idx="57">
                  <c:v>46.659625905649655</c:v>
                </c:pt>
                <c:pt idx="58">
                  <c:v>46.726394384794872</c:v>
                </c:pt>
                <c:pt idx="59">
                  <c:v>46.778021904878933</c:v>
                </c:pt>
                <c:pt idx="60">
                  <c:v>46.836828720464879</c:v>
                </c:pt>
                <c:pt idx="61">
                  <c:v>46.897623572780248</c:v>
                </c:pt>
                <c:pt idx="62">
                  <c:v>46.954892234589408</c:v>
                </c:pt>
                <c:pt idx="63">
                  <c:v>46.995844231165805</c:v>
                </c:pt>
                <c:pt idx="64">
                  <c:v>47.0498916862973</c:v>
                </c:pt>
                <c:pt idx="65">
                  <c:v>47.095164777868071</c:v>
                </c:pt>
                <c:pt idx="66">
                  <c:v>47.1285951160433</c:v>
                </c:pt>
                <c:pt idx="67">
                  <c:v>47.151819876300202</c:v>
                </c:pt>
                <c:pt idx="68">
                  <c:v>47.190486636455731</c:v>
                </c:pt>
                <c:pt idx="69">
                  <c:v>47.229077000145942</c:v>
                </c:pt>
                <c:pt idx="70">
                  <c:v>47.275190766107237</c:v>
                </c:pt>
                <c:pt idx="71">
                  <c:v>47.30500913105174</c:v>
                </c:pt>
                <c:pt idx="72">
                  <c:v>47.338767454482685</c:v>
                </c:pt>
                <c:pt idx="73">
                  <c:v>47.37330186644931</c:v>
                </c:pt>
                <c:pt idx="74">
                  <c:v>47.40576617529419</c:v>
                </c:pt>
                <c:pt idx="75">
                  <c:v>47.440405829452573</c:v>
                </c:pt>
                <c:pt idx="76">
                  <c:v>47.468923532124691</c:v>
                </c:pt>
                <c:pt idx="77">
                  <c:v>47.508838583886089</c:v>
                </c:pt>
                <c:pt idx="78">
                  <c:v>47.537060825199681</c:v>
                </c:pt>
                <c:pt idx="79">
                  <c:v>47.572444755341301</c:v>
                </c:pt>
                <c:pt idx="80">
                  <c:v>47.607577983777766</c:v>
                </c:pt>
                <c:pt idx="81">
                  <c:v>47.634149463614349</c:v>
                </c:pt>
                <c:pt idx="82">
                  <c:v>47.66449007865112</c:v>
                </c:pt>
                <c:pt idx="83">
                  <c:v>47.689721364351918</c:v>
                </c:pt>
                <c:pt idx="84">
                  <c:v>47.714469380213103</c:v>
                </c:pt>
                <c:pt idx="85">
                  <c:v>47.73948197807433</c:v>
                </c:pt>
                <c:pt idx="86">
                  <c:v>47.76174104914913</c:v>
                </c:pt>
                <c:pt idx="87">
                  <c:v>47.761481247016313</c:v>
                </c:pt>
                <c:pt idx="88">
                  <c:v>47.786980503249808</c:v>
                </c:pt>
                <c:pt idx="89">
                  <c:v>47.805624959598404</c:v>
                </c:pt>
                <c:pt idx="90">
                  <c:v>47.828792652474583</c:v>
                </c:pt>
                <c:pt idx="91">
                  <c:v>47.850877962051342</c:v>
                </c:pt>
                <c:pt idx="92">
                  <c:v>47.876184395355324</c:v>
                </c:pt>
                <c:pt idx="93">
                  <c:v>47.898274299300844</c:v>
                </c:pt>
                <c:pt idx="94">
                  <c:v>47.923513622174418</c:v>
                </c:pt>
                <c:pt idx="95">
                  <c:v>47.939740821160058</c:v>
                </c:pt>
                <c:pt idx="96">
                  <c:v>47.957132920329428</c:v>
                </c:pt>
                <c:pt idx="97">
                  <c:v>47.963846929170494</c:v>
                </c:pt>
                <c:pt idx="98">
                  <c:v>47.98631959930735</c:v>
                </c:pt>
                <c:pt idx="99">
                  <c:v>48.001874963380338</c:v>
                </c:pt>
                <c:pt idx="100">
                  <c:v>48.026704617698307</c:v>
                </c:pt>
                <c:pt idx="101">
                  <c:v>48.046239982652004</c:v>
                </c:pt>
                <c:pt idx="102">
                  <c:v>48.062156358057926</c:v>
                </c:pt>
                <c:pt idx="103">
                  <c:v>48.084760899574313</c:v>
                </c:pt>
                <c:pt idx="104">
                  <c:v>48.104746820523509</c:v>
                </c:pt>
                <c:pt idx="105">
                  <c:v>48.132482265686278</c:v>
                </c:pt>
                <c:pt idx="106">
                  <c:v>48.152211932773049</c:v>
                </c:pt>
                <c:pt idx="107">
                  <c:v>48.17377879057198</c:v>
                </c:pt>
                <c:pt idx="108">
                  <c:v>48.203791392245854</c:v>
                </c:pt>
                <c:pt idx="109">
                  <c:v>48.226831460580868</c:v>
                </c:pt>
                <c:pt idx="110">
                  <c:v>48.251779596552019</c:v>
                </c:pt>
                <c:pt idx="111">
                  <c:v>48.267021423979102</c:v>
                </c:pt>
                <c:pt idx="112">
                  <c:v>48.290327729395145</c:v>
                </c:pt>
                <c:pt idx="113">
                  <c:v>48.31030909559864</c:v>
                </c:pt>
                <c:pt idx="114">
                  <c:v>48.334342818043716</c:v>
                </c:pt>
                <c:pt idx="115">
                  <c:v>48.346807475814245</c:v>
                </c:pt>
                <c:pt idx="116">
                  <c:v>48.3671853159207</c:v>
                </c:pt>
                <c:pt idx="117">
                  <c:v>48.388260237515865</c:v>
                </c:pt>
                <c:pt idx="118">
                  <c:v>48.411922970630755</c:v>
                </c:pt>
                <c:pt idx="119">
                  <c:v>48.426318601906267</c:v>
                </c:pt>
                <c:pt idx="120">
                  <c:v>48.446357827775451</c:v>
                </c:pt>
                <c:pt idx="121">
                  <c:v>48.460732794199679</c:v>
                </c:pt>
                <c:pt idx="122">
                  <c:v>48.481661942588637</c:v>
                </c:pt>
                <c:pt idx="123">
                  <c:v>48.498420326785372</c:v>
                </c:pt>
                <c:pt idx="124">
                  <c:v>48.51539961702882</c:v>
                </c:pt>
                <c:pt idx="125">
                  <c:v>48.536764007476435</c:v>
                </c:pt>
                <c:pt idx="126">
                  <c:v>48.552188010736664</c:v>
                </c:pt>
                <c:pt idx="127">
                  <c:v>48.573719746381379</c:v>
                </c:pt>
                <c:pt idx="128">
                  <c:v>48.590920133085</c:v>
                </c:pt>
                <c:pt idx="129">
                  <c:v>48.60784995165983</c:v>
                </c:pt>
                <c:pt idx="130">
                  <c:v>48.621061625470354</c:v>
                </c:pt>
                <c:pt idx="131">
                  <c:v>48.634848461247259</c:v>
                </c:pt>
                <c:pt idx="132">
                  <c:v>48.648192325525862</c:v>
                </c:pt>
                <c:pt idx="133">
                  <c:v>48.660183238822896</c:v>
                </c:pt>
                <c:pt idx="134">
                  <c:v>48.671689238543316</c:v>
                </c:pt>
                <c:pt idx="135">
                  <c:v>48.670561219404128</c:v>
                </c:pt>
                <c:pt idx="136">
                  <c:v>48.682720746380568</c:v>
                </c:pt>
                <c:pt idx="137">
                  <c:v>48.696114775235394</c:v>
                </c:pt>
                <c:pt idx="138">
                  <c:v>48.709755570827738</c:v>
                </c:pt>
                <c:pt idx="139">
                  <c:v>48.723857459301037</c:v>
                </c:pt>
                <c:pt idx="140">
                  <c:v>48.734481072337999</c:v>
                </c:pt>
                <c:pt idx="141">
                  <c:v>48.74668641681933</c:v>
                </c:pt>
                <c:pt idx="142">
                  <c:v>48.738276338208564</c:v>
                </c:pt>
                <c:pt idx="143">
                  <c:v>48.740739861251818</c:v>
                </c:pt>
                <c:pt idx="144">
                  <c:v>48.753991879003415</c:v>
                </c:pt>
                <c:pt idx="145">
                  <c:v>48.763196317186726</c:v>
                </c:pt>
                <c:pt idx="146">
                  <c:v>48.773598858175632</c:v>
                </c:pt>
                <c:pt idx="147">
                  <c:v>48.783789398816772</c:v>
                </c:pt>
                <c:pt idx="148">
                  <c:v>48.794391249913801</c:v>
                </c:pt>
                <c:pt idx="149">
                  <c:v>48.798019085477911</c:v>
                </c:pt>
              </c:numCache>
            </c:numRef>
          </c:val>
        </c:ser>
        <c:marker val="1"/>
        <c:axId val="111891584"/>
        <c:axId val="111893120"/>
      </c:lineChart>
      <c:catAx>
        <c:axId val="111891584"/>
        <c:scaling>
          <c:orientation val="minMax"/>
        </c:scaling>
        <c:axPos val="b"/>
        <c:tickLblPos val="nextTo"/>
        <c:crossAx val="111893120"/>
        <c:crosses val="autoZero"/>
        <c:auto val="1"/>
        <c:lblAlgn val="ctr"/>
        <c:lblOffset val="100"/>
      </c:catAx>
      <c:valAx>
        <c:axId val="111893120"/>
        <c:scaling>
          <c:orientation val="minMax"/>
        </c:scaling>
        <c:axPos val="l"/>
        <c:majorGridlines/>
        <c:numFmt formatCode="0.00" sourceLinked="1"/>
        <c:tickLblPos val="nextTo"/>
        <c:crossAx val="1118915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141" footer="0.314960620000001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135</xdr:row>
      <xdr:rowOff>82550</xdr:rowOff>
    </xdr:from>
    <xdr:to>
      <xdr:col>17</xdr:col>
      <xdr:colOff>152400</xdr:colOff>
      <xdr:row>150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16</xdr:col>
      <xdr:colOff>304800</xdr:colOff>
      <xdr:row>19</xdr:row>
      <xdr:rowOff>165100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135</xdr:row>
      <xdr:rowOff>82550</xdr:rowOff>
    </xdr:from>
    <xdr:to>
      <xdr:col>16</xdr:col>
      <xdr:colOff>152400</xdr:colOff>
      <xdr:row>150</xdr:row>
      <xdr:rowOff>63500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02"/>
  <sheetViews>
    <sheetView topLeftCell="A817" workbookViewId="0">
      <selection activeCell="C3" sqref="C3:D90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17.1796875" style="4" customWidth="1"/>
    <col min="8" max="8" width="8.81640625" style="4" bestFit="1" customWidth="1"/>
    <col min="9" max="9" width="17.08984375" style="4" bestFit="1" customWidth="1"/>
  </cols>
  <sheetData>
    <row r="1" spans="1:9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37</v>
      </c>
      <c r="H1" s="42" t="s">
        <v>11</v>
      </c>
      <c r="I1" s="42" t="s">
        <v>12</v>
      </c>
    </row>
    <row r="2" spans="1:9">
      <c r="A2" s="43"/>
      <c r="B2" s="43"/>
      <c r="C2" s="19" t="s">
        <v>6</v>
      </c>
      <c r="D2" s="19" t="s">
        <v>8</v>
      </c>
      <c r="E2" s="43"/>
      <c r="F2" s="43"/>
      <c r="G2" s="43"/>
      <c r="H2" s="43"/>
      <c r="I2" s="43"/>
    </row>
    <row r="3" spans="1:9">
      <c r="A3">
        <v>1</v>
      </c>
      <c r="B3">
        <v>5</v>
      </c>
      <c r="C3">
        <v>4600</v>
      </c>
      <c r="D3">
        <v>1462</v>
      </c>
      <c r="E3" s="4">
        <f>IF(AND(D3&lt;=C3*1.2,D3&gt;=C3*0.8),1,0)</f>
        <v>0</v>
      </c>
      <c r="F3" s="4">
        <f>ABS(C3-D3)</f>
        <v>3138</v>
      </c>
      <c r="G3" s="4">
        <f>ABS(C3-D3)/C3</f>
        <v>0.6821739130434783</v>
      </c>
      <c r="H3" s="4">
        <f>POWER(F3,2)</f>
        <v>9847044</v>
      </c>
      <c r="I3" s="5">
        <f>SQRT(SUM('r-native-multi'!$D$3:D3)/COUNTIF($A$3:A3,"&lt;&gt;0"))</f>
        <v>38.236108588610321</v>
      </c>
    </row>
    <row r="4" spans="1:9">
      <c r="A4">
        <v>2</v>
      </c>
      <c r="B4">
        <v>5</v>
      </c>
      <c r="C4">
        <v>4600</v>
      </c>
      <c r="D4">
        <v>5537</v>
      </c>
      <c r="E4" s="4">
        <f t="shared" ref="E4:E67" si="0">IF(AND(D4&lt;=C4*1.2,D4&gt;=C4*0.8),1,0)</f>
        <v>0</v>
      </c>
      <c r="F4" s="4">
        <f t="shared" ref="F4:F67" si="1">ABS(C4-D4)</f>
        <v>937</v>
      </c>
      <c r="G4" s="4">
        <f t="shared" ref="G4:G67" si="2">ABS(C4-D4)/C4</f>
        <v>0.20369565217391306</v>
      </c>
      <c r="H4" s="4">
        <f t="shared" ref="H4:H67" si="3">POWER(F4,2)</f>
        <v>877969</v>
      </c>
      <c r="I4" s="5">
        <f>SQRT(SUM('r-native-multi'!$D$3:D4)/COUNTIF($A$3:A4,"&lt;&gt;0"))</f>
        <v>59.156571908791335</v>
      </c>
    </row>
    <row r="5" spans="1:9">
      <c r="A5">
        <v>3</v>
      </c>
      <c r="B5">
        <v>5</v>
      </c>
      <c r="C5">
        <v>4600</v>
      </c>
      <c r="D5">
        <v>5675</v>
      </c>
      <c r="E5" s="4">
        <f t="shared" si="0"/>
        <v>0</v>
      </c>
      <c r="F5" s="4">
        <f t="shared" si="1"/>
        <v>1075</v>
      </c>
      <c r="G5" s="4">
        <f t="shared" si="2"/>
        <v>0.23369565217391305</v>
      </c>
      <c r="H5" s="4">
        <f t="shared" si="3"/>
        <v>1155625</v>
      </c>
      <c r="I5" s="5">
        <f>SQRT(SUM('r-native-multi'!$D$3:D5)/COUNTIF($A$3:A5,"&lt;&gt;0"))</f>
        <v>64.997435846859887</v>
      </c>
    </row>
    <row r="6" spans="1:9">
      <c r="A6">
        <v>4</v>
      </c>
      <c r="B6">
        <v>5</v>
      </c>
      <c r="C6">
        <v>4600</v>
      </c>
      <c r="D6">
        <v>5549</v>
      </c>
      <c r="E6" s="4">
        <f t="shared" si="0"/>
        <v>0</v>
      </c>
      <c r="F6" s="4">
        <f t="shared" si="1"/>
        <v>949</v>
      </c>
      <c r="G6" s="4">
        <f t="shared" si="2"/>
        <v>0.20630434782608695</v>
      </c>
      <c r="H6" s="4">
        <f t="shared" si="3"/>
        <v>900601</v>
      </c>
      <c r="I6" s="5">
        <f>SQRT(SUM('r-native-multi'!$D$3:D6)/COUNTIF($A$3:A6,"&lt;&gt;0"))</f>
        <v>67.496296194680198</v>
      </c>
    </row>
    <row r="7" spans="1:9">
      <c r="A7">
        <v>5</v>
      </c>
      <c r="B7">
        <v>5</v>
      </c>
      <c r="C7">
        <v>4600</v>
      </c>
      <c r="D7">
        <v>5418</v>
      </c>
      <c r="E7" s="4">
        <f t="shared" si="0"/>
        <v>1</v>
      </c>
      <c r="F7" s="4">
        <f t="shared" si="1"/>
        <v>818</v>
      </c>
      <c r="G7" s="4">
        <f t="shared" si="2"/>
        <v>0.17782608695652175</v>
      </c>
      <c r="H7" s="4">
        <f t="shared" si="3"/>
        <v>669124</v>
      </c>
      <c r="I7" s="5">
        <f>SQRT(SUM('r-native-multi'!$D$3:D7)/COUNTIF($A$3:A7,"&lt;&gt;0"))</f>
        <v>68.761908059622655</v>
      </c>
    </row>
    <row r="8" spans="1:9">
      <c r="A8">
        <v>6</v>
      </c>
      <c r="B8">
        <v>5</v>
      </c>
      <c r="C8">
        <v>4600</v>
      </c>
      <c r="D8">
        <v>5691</v>
      </c>
      <c r="E8" s="4">
        <f t="shared" si="0"/>
        <v>0</v>
      </c>
      <c r="F8" s="4">
        <f t="shared" si="1"/>
        <v>1091</v>
      </c>
      <c r="G8" s="4">
        <f t="shared" si="2"/>
        <v>0.23717391304347826</v>
      </c>
      <c r="H8" s="4">
        <f t="shared" si="3"/>
        <v>1190281</v>
      </c>
      <c r="I8" s="5">
        <f>SQRT(SUM('r-native-multi'!$D$3:D8)/COUNTIF($A$3:A8,"&lt;&gt;0"))</f>
        <v>69.919000755636276</v>
      </c>
    </row>
    <row r="9" spans="1:9">
      <c r="A9">
        <v>7</v>
      </c>
      <c r="B9">
        <v>5</v>
      </c>
      <c r="C9">
        <v>4600</v>
      </c>
      <c r="D9">
        <v>5694</v>
      </c>
      <c r="E9" s="4">
        <f t="shared" si="0"/>
        <v>0</v>
      </c>
      <c r="F9" s="4">
        <f t="shared" si="1"/>
        <v>1094</v>
      </c>
      <c r="G9" s="4">
        <f t="shared" si="2"/>
        <v>0.23782608695652174</v>
      </c>
      <c r="H9" s="4">
        <f t="shared" si="3"/>
        <v>1196836</v>
      </c>
      <c r="I9" s="5">
        <f>SQRT(SUM('r-native-multi'!$D$3:D9)/COUNTIF($A$3:A9,"&lt;&gt;0"))</f>
        <v>70.736937209030231</v>
      </c>
    </row>
    <row r="10" spans="1:9">
      <c r="A10">
        <v>8</v>
      </c>
      <c r="B10">
        <v>5</v>
      </c>
      <c r="C10">
        <v>4600</v>
      </c>
      <c r="D10">
        <v>5760</v>
      </c>
      <c r="E10" s="4">
        <f t="shared" si="0"/>
        <v>0</v>
      </c>
      <c r="F10" s="4">
        <f t="shared" si="1"/>
        <v>1160</v>
      </c>
      <c r="G10" s="4">
        <f t="shared" si="2"/>
        <v>0.25217391304347825</v>
      </c>
      <c r="H10" s="4">
        <f t="shared" si="3"/>
        <v>1345600</v>
      </c>
      <c r="I10" s="5">
        <f>SQRT(SUM('r-native-multi'!$D$3:D10)/COUNTIF($A$3:A10,"&lt;&gt;0"))</f>
        <v>71.402030783444815</v>
      </c>
    </row>
    <row r="11" spans="1:9">
      <c r="A11">
        <v>9</v>
      </c>
      <c r="B11">
        <v>5</v>
      </c>
      <c r="C11">
        <v>4600</v>
      </c>
      <c r="D11">
        <v>5664</v>
      </c>
      <c r="E11" s="4">
        <f t="shared" si="0"/>
        <v>0</v>
      </c>
      <c r="F11" s="4">
        <f t="shared" si="1"/>
        <v>1064</v>
      </c>
      <c r="G11" s="4">
        <f t="shared" si="2"/>
        <v>0.23130434782608697</v>
      </c>
      <c r="H11" s="4">
        <f t="shared" si="3"/>
        <v>1132096</v>
      </c>
      <c r="I11" s="5">
        <f>SQRT(SUM('r-native-multi'!$D$3:D11)/COUNTIF($A$3:A11,"&lt;&gt;0"))</f>
        <v>71.840873540841017</v>
      </c>
    </row>
    <row r="12" spans="1:9">
      <c r="A12">
        <v>10</v>
      </c>
      <c r="B12">
        <v>5</v>
      </c>
      <c r="C12">
        <v>4600</v>
      </c>
      <c r="D12">
        <v>5691</v>
      </c>
      <c r="E12" s="4">
        <f t="shared" si="0"/>
        <v>0</v>
      </c>
      <c r="F12" s="4">
        <f t="shared" si="1"/>
        <v>1091</v>
      </c>
      <c r="G12" s="4">
        <f t="shared" si="2"/>
        <v>0.23717391304347826</v>
      </c>
      <c r="H12" s="4">
        <f t="shared" si="3"/>
        <v>1190281</v>
      </c>
      <c r="I12" s="5">
        <f>SQRT(SUM('r-native-multi'!$D$3:D12)/COUNTIF($A$3:A12,"&lt;&gt;0"))</f>
        <v>72.208725234558742</v>
      </c>
    </row>
    <row r="13" spans="1:9">
      <c r="A13">
        <v>11</v>
      </c>
      <c r="B13">
        <v>5</v>
      </c>
      <c r="C13">
        <v>4600</v>
      </c>
      <c r="D13">
        <v>5551</v>
      </c>
      <c r="E13" s="4">
        <f t="shared" si="0"/>
        <v>0</v>
      </c>
      <c r="F13" s="4">
        <f t="shared" si="1"/>
        <v>951</v>
      </c>
      <c r="G13" s="4">
        <f t="shared" si="2"/>
        <v>0.20673913043478262</v>
      </c>
      <c r="H13" s="4">
        <f t="shared" si="3"/>
        <v>904401</v>
      </c>
      <c r="I13" s="5">
        <f>SQRT(SUM('r-native-multi'!$D$3:D13)/COUNTIF($A$3:A13,"&lt;&gt;0"))</f>
        <v>72.420489315712814</v>
      </c>
    </row>
    <row r="14" spans="1:9">
      <c r="A14">
        <v>12</v>
      </c>
      <c r="B14">
        <v>5</v>
      </c>
      <c r="C14">
        <v>4600</v>
      </c>
      <c r="D14">
        <v>5500</v>
      </c>
      <c r="E14" s="4">
        <f t="shared" si="0"/>
        <v>1</v>
      </c>
      <c r="F14" s="4">
        <f t="shared" si="1"/>
        <v>900</v>
      </c>
      <c r="G14" s="4">
        <f t="shared" si="2"/>
        <v>0.19565217391304349</v>
      </c>
      <c r="H14" s="4">
        <f t="shared" si="3"/>
        <v>810000</v>
      </c>
      <c r="I14" s="5">
        <f>SQRT(SUM('r-native-multi'!$D$3:D14)/COUNTIF($A$3:A14,"&lt;&gt;0"))</f>
        <v>72.567210226106937</v>
      </c>
    </row>
    <row r="15" spans="1:9">
      <c r="A15">
        <v>13</v>
      </c>
      <c r="B15">
        <v>5</v>
      </c>
      <c r="C15">
        <v>4600</v>
      </c>
      <c r="D15">
        <v>5442</v>
      </c>
      <c r="E15" s="4">
        <f t="shared" si="0"/>
        <v>1</v>
      </c>
      <c r="F15" s="4">
        <f t="shared" si="1"/>
        <v>842</v>
      </c>
      <c r="G15" s="4">
        <f t="shared" si="2"/>
        <v>0.18304347826086956</v>
      </c>
      <c r="H15" s="4">
        <f t="shared" si="3"/>
        <v>708964</v>
      </c>
      <c r="I15" s="5">
        <f>SQRT(SUM('r-native-multi'!$D$3:D15)/COUNTIF($A$3:A15,"&lt;&gt;0"))</f>
        <v>72.660432571919515</v>
      </c>
    </row>
    <row r="16" spans="1:9">
      <c r="A16">
        <v>14</v>
      </c>
      <c r="B16">
        <v>5</v>
      </c>
      <c r="C16">
        <v>4600</v>
      </c>
      <c r="D16">
        <v>5734</v>
      </c>
      <c r="E16" s="4">
        <f t="shared" si="0"/>
        <v>0</v>
      </c>
      <c r="F16" s="4">
        <f t="shared" si="1"/>
        <v>1134</v>
      </c>
      <c r="G16" s="4">
        <f t="shared" si="2"/>
        <v>0.24652173913043479</v>
      </c>
      <c r="H16" s="4">
        <f t="shared" si="3"/>
        <v>1285956</v>
      </c>
      <c r="I16" s="5">
        <f>SQRT(SUM('r-native-multi'!$D$3:D16)/COUNTIF($A$3:A16,"&lt;&gt;0"))</f>
        <v>72.883468633154394</v>
      </c>
    </row>
    <row r="17" spans="1:9">
      <c r="A17">
        <v>15</v>
      </c>
      <c r="B17">
        <v>5</v>
      </c>
      <c r="C17">
        <v>4600</v>
      </c>
      <c r="D17">
        <v>5615</v>
      </c>
      <c r="E17" s="4">
        <f t="shared" si="0"/>
        <v>0</v>
      </c>
      <c r="F17" s="4">
        <f t="shared" si="1"/>
        <v>1015</v>
      </c>
      <c r="G17" s="4">
        <f t="shared" si="2"/>
        <v>0.22065217391304348</v>
      </c>
      <c r="H17" s="4">
        <f t="shared" si="3"/>
        <v>1030225</v>
      </c>
      <c r="I17" s="5">
        <f>SQRT(SUM('r-native-multi'!$D$3:D17)/COUNTIF($A$3:A17,"&lt;&gt;0"))</f>
        <v>73.021914518862076</v>
      </c>
    </row>
    <row r="18" spans="1:9">
      <c r="A18">
        <v>16</v>
      </c>
      <c r="B18">
        <v>5</v>
      </c>
      <c r="C18">
        <v>4600</v>
      </c>
      <c r="D18">
        <v>5444</v>
      </c>
      <c r="E18" s="4">
        <f t="shared" si="0"/>
        <v>1</v>
      </c>
      <c r="F18" s="4">
        <f t="shared" si="1"/>
        <v>844</v>
      </c>
      <c r="G18" s="4">
        <f t="shared" si="2"/>
        <v>0.18347826086956523</v>
      </c>
      <c r="H18" s="4">
        <f t="shared" si="3"/>
        <v>712336</v>
      </c>
      <c r="I18" s="5">
        <f>SQRT(SUM('r-native-multi'!$D$3:D18)/COUNTIF($A$3:A18,"&lt;&gt;0"))</f>
        <v>73.069744080570032</v>
      </c>
    </row>
    <row r="19" spans="1:9">
      <c r="A19">
        <v>17</v>
      </c>
      <c r="B19">
        <v>5</v>
      </c>
      <c r="C19">
        <v>4600</v>
      </c>
      <c r="D19">
        <v>5406</v>
      </c>
      <c r="E19" s="4">
        <f t="shared" si="0"/>
        <v>1</v>
      </c>
      <c r="F19" s="4">
        <f t="shared" si="1"/>
        <v>806</v>
      </c>
      <c r="G19" s="4">
        <f t="shared" si="2"/>
        <v>0.17521739130434782</v>
      </c>
      <c r="H19" s="4">
        <f t="shared" si="3"/>
        <v>649636</v>
      </c>
      <c r="I19" s="5">
        <f>SQRT(SUM('r-native-multi'!$D$3:D19)/COUNTIF($A$3:A19,"&lt;&gt;0"))</f>
        <v>73.096632255247044</v>
      </c>
    </row>
    <row r="20" spans="1:9">
      <c r="A20">
        <v>18</v>
      </c>
      <c r="B20">
        <v>5</v>
      </c>
      <c r="C20">
        <v>4600</v>
      </c>
      <c r="D20">
        <v>5538</v>
      </c>
      <c r="E20" s="4">
        <f t="shared" si="0"/>
        <v>0</v>
      </c>
      <c r="F20" s="4">
        <f t="shared" si="1"/>
        <v>938</v>
      </c>
      <c r="G20" s="4">
        <f t="shared" si="2"/>
        <v>0.20391304347826086</v>
      </c>
      <c r="H20" s="4">
        <f t="shared" si="3"/>
        <v>879844</v>
      </c>
      <c r="I20" s="5">
        <f>SQRT(SUM('r-native-multi'!$D$3:D20)/COUNTIF($A$3:A20,"&lt;&gt;0"))</f>
        <v>73.17065289065313</v>
      </c>
    </row>
    <row r="21" spans="1:9">
      <c r="A21">
        <v>19</v>
      </c>
      <c r="B21">
        <v>5</v>
      </c>
      <c r="C21">
        <v>4600</v>
      </c>
      <c r="D21">
        <v>5605</v>
      </c>
      <c r="E21" s="4">
        <f t="shared" si="0"/>
        <v>0</v>
      </c>
      <c r="F21" s="4">
        <f t="shared" si="1"/>
        <v>1005</v>
      </c>
      <c r="G21" s="4">
        <f t="shared" si="2"/>
        <v>0.21847826086956521</v>
      </c>
      <c r="H21" s="4">
        <f t="shared" si="3"/>
        <v>1010025</v>
      </c>
      <c r="I21" s="5">
        <f>SQRT(SUM('r-native-multi'!$D$3:D21)/COUNTIF($A$3:A21,"&lt;&gt;0"))</f>
        <v>73.260889257071142</v>
      </c>
    </row>
    <row r="22" spans="1:9">
      <c r="A22">
        <v>20</v>
      </c>
      <c r="B22">
        <v>5</v>
      </c>
      <c r="C22">
        <v>4600</v>
      </c>
      <c r="D22">
        <v>5552</v>
      </c>
      <c r="E22" s="4">
        <f t="shared" si="0"/>
        <v>0</v>
      </c>
      <c r="F22" s="4">
        <f t="shared" si="1"/>
        <v>952</v>
      </c>
      <c r="G22" s="4">
        <f t="shared" si="2"/>
        <v>0.20695652173913043</v>
      </c>
      <c r="H22" s="4">
        <f t="shared" si="3"/>
        <v>906304</v>
      </c>
      <c r="I22" s="5">
        <f>SQRT(SUM('r-native-multi'!$D$3:D22)/COUNTIF($A$3:A22,"&lt;&gt;0"))</f>
        <v>73.323938792184364</v>
      </c>
    </row>
    <row r="23" spans="1:9">
      <c r="A23">
        <v>21</v>
      </c>
      <c r="B23">
        <v>5</v>
      </c>
      <c r="C23">
        <v>4600</v>
      </c>
      <c r="D23">
        <v>5548</v>
      </c>
      <c r="E23" s="4">
        <f t="shared" si="0"/>
        <v>0</v>
      </c>
      <c r="F23" s="4">
        <f t="shared" si="1"/>
        <v>948</v>
      </c>
      <c r="G23" s="4">
        <f t="shared" si="2"/>
        <v>0.20608695652173914</v>
      </c>
      <c r="H23" s="4">
        <f t="shared" si="3"/>
        <v>898704</v>
      </c>
      <c r="I23" s="5">
        <f>SQRT(SUM('r-native-multi'!$D$3:D23)/COUNTIF($A$3:A23,"&lt;&gt;0"))</f>
        <v>73.379639059969676</v>
      </c>
    </row>
    <row r="24" spans="1:9">
      <c r="A24">
        <v>22</v>
      </c>
      <c r="B24">
        <v>5</v>
      </c>
      <c r="C24">
        <v>4600</v>
      </c>
      <c r="D24">
        <v>5572</v>
      </c>
      <c r="E24" s="4">
        <f t="shared" si="0"/>
        <v>0</v>
      </c>
      <c r="F24" s="4">
        <f t="shared" si="1"/>
        <v>972</v>
      </c>
      <c r="G24" s="4">
        <f t="shared" si="2"/>
        <v>0.21130434782608695</v>
      </c>
      <c r="H24" s="4">
        <f t="shared" si="3"/>
        <v>944784</v>
      </c>
      <c r="I24" s="5">
        <f>SQRT(SUM('r-native-multi'!$D$3:D24)/COUNTIF($A$3:A24,"&lt;&gt;0"))</f>
        <v>73.437666827663506</v>
      </c>
    </row>
    <row r="25" spans="1:9">
      <c r="A25">
        <v>23</v>
      </c>
      <c r="B25">
        <v>5</v>
      </c>
      <c r="C25">
        <v>4600</v>
      </c>
      <c r="D25">
        <v>5528</v>
      </c>
      <c r="E25" s="4">
        <f t="shared" si="0"/>
        <v>0</v>
      </c>
      <c r="F25" s="4">
        <f t="shared" si="1"/>
        <v>928</v>
      </c>
      <c r="G25" s="4">
        <f t="shared" si="2"/>
        <v>0.20173913043478262</v>
      </c>
      <c r="H25" s="4">
        <f t="shared" si="3"/>
        <v>861184</v>
      </c>
      <c r="I25" s="5">
        <f>SQRT(SUM('r-native-multi'!$D$3:D25)/COUNTIF($A$3:A25,"&lt;&gt;0"))</f>
        <v>73.477591970199526</v>
      </c>
    </row>
    <row r="26" spans="1:9">
      <c r="A26">
        <v>24</v>
      </c>
      <c r="B26">
        <v>5</v>
      </c>
      <c r="C26">
        <v>4600</v>
      </c>
      <c r="D26">
        <v>5653</v>
      </c>
      <c r="E26" s="4">
        <f t="shared" si="0"/>
        <v>0</v>
      </c>
      <c r="F26" s="4">
        <f t="shared" si="1"/>
        <v>1053</v>
      </c>
      <c r="G26" s="4">
        <f t="shared" si="2"/>
        <v>0.22891304347826086</v>
      </c>
      <c r="H26" s="4">
        <f t="shared" si="3"/>
        <v>1108809</v>
      </c>
      <c r="I26" s="5">
        <f>SQRT(SUM('r-native-multi'!$D$3:D26)/COUNTIF($A$3:A26,"&lt;&gt;0"))</f>
        <v>73.549586447964927</v>
      </c>
    </row>
    <row r="27" spans="1:9">
      <c r="A27">
        <v>25</v>
      </c>
      <c r="B27">
        <v>5</v>
      </c>
      <c r="C27">
        <v>4600</v>
      </c>
      <c r="D27">
        <v>5604</v>
      </c>
      <c r="E27" s="4">
        <f t="shared" si="0"/>
        <v>0</v>
      </c>
      <c r="F27" s="4">
        <f t="shared" si="1"/>
        <v>1004</v>
      </c>
      <c r="G27" s="4">
        <f t="shared" si="2"/>
        <v>0.2182608695652174</v>
      </c>
      <c r="H27" s="4">
        <f t="shared" si="3"/>
        <v>1008016</v>
      </c>
      <c r="I27" s="5">
        <f>SQRT(SUM('r-native-multi'!$D$3:D27)/COUNTIF($A$3:A27,"&lt;&gt;0"))</f>
        <v>73.602445611542009</v>
      </c>
    </row>
    <row r="28" spans="1:9">
      <c r="A28">
        <v>26</v>
      </c>
      <c r="B28">
        <v>5</v>
      </c>
      <c r="C28">
        <v>4600</v>
      </c>
      <c r="D28">
        <v>5582</v>
      </c>
      <c r="E28" s="4">
        <f t="shared" si="0"/>
        <v>0</v>
      </c>
      <c r="F28" s="4">
        <f t="shared" si="1"/>
        <v>982</v>
      </c>
      <c r="G28" s="4">
        <f t="shared" si="2"/>
        <v>0.21347826086956523</v>
      </c>
      <c r="H28" s="4">
        <f t="shared" si="3"/>
        <v>964324</v>
      </c>
      <c r="I28" s="5">
        <f>SQRT(SUM('r-native-multi'!$D$3:D28)/COUNTIF($A$3:A28,"&lt;&gt;0"))</f>
        <v>73.645460458563534</v>
      </c>
    </row>
    <row r="29" spans="1:9">
      <c r="A29">
        <v>27</v>
      </c>
      <c r="B29">
        <v>5</v>
      </c>
      <c r="C29">
        <v>4600</v>
      </c>
      <c r="D29">
        <v>5591</v>
      </c>
      <c r="E29" s="4">
        <f t="shared" si="0"/>
        <v>0</v>
      </c>
      <c r="F29" s="4">
        <f t="shared" si="1"/>
        <v>991</v>
      </c>
      <c r="G29" s="4">
        <f t="shared" si="2"/>
        <v>0.21543478260869564</v>
      </c>
      <c r="H29" s="4">
        <f t="shared" si="3"/>
        <v>982081</v>
      </c>
      <c r="I29" s="5">
        <f>SQRT(SUM('r-native-multi'!$D$3:D29)/COUNTIF($A$3:A29,"&lt;&gt;0"))</f>
        <v>73.687528468878995</v>
      </c>
    </row>
    <row r="30" spans="1:9">
      <c r="A30">
        <v>28</v>
      </c>
      <c r="B30">
        <v>5</v>
      </c>
      <c r="C30">
        <v>4600</v>
      </c>
      <c r="D30">
        <v>5565</v>
      </c>
      <c r="E30" s="4">
        <f t="shared" si="0"/>
        <v>0</v>
      </c>
      <c r="F30" s="4">
        <f t="shared" si="1"/>
        <v>965</v>
      </c>
      <c r="G30" s="4">
        <f t="shared" si="2"/>
        <v>0.20978260869565218</v>
      </c>
      <c r="H30" s="4">
        <f t="shared" si="3"/>
        <v>931225</v>
      </c>
      <c r="I30" s="5">
        <f>SQRT(SUM('r-native-multi'!$D$3:D30)/COUNTIF($A$3:A30,"&lt;&gt;0"))</f>
        <v>73.72027245899578</v>
      </c>
    </row>
    <row r="31" spans="1:9">
      <c r="A31">
        <v>29</v>
      </c>
      <c r="B31">
        <v>5</v>
      </c>
      <c r="C31">
        <v>4600</v>
      </c>
      <c r="D31">
        <v>5325</v>
      </c>
      <c r="E31" s="4">
        <f t="shared" si="0"/>
        <v>1</v>
      </c>
      <c r="F31" s="4">
        <f t="shared" si="1"/>
        <v>725</v>
      </c>
      <c r="G31" s="4">
        <f t="shared" si="2"/>
        <v>0.15760869565217392</v>
      </c>
      <c r="H31" s="4">
        <f t="shared" si="3"/>
        <v>525625</v>
      </c>
      <c r="I31" s="5">
        <f>SQRT(SUM('r-native-multi'!$D$3:D31)/COUNTIF($A$3:A31,"&lt;&gt;0"))</f>
        <v>73.694616843594062</v>
      </c>
    </row>
    <row r="32" spans="1:9">
      <c r="A32">
        <v>30</v>
      </c>
      <c r="B32">
        <v>5</v>
      </c>
      <c r="C32">
        <v>4600</v>
      </c>
      <c r="D32">
        <v>5597</v>
      </c>
      <c r="E32" s="4">
        <f t="shared" si="0"/>
        <v>0</v>
      </c>
      <c r="F32" s="4">
        <f t="shared" si="1"/>
        <v>997</v>
      </c>
      <c r="G32" s="4">
        <f t="shared" si="2"/>
        <v>0.2167391304347826</v>
      </c>
      <c r="H32" s="4">
        <f t="shared" si="3"/>
        <v>994009</v>
      </c>
      <c r="I32" s="5">
        <f>SQRT(SUM('r-native-multi'!$D$3:D32)/COUNTIF($A$3:A32,"&lt;&gt;0"))</f>
        <v>73.732172986650369</v>
      </c>
    </row>
    <row r="33" spans="1:9">
      <c r="A33">
        <v>31</v>
      </c>
      <c r="B33">
        <v>5</v>
      </c>
      <c r="C33">
        <v>4600</v>
      </c>
      <c r="D33">
        <v>5560</v>
      </c>
      <c r="E33" s="4">
        <f t="shared" si="0"/>
        <v>0</v>
      </c>
      <c r="F33" s="4">
        <f t="shared" si="1"/>
        <v>960</v>
      </c>
      <c r="G33" s="4">
        <f t="shared" si="2"/>
        <v>0.20869565217391303</v>
      </c>
      <c r="H33" s="4">
        <f t="shared" si="3"/>
        <v>921600</v>
      </c>
      <c r="I33" s="5">
        <f>SQRT(SUM('r-native-multi'!$D$3:D33)/COUNTIF($A$3:A33,"&lt;&gt;0"))</f>
        <v>73.759198442219457</v>
      </c>
    </row>
    <row r="34" spans="1:9">
      <c r="A34">
        <v>32</v>
      </c>
      <c r="B34">
        <v>5</v>
      </c>
      <c r="C34">
        <v>4600</v>
      </c>
      <c r="D34">
        <v>5474</v>
      </c>
      <c r="E34" s="4">
        <f t="shared" si="0"/>
        <v>1</v>
      </c>
      <c r="F34" s="4">
        <f t="shared" si="1"/>
        <v>874</v>
      </c>
      <c r="G34" s="4">
        <f t="shared" si="2"/>
        <v>0.19</v>
      </c>
      <c r="H34" s="4">
        <f t="shared" si="3"/>
        <v>763876</v>
      </c>
      <c r="I34" s="5">
        <f>SQRT(SUM('r-native-multi'!$D$3:D34)/COUNTIF($A$3:A34,"&lt;&gt;0"))</f>
        <v>73.766311755434813</v>
      </c>
    </row>
    <row r="35" spans="1:9">
      <c r="A35">
        <v>33</v>
      </c>
      <c r="B35">
        <v>5</v>
      </c>
      <c r="C35">
        <v>4600</v>
      </c>
      <c r="D35">
        <v>5596</v>
      </c>
      <c r="E35" s="4">
        <f t="shared" si="0"/>
        <v>0</v>
      </c>
      <c r="F35" s="4">
        <f t="shared" si="1"/>
        <v>996</v>
      </c>
      <c r="G35" s="4">
        <f t="shared" si="2"/>
        <v>0.21652173913043479</v>
      </c>
      <c r="H35" s="4">
        <f t="shared" si="3"/>
        <v>992016</v>
      </c>
      <c r="I35" s="5">
        <f>SQRT(SUM('r-native-multi'!$D$3:D35)/COUNTIF($A$3:A35,"&lt;&gt;0"))</f>
        <v>73.798045469724428</v>
      </c>
    </row>
    <row r="36" spans="1:9">
      <c r="A36">
        <v>34</v>
      </c>
      <c r="B36">
        <v>5</v>
      </c>
      <c r="C36">
        <v>4600</v>
      </c>
      <c r="D36">
        <v>5612</v>
      </c>
      <c r="E36" s="4">
        <f t="shared" si="0"/>
        <v>0</v>
      </c>
      <c r="F36" s="4">
        <f t="shared" si="1"/>
        <v>1012</v>
      </c>
      <c r="G36" s="4">
        <f t="shared" si="2"/>
        <v>0.22</v>
      </c>
      <c r="H36" s="4">
        <f t="shared" si="3"/>
        <v>1024144</v>
      </c>
      <c r="I36" s="5">
        <f>SQRT(SUM('r-native-multi'!$D$3:D36)/COUNTIF($A$3:A36,"&lt;&gt;0"))</f>
        <v>73.831087028193664</v>
      </c>
    </row>
    <row r="37" spans="1:9">
      <c r="A37">
        <v>35</v>
      </c>
      <c r="B37">
        <v>5</v>
      </c>
      <c r="C37">
        <v>4600</v>
      </c>
      <c r="D37">
        <v>5375</v>
      </c>
      <c r="E37" s="4">
        <f t="shared" si="0"/>
        <v>1</v>
      </c>
      <c r="F37" s="4">
        <f t="shared" si="1"/>
        <v>775</v>
      </c>
      <c r="G37" s="4">
        <f t="shared" si="2"/>
        <v>0.16847826086956522</v>
      </c>
      <c r="H37" s="4">
        <f t="shared" si="3"/>
        <v>600625</v>
      </c>
      <c r="I37" s="5">
        <f>SQRT(SUM('r-native-multi'!$D$3:D37)/COUNTIF($A$3:A37,"&lt;&gt;0"))</f>
        <v>73.816374490062458</v>
      </c>
    </row>
    <row r="38" spans="1:9">
      <c r="A38">
        <v>36</v>
      </c>
      <c r="B38">
        <v>5</v>
      </c>
      <c r="C38">
        <v>4600</v>
      </c>
      <c r="D38">
        <v>5554</v>
      </c>
      <c r="E38" s="4">
        <f t="shared" si="0"/>
        <v>0</v>
      </c>
      <c r="F38" s="4">
        <f t="shared" si="1"/>
        <v>954</v>
      </c>
      <c r="G38" s="4">
        <f t="shared" si="2"/>
        <v>0.2073913043478261</v>
      </c>
      <c r="H38" s="4">
        <f t="shared" si="3"/>
        <v>910116</v>
      </c>
      <c r="I38" s="5">
        <f>SQRT(SUM('r-native-multi'!$D$3:D38)/COUNTIF($A$3:A38,"&lt;&gt;0"))</f>
        <v>73.836154949846744</v>
      </c>
    </row>
    <row r="39" spans="1:9">
      <c r="A39">
        <v>37</v>
      </c>
      <c r="B39">
        <v>5</v>
      </c>
      <c r="C39">
        <v>4600</v>
      </c>
      <c r="D39">
        <v>5567</v>
      </c>
      <c r="E39" s="4">
        <f t="shared" si="0"/>
        <v>0</v>
      </c>
      <c r="F39" s="4">
        <f t="shared" si="1"/>
        <v>967</v>
      </c>
      <c r="G39" s="4">
        <f t="shared" si="2"/>
        <v>0.21021739130434783</v>
      </c>
      <c r="H39" s="4">
        <f t="shared" si="3"/>
        <v>935089</v>
      </c>
      <c r="I39" s="5">
        <f>SQRT(SUM('r-native-multi'!$D$3:D39)/COUNTIF($A$3:A39,"&lt;&gt;0"))</f>
        <v>73.857239942282519</v>
      </c>
    </row>
    <row r="40" spans="1:9">
      <c r="A40">
        <v>38</v>
      </c>
      <c r="B40">
        <v>5</v>
      </c>
      <c r="C40">
        <v>4600</v>
      </c>
      <c r="D40">
        <v>5631</v>
      </c>
      <c r="E40" s="4">
        <f t="shared" si="0"/>
        <v>0</v>
      </c>
      <c r="F40" s="4">
        <f t="shared" si="1"/>
        <v>1031</v>
      </c>
      <c r="G40" s="4">
        <f t="shared" si="2"/>
        <v>0.22413043478260869</v>
      </c>
      <c r="H40" s="4">
        <f t="shared" si="3"/>
        <v>1062961</v>
      </c>
      <c r="I40" s="5">
        <f>SQRT(SUM('r-native-multi'!$D$3:D40)/COUNTIF($A$3:A40,"&lt;&gt;0"))</f>
        <v>73.888607483085465</v>
      </c>
    </row>
    <row r="41" spans="1:9">
      <c r="A41">
        <v>39</v>
      </c>
      <c r="B41">
        <v>5</v>
      </c>
      <c r="C41">
        <v>4600</v>
      </c>
      <c r="D41">
        <v>5635</v>
      </c>
      <c r="E41" s="4">
        <f t="shared" si="0"/>
        <v>0</v>
      </c>
      <c r="F41" s="4">
        <f t="shared" si="1"/>
        <v>1035</v>
      </c>
      <c r="G41" s="4">
        <f t="shared" si="2"/>
        <v>0.22500000000000001</v>
      </c>
      <c r="H41" s="4">
        <f t="shared" si="3"/>
        <v>1071225</v>
      </c>
      <c r="I41" s="5">
        <f>SQRT(SUM('r-native-multi'!$D$3:D41)/COUNTIF($A$3:A41,"&lt;&gt;0"))</f>
        <v>73.919047890416181</v>
      </c>
    </row>
    <row r="42" spans="1:9">
      <c r="A42">
        <v>40</v>
      </c>
      <c r="B42">
        <v>5</v>
      </c>
      <c r="C42">
        <v>4600</v>
      </c>
      <c r="D42">
        <v>5503</v>
      </c>
      <c r="E42" s="4">
        <f t="shared" si="0"/>
        <v>1</v>
      </c>
      <c r="F42" s="4">
        <f t="shared" si="1"/>
        <v>903</v>
      </c>
      <c r="G42" s="4">
        <f t="shared" si="2"/>
        <v>0.19630434782608697</v>
      </c>
      <c r="H42" s="4">
        <f t="shared" si="3"/>
        <v>815409</v>
      </c>
      <c r="I42" s="5">
        <f>SQRT(SUM('r-native-multi'!$D$3:D42)/COUNTIF($A$3:A42,"&lt;&gt;0"))</f>
        <v>73.925638313104884</v>
      </c>
    </row>
    <row r="43" spans="1:9">
      <c r="A43">
        <v>41</v>
      </c>
      <c r="B43">
        <v>5</v>
      </c>
      <c r="C43">
        <v>4600</v>
      </c>
      <c r="D43">
        <v>5337</v>
      </c>
      <c r="E43" s="4">
        <f t="shared" si="0"/>
        <v>1</v>
      </c>
      <c r="F43" s="4">
        <f t="shared" si="1"/>
        <v>737</v>
      </c>
      <c r="G43" s="4">
        <f t="shared" si="2"/>
        <v>0.16021739130434784</v>
      </c>
      <c r="H43" s="4">
        <f t="shared" si="3"/>
        <v>543169</v>
      </c>
      <c r="I43" s="5">
        <f>SQRT(SUM('r-native-multi'!$D$3:D43)/COUNTIF($A$3:A43,"&lt;&gt;0"))</f>
        <v>73.904519812934907</v>
      </c>
    </row>
    <row r="44" spans="1:9">
      <c r="A44">
        <v>42</v>
      </c>
      <c r="B44">
        <v>5</v>
      </c>
      <c r="C44">
        <v>4600</v>
      </c>
      <c r="D44">
        <v>5519</v>
      </c>
      <c r="E44" s="4">
        <f t="shared" si="0"/>
        <v>1</v>
      </c>
      <c r="F44" s="4">
        <f t="shared" si="1"/>
        <v>919</v>
      </c>
      <c r="G44" s="4">
        <f t="shared" si="2"/>
        <v>0.19978260869565218</v>
      </c>
      <c r="H44" s="4">
        <f t="shared" si="3"/>
        <v>844561</v>
      </c>
      <c r="I44" s="5">
        <f>SQRT(SUM('r-native-multi'!$D$3:D44)/COUNTIF($A$3:A44,"&lt;&gt;0"))</f>
        <v>73.913720615580544</v>
      </c>
    </row>
    <row r="45" spans="1:9">
      <c r="A45">
        <v>43</v>
      </c>
      <c r="B45">
        <v>5</v>
      </c>
      <c r="C45">
        <v>4600</v>
      </c>
      <c r="D45">
        <v>5585</v>
      </c>
      <c r="E45" s="4">
        <f t="shared" si="0"/>
        <v>0</v>
      </c>
      <c r="F45" s="4">
        <f t="shared" si="1"/>
        <v>985</v>
      </c>
      <c r="G45" s="4">
        <f t="shared" si="2"/>
        <v>0.21413043478260871</v>
      </c>
      <c r="H45" s="4">
        <f t="shared" si="3"/>
        <v>970225</v>
      </c>
      <c r="I45" s="5">
        <f>SQRT(SUM('r-native-multi'!$D$3:D45)/COUNTIF($A$3:A45,"&lt;&gt;0"))</f>
        <v>73.932873388242257</v>
      </c>
    </row>
    <row r="46" spans="1:9">
      <c r="A46">
        <v>44</v>
      </c>
      <c r="B46">
        <v>5</v>
      </c>
      <c r="C46">
        <v>4600</v>
      </c>
      <c r="D46">
        <v>5494</v>
      </c>
      <c r="E46" s="4">
        <f t="shared" si="0"/>
        <v>1</v>
      </c>
      <c r="F46" s="4">
        <f t="shared" si="1"/>
        <v>894</v>
      </c>
      <c r="G46" s="4">
        <f t="shared" si="2"/>
        <v>0.19434782608695653</v>
      </c>
      <c r="H46" s="4">
        <f t="shared" si="3"/>
        <v>799236</v>
      </c>
      <c r="I46" s="5">
        <f>SQRT(SUM('r-native-multi'!$D$3:D46)/COUNTIF($A$3:A46,"&lt;&gt;0"))</f>
        <v>73.937166198431925</v>
      </c>
    </row>
    <row r="47" spans="1:9">
      <c r="A47">
        <v>45</v>
      </c>
      <c r="B47">
        <v>5</v>
      </c>
      <c r="C47">
        <v>4600</v>
      </c>
      <c r="D47">
        <v>5595</v>
      </c>
      <c r="E47" s="4">
        <f t="shared" si="0"/>
        <v>0</v>
      </c>
      <c r="F47" s="4">
        <f t="shared" si="1"/>
        <v>995</v>
      </c>
      <c r="G47" s="4">
        <f t="shared" si="2"/>
        <v>0.21630434782608696</v>
      </c>
      <c r="H47" s="4">
        <f t="shared" si="3"/>
        <v>990025</v>
      </c>
      <c r="I47" s="5">
        <f>SQRT(SUM('r-native-multi'!$D$3:D47)/COUNTIF($A$3:A47,"&lt;&gt;0"))</f>
        <v>73.956443637830205</v>
      </c>
    </row>
    <row r="48" spans="1:9">
      <c r="A48">
        <v>46</v>
      </c>
      <c r="B48">
        <v>5</v>
      </c>
      <c r="C48">
        <v>4600</v>
      </c>
      <c r="D48">
        <v>5544</v>
      </c>
      <c r="E48" s="4">
        <f t="shared" si="0"/>
        <v>0</v>
      </c>
      <c r="F48" s="4">
        <f t="shared" si="1"/>
        <v>944</v>
      </c>
      <c r="G48" s="4">
        <f t="shared" si="2"/>
        <v>0.20521739130434782</v>
      </c>
      <c r="H48" s="4">
        <f t="shared" si="3"/>
        <v>891136</v>
      </c>
      <c r="I48" s="5">
        <f>SQRT(SUM('r-native-multi'!$D$3:D48)/COUNTIF($A$3:A48,"&lt;&gt;0"))</f>
        <v>73.967384116538</v>
      </c>
    </row>
    <row r="49" spans="1:9">
      <c r="A49">
        <v>47</v>
      </c>
      <c r="B49">
        <v>5</v>
      </c>
      <c r="C49">
        <v>4600</v>
      </c>
      <c r="D49">
        <v>5623</v>
      </c>
      <c r="E49" s="4">
        <f t="shared" si="0"/>
        <v>0</v>
      </c>
      <c r="F49" s="4">
        <f t="shared" si="1"/>
        <v>1023</v>
      </c>
      <c r="G49" s="4">
        <f t="shared" si="2"/>
        <v>0.22239130434782609</v>
      </c>
      <c r="H49" s="4">
        <f t="shared" si="3"/>
        <v>1046529</v>
      </c>
      <c r="I49" s="5">
        <f>SQRT(SUM('r-native-multi'!$D$3:D49)/COUNTIF($A$3:A49,"&lt;&gt;0"))</f>
        <v>73.989217155739311</v>
      </c>
    </row>
    <row r="50" spans="1:9">
      <c r="A50">
        <v>48</v>
      </c>
      <c r="B50">
        <v>5</v>
      </c>
      <c r="C50">
        <v>4600</v>
      </c>
      <c r="D50">
        <v>5512</v>
      </c>
      <c r="E50" s="4">
        <f t="shared" si="0"/>
        <v>1</v>
      </c>
      <c r="F50" s="4">
        <f t="shared" si="1"/>
        <v>912</v>
      </c>
      <c r="G50" s="4">
        <f t="shared" si="2"/>
        <v>0.19826086956521738</v>
      </c>
      <c r="H50" s="4">
        <f t="shared" si="3"/>
        <v>831744</v>
      </c>
      <c r="I50" s="5">
        <f>SQRT(SUM('r-native-multi'!$D$3:D50)/COUNTIF($A$3:A50,"&lt;&gt;0"))</f>
        <v>73.994509931480721</v>
      </c>
    </row>
    <row r="51" spans="1:9">
      <c r="A51">
        <v>49</v>
      </c>
      <c r="B51">
        <v>5</v>
      </c>
      <c r="C51">
        <v>4600</v>
      </c>
      <c r="D51">
        <v>5685</v>
      </c>
      <c r="E51" s="4">
        <f t="shared" si="0"/>
        <v>0</v>
      </c>
      <c r="F51" s="4">
        <f t="shared" si="1"/>
        <v>1085</v>
      </c>
      <c r="G51" s="4">
        <f t="shared" si="2"/>
        <v>0.2358695652173913</v>
      </c>
      <c r="H51" s="4">
        <f t="shared" si="3"/>
        <v>1177225</v>
      </c>
      <c r="I51" s="5">
        <f>SQRT(SUM('r-native-multi'!$D$3:D51)/COUNTIF($A$3:A51,"&lt;&gt;0"))</f>
        <v>74.023438097369549</v>
      </c>
    </row>
    <row r="52" spans="1:9">
      <c r="A52">
        <v>50</v>
      </c>
      <c r="B52">
        <v>5</v>
      </c>
      <c r="C52">
        <v>4600</v>
      </c>
      <c r="D52">
        <v>4529</v>
      </c>
      <c r="E52" s="4">
        <f t="shared" si="0"/>
        <v>1</v>
      </c>
      <c r="F52" s="4">
        <f t="shared" si="1"/>
        <v>71</v>
      </c>
      <c r="G52" s="4">
        <f t="shared" si="2"/>
        <v>1.5434782608695652E-2</v>
      </c>
      <c r="H52" s="4">
        <f t="shared" si="3"/>
        <v>5041</v>
      </c>
      <c r="I52" s="5">
        <f>SQRT(SUM('r-native-multi'!$D$3:D52)/COUNTIF($A$3:A52,"&lt;&gt;0"))</f>
        <v>73.894925400869042</v>
      </c>
    </row>
    <row r="53" spans="1:9">
      <c r="A53">
        <v>51</v>
      </c>
      <c r="B53">
        <v>5</v>
      </c>
      <c r="C53">
        <v>4600</v>
      </c>
      <c r="D53">
        <v>5507</v>
      </c>
      <c r="E53" s="4">
        <f t="shared" si="0"/>
        <v>1</v>
      </c>
      <c r="F53" s="4">
        <f t="shared" si="1"/>
        <v>907</v>
      </c>
      <c r="G53" s="4">
        <f t="shared" si="2"/>
        <v>0.19717391304347825</v>
      </c>
      <c r="H53" s="4">
        <f t="shared" si="3"/>
        <v>822649</v>
      </c>
      <c r="I53" s="5">
        <f>SQRT(SUM('r-native-multi'!$D$3:D53)/COUNTIF($A$3:A53,"&lt;&gt;0"))</f>
        <v>73.901099782206273</v>
      </c>
    </row>
    <row r="54" spans="1:9">
      <c r="A54">
        <v>52</v>
      </c>
      <c r="B54">
        <v>5</v>
      </c>
      <c r="C54">
        <v>4600</v>
      </c>
      <c r="D54">
        <v>5525</v>
      </c>
      <c r="E54" s="4">
        <f t="shared" si="0"/>
        <v>0</v>
      </c>
      <c r="F54" s="4">
        <f t="shared" si="1"/>
        <v>925</v>
      </c>
      <c r="G54" s="4">
        <f t="shared" si="2"/>
        <v>0.20108695652173914</v>
      </c>
      <c r="H54" s="4">
        <f t="shared" si="3"/>
        <v>855625</v>
      </c>
      <c r="I54" s="5">
        <f>SQRT(SUM('r-native-multi'!$D$3:D54)/COUNTIF($A$3:A54,"&lt;&gt;0"))</f>
        <v>73.909377983082464</v>
      </c>
    </row>
    <row r="55" spans="1:9">
      <c r="A55">
        <v>53</v>
      </c>
      <c r="B55">
        <v>5</v>
      </c>
      <c r="C55">
        <v>4600</v>
      </c>
      <c r="D55">
        <v>5292</v>
      </c>
      <c r="E55" s="4">
        <f t="shared" si="0"/>
        <v>1</v>
      </c>
      <c r="F55" s="4">
        <f t="shared" si="1"/>
        <v>692</v>
      </c>
      <c r="G55" s="4">
        <f t="shared" si="2"/>
        <v>0.15043478260869564</v>
      </c>
      <c r="H55" s="4">
        <f t="shared" si="3"/>
        <v>478864</v>
      </c>
      <c r="I55" s="5">
        <f>SQRT(SUM('r-native-multi'!$D$3:D55)/COUNTIF($A$3:A55,"&lt;&gt;0"))</f>
        <v>73.88759949064908</v>
      </c>
    </row>
    <row r="56" spans="1:9">
      <c r="A56">
        <v>54</v>
      </c>
      <c r="B56">
        <v>5</v>
      </c>
      <c r="C56">
        <v>4600</v>
      </c>
      <c r="D56">
        <v>5237</v>
      </c>
      <c r="E56" s="4">
        <f t="shared" si="0"/>
        <v>1</v>
      </c>
      <c r="F56" s="4">
        <f t="shared" si="1"/>
        <v>637</v>
      </c>
      <c r="G56" s="4">
        <f t="shared" si="2"/>
        <v>0.13847826086956522</v>
      </c>
      <c r="H56" s="4">
        <f t="shared" si="3"/>
        <v>405769</v>
      </c>
      <c r="I56" s="5">
        <f>SQRT(SUM('r-native-multi'!$D$3:D56)/COUNTIF($A$3:A56,"&lt;&gt;0"))</f>
        <v>73.85972691026727</v>
      </c>
    </row>
    <row r="57" spans="1:9">
      <c r="A57">
        <v>55</v>
      </c>
      <c r="B57">
        <v>5</v>
      </c>
      <c r="C57">
        <v>4600</v>
      </c>
      <c r="D57">
        <v>4666</v>
      </c>
      <c r="E57" s="4">
        <f t="shared" si="0"/>
        <v>1</v>
      </c>
      <c r="F57" s="4">
        <f t="shared" si="1"/>
        <v>66</v>
      </c>
      <c r="G57" s="4">
        <f t="shared" si="2"/>
        <v>1.4347826086956521E-2</v>
      </c>
      <c r="H57" s="4">
        <f t="shared" si="3"/>
        <v>4356</v>
      </c>
      <c r="I57" s="5">
        <f>SQRT(SUM('r-native-multi'!$D$3:D57)/COUNTIF($A$3:A57,"&lt;&gt;0"))</f>
        <v>73.762518197991938</v>
      </c>
    </row>
    <row r="58" spans="1:9">
      <c r="A58">
        <v>56</v>
      </c>
      <c r="B58">
        <v>5</v>
      </c>
      <c r="C58">
        <v>4600</v>
      </c>
      <c r="D58">
        <v>5215</v>
      </c>
      <c r="E58" s="4">
        <f t="shared" si="0"/>
        <v>1</v>
      </c>
      <c r="F58" s="4">
        <f t="shared" si="1"/>
        <v>615</v>
      </c>
      <c r="G58" s="4">
        <f t="shared" si="2"/>
        <v>0.13369565217391305</v>
      </c>
      <c r="H58" s="4">
        <f t="shared" si="3"/>
        <v>378225</v>
      </c>
      <c r="I58" s="5">
        <f>SQRT(SUM('r-native-multi'!$D$3:D58)/COUNTIF($A$3:A58,"&lt;&gt;0"))</f>
        <v>73.735168000079852</v>
      </c>
    </row>
    <row r="59" spans="1:9">
      <c r="A59">
        <v>57</v>
      </c>
      <c r="B59">
        <v>5</v>
      </c>
      <c r="C59">
        <v>4600</v>
      </c>
      <c r="D59">
        <v>5465</v>
      </c>
      <c r="E59" s="4">
        <f t="shared" si="0"/>
        <v>1</v>
      </c>
      <c r="F59" s="4">
        <f t="shared" si="1"/>
        <v>865</v>
      </c>
      <c r="G59" s="4">
        <f t="shared" si="2"/>
        <v>0.18804347826086956</v>
      </c>
      <c r="H59" s="4">
        <f t="shared" si="3"/>
        <v>748225</v>
      </c>
      <c r="I59" s="5">
        <f>SQRT(SUM('r-native-multi'!$D$3:D59)/COUNTIF($A$3:A59,"&lt;&gt;0"))</f>
        <v>73.738513824545123</v>
      </c>
    </row>
    <row r="60" spans="1:9">
      <c r="A60">
        <v>58</v>
      </c>
      <c r="B60">
        <v>5</v>
      </c>
      <c r="C60">
        <v>4600</v>
      </c>
      <c r="D60">
        <v>5154</v>
      </c>
      <c r="E60" s="4">
        <f t="shared" si="0"/>
        <v>1</v>
      </c>
      <c r="F60" s="4">
        <f t="shared" si="1"/>
        <v>554</v>
      </c>
      <c r="G60" s="4">
        <f t="shared" si="2"/>
        <v>0.12043478260869565</v>
      </c>
      <c r="H60" s="4">
        <f t="shared" si="3"/>
        <v>306916</v>
      </c>
      <c r="I60" s="5">
        <f>SQRT(SUM('r-native-multi'!$D$3:D60)/COUNTIF($A$3:A60,"&lt;&gt;0"))</f>
        <v>73.705378084782183</v>
      </c>
    </row>
    <row r="61" spans="1:9">
      <c r="A61">
        <v>59</v>
      </c>
      <c r="B61">
        <v>5</v>
      </c>
      <c r="C61">
        <v>4600</v>
      </c>
      <c r="D61">
        <v>5578</v>
      </c>
      <c r="E61" s="4">
        <f t="shared" si="0"/>
        <v>0</v>
      </c>
      <c r="F61" s="4">
        <f t="shared" si="1"/>
        <v>978</v>
      </c>
      <c r="G61" s="4">
        <f t="shared" si="2"/>
        <v>0.21260869565217391</v>
      </c>
      <c r="H61" s="4">
        <f t="shared" si="3"/>
        <v>956484</v>
      </c>
      <c r="I61" s="5">
        <f>SQRT(SUM('r-native-multi'!$D$3:D61)/COUNTIF($A$3:A61,"&lt;&gt;0"))</f>
        <v>73.72210762412027</v>
      </c>
    </row>
    <row r="62" spans="1:9">
      <c r="A62">
        <v>60</v>
      </c>
      <c r="B62">
        <v>5</v>
      </c>
      <c r="C62">
        <v>4600</v>
      </c>
      <c r="D62">
        <v>5442</v>
      </c>
      <c r="E62" s="4">
        <f t="shared" si="0"/>
        <v>1</v>
      </c>
      <c r="F62" s="4">
        <f t="shared" si="1"/>
        <v>842</v>
      </c>
      <c r="G62" s="4">
        <f t="shared" si="2"/>
        <v>0.18304347826086956</v>
      </c>
      <c r="H62" s="4">
        <f t="shared" si="3"/>
        <v>708964</v>
      </c>
      <c r="I62" s="5">
        <f>SQRT(SUM('r-native-multi'!$D$3:D62)/COUNTIF($A$3:A62,"&lt;&gt;0"))</f>
        <v>73.722904627169072</v>
      </c>
    </row>
    <row r="63" spans="1:9">
      <c r="A63">
        <v>61</v>
      </c>
      <c r="B63">
        <v>5</v>
      </c>
      <c r="C63">
        <v>4600</v>
      </c>
      <c r="D63">
        <v>5495</v>
      </c>
      <c r="E63" s="4">
        <f t="shared" si="0"/>
        <v>1</v>
      </c>
      <c r="F63" s="4">
        <f t="shared" si="1"/>
        <v>895</v>
      </c>
      <c r="G63" s="4">
        <f t="shared" si="2"/>
        <v>0.19456521739130433</v>
      </c>
      <c r="H63" s="4">
        <f t="shared" si="3"/>
        <v>801025</v>
      </c>
      <c r="I63" s="5">
        <f>SQRT(SUM('r-native-multi'!$D$3:D63)/COUNTIF($A$3:A63,"&lt;&gt;0"))</f>
        <v>73.729567883772859</v>
      </c>
    </row>
    <row r="64" spans="1:9">
      <c r="A64">
        <v>62</v>
      </c>
      <c r="B64">
        <v>5</v>
      </c>
      <c r="C64">
        <v>4600</v>
      </c>
      <c r="D64">
        <v>5395</v>
      </c>
      <c r="E64" s="4">
        <f t="shared" si="0"/>
        <v>1</v>
      </c>
      <c r="F64" s="4">
        <f t="shared" si="1"/>
        <v>795</v>
      </c>
      <c r="G64" s="4">
        <f t="shared" si="2"/>
        <v>0.17282608695652174</v>
      </c>
      <c r="H64" s="4">
        <f t="shared" si="3"/>
        <v>632025</v>
      </c>
      <c r="I64" s="5">
        <f>SQRT(SUM('r-native-multi'!$D$3:D64)/COUNTIF($A$3:A64,"&lt;&gt;0"))</f>
        <v>73.725077801072501</v>
      </c>
    </row>
    <row r="65" spans="1:9">
      <c r="A65">
        <v>63</v>
      </c>
      <c r="B65">
        <v>5</v>
      </c>
      <c r="C65">
        <v>4600</v>
      </c>
      <c r="D65">
        <v>5473</v>
      </c>
      <c r="E65" s="4">
        <f t="shared" si="0"/>
        <v>1</v>
      </c>
      <c r="F65" s="4">
        <f t="shared" si="1"/>
        <v>873</v>
      </c>
      <c r="G65" s="4">
        <f t="shared" si="2"/>
        <v>0.18978260869565217</v>
      </c>
      <c r="H65" s="4">
        <f t="shared" si="3"/>
        <v>762129</v>
      </c>
      <c r="I65" s="5">
        <f>SQRT(SUM('r-native-multi'!$D$3:D65)/COUNTIF($A$3:A65,"&lt;&gt;0"))</f>
        <v>73.729126720612442</v>
      </c>
    </row>
    <row r="66" spans="1:9">
      <c r="A66">
        <v>64</v>
      </c>
      <c r="B66">
        <v>5</v>
      </c>
      <c r="C66">
        <v>4600</v>
      </c>
      <c r="D66">
        <v>5464</v>
      </c>
      <c r="E66" s="4">
        <f t="shared" si="0"/>
        <v>1</v>
      </c>
      <c r="F66" s="4">
        <f t="shared" si="1"/>
        <v>864</v>
      </c>
      <c r="G66" s="4">
        <f t="shared" si="2"/>
        <v>0.18782608695652173</v>
      </c>
      <c r="H66" s="4">
        <f t="shared" si="3"/>
        <v>746496</v>
      </c>
      <c r="I66" s="5">
        <f>SQRT(SUM('r-native-multi'!$D$3:D66)/COUNTIF($A$3:A66,"&lt;&gt;0"))</f>
        <v>73.732095284211198</v>
      </c>
    </row>
    <row r="67" spans="1:9">
      <c r="A67">
        <v>65</v>
      </c>
      <c r="B67">
        <v>5</v>
      </c>
      <c r="C67">
        <v>4600</v>
      </c>
      <c r="D67">
        <v>5234</v>
      </c>
      <c r="E67" s="4">
        <f t="shared" si="0"/>
        <v>1</v>
      </c>
      <c r="F67" s="4">
        <f t="shared" si="1"/>
        <v>634</v>
      </c>
      <c r="G67" s="4">
        <f t="shared" si="2"/>
        <v>0.13782608695652174</v>
      </c>
      <c r="H67" s="4">
        <f t="shared" si="3"/>
        <v>401956</v>
      </c>
      <c r="I67" s="5">
        <f>SQRT(SUM('r-native-multi'!$D$3:D67)/COUNTIF($A$3:A67,"&lt;&gt;0"))</f>
        <v>73.710974029025635</v>
      </c>
    </row>
    <row r="68" spans="1:9">
      <c r="A68">
        <v>66</v>
      </c>
      <c r="B68">
        <v>5</v>
      </c>
      <c r="C68">
        <v>4600</v>
      </c>
      <c r="D68">
        <v>5455</v>
      </c>
      <c r="E68" s="4">
        <f t="shared" ref="E68:E131" si="4">IF(AND(D68&lt;=C68*1.2,D68&gt;=C68*0.8),1,0)</f>
        <v>1</v>
      </c>
      <c r="F68" s="4">
        <f t="shared" ref="F68:F131" si="5">ABS(C68-D68)</f>
        <v>855</v>
      </c>
      <c r="G68" s="4">
        <f t="shared" ref="G68:G131" si="6">ABS(C68-D68)/C68</f>
        <v>0.18586956521739131</v>
      </c>
      <c r="H68" s="4">
        <f t="shared" ref="H68:H131" si="7">POWER(F68,2)</f>
        <v>731025</v>
      </c>
      <c r="I68" s="5">
        <f>SQRT(SUM('r-native-multi'!$D$3:D68)/COUNTIF($A$3:A68,"&lt;&gt;0"))</f>
        <v>73.713203455258707</v>
      </c>
    </row>
    <row r="69" spans="1:9">
      <c r="A69">
        <v>67</v>
      </c>
      <c r="B69">
        <v>5</v>
      </c>
      <c r="C69">
        <v>4600</v>
      </c>
      <c r="D69">
        <v>5500</v>
      </c>
      <c r="E69" s="4">
        <f t="shared" si="4"/>
        <v>1</v>
      </c>
      <c r="F69" s="4">
        <f t="shared" si="5"/>
        <v>900</v>
      </c>
      <c r="G69" s="4">
        <f t="shared" si="6"/>
        <v>0.19565217391304349</v>
      </c>
      <c r="H69" s="4">
        <f t="shared" si="7"/>
        <v>810000</v>
      </c>
      <c r="I69" s="5">
        <f>SQRT(SUM('r-native-multi'!$D$3:D69)/COUNTIF($A$3:A69,"&lt;&gt;0"))</f>
        <v>73.719921769299532</v>
      </c>
    </row>
    <row r="70" spans="1:9">
      <c r="A70">
        <v>68</v>
      </c>
      <c r="B70">
        <v>5</v>
      </c>
      <c r="C70">
        <v>4600</v>
      </c>
      <c r="D70">
        <v>5459</v>
      </c>
      <c r="E70" s="4">
        <f t="shared" si="4"/>
        <v>1</v>
      </c>
      <c r="F70" s="4">
        <f t="shared" si="5"/>
        <v>859</v>
      </c>
      <c r="G70" s="4">
        <f t="shared" si="6"/>
        <v>0.1867391304347826</v>
      </c>
      <c r="H70" s="4">
        <f t="shared" si="7"/>
        <v>737881</v>
      </c>
      <c r="I70" s="5">
        <f>SQRT(SUM('r-native-multi'!$D$3:D70)/COUNTIF($A$3:A70,"&lt;&gt;0"))</f>
        <v>73.722352744046674</v>
      </c>
    </row>
    <row r="71" spans="1:9">
      <c r="A71">
        <v>69</v>
      </c>
      <c r="B71">
        <v>5</v>
      </c>
      <c r="C71">
        <v>4600</v>
      </c>
      <c r="D71">
        <v>5616</v>
      </c>
      <c r="E71" s="4">
        <f t="shared" si="4"/>
        <v>0</v>
      </c>
      <c r="F71" s="4">
        <f t="shared" si="5"/>
        <v>1016</v>
      </c>
      <c r="G71" s="4">
        <f t="shared" si="6"/>
        <v>0.22086956521739132</v>
      </c>
      <c r="H71" s="4">
        <f t="shared" si="7"/>
        <v>1032256</v>
      </c>
      <c r="I71" s="5">
        <f>SQRT(SUM('r-native-multi'!$D$3:D71)/COUNTIF($A$3:A71,"&lt;&gt;0"))</f>
        <v>73.740143040627288</v>
      </c>
    </row>
    <row r="72" spans="1:9">
      <c r="A72">
        <v>70</v>
      </c>
      <c r="B72">
        <v>5</v>
      </c>
      <c r="C72">
        <v>4600</v>
      </c>
      <c r="D72">
        <v>5486</v>
      </c>
      <c r="E72" s="4">
        <f t="shared" si="4"/>
        <v>1</v>
      </c>
      <c r="F72" s="4">
        <f t="shared" si="5"/>
        <v>886</v>
      </c>
      <c r="G72" s="4">
        <f t="shared" si="6"/>
        <v>0.19260869565217392</v>
      </c>
      <c r="H72" s="4">
        <f t="shared" si="7"/>
        <v>784996</v>
      </c>
      <c r="I72" s="5">
        <f>SQRT(SUM('r-native-multi'!$D$3:D72)/COUNTIF($A$3:A72,"&lt;&gt;0"))</f>
        <v>73.744830327284632</v>
      </c>
    </row>
    <row r="73" spans="1:9">
      <c r="A73">
        <v>71</v>
      </c>
      <c r="B73">
        <v>5</v>
      </c>
      <c r="C73">
        <v>4600</v>
      </c>
      <c r="D73">
        <v>5292</v>
      </c>
      <c r="E73" s="4">
        <f t="shared" si="4"/>
        <v>1</v>
      </c>
      <c r="F73" s="4">
        <f t="shared" si="5"/>
        <v>692</v>
      </c>
      <c r="G73" s="4">
        <f t="shared" si="6"/>
        <v>0.15043478260869564</v>
      </c>
      <c r="H73" s="4">
        <f t="shared" si="7"/>
        <v>478864</v>
      </c>
      <c r="I73" s="5">
        <f>SQRT(SUM('r-native-multi'!$D$3:D73)/COUNTIF($A$3:A73,"&lt;&gt;0"))</f>
        <v>73.73085810310171</v>
      </c>
    </row>
    <row r="74" spans="1:9">
      <c r="A74">
        <v>72</v>
      </c>
      <c r="B74">
        <v>5</v>
      </c>
      <c r="C74">
        <v>4600</v>
      </c>
      <c r="D74">
        <v>5564</v>
      </c>
      <c r="E74" s="4">
        <f t="shared" si="4"/>
        <v>0</v>
      </c>
      <c r="F74" s="4">
        <f t="shared" si="5"/>
        <v>964</v>
      </c>
      <c r="G74" s="4">
        <f t="shared" si="6"/>
        <v>0.20956521739130435</v>
      </c>
      <c r="H74" s="4">
        <f t="shared" si="7"/>
        <v>929296</v>
      </c>
      <c r="I74" s="5">
        <f>SQRT(SUM('r-native-multi'!$D$3:D74)/COUNTIF($A$3:A74,"&lt;&gt;0"))</f>
        <v>73.742890429443364</v>
      </c>
    </row>
    <row r="75" spans="1:9">
      <c r="A75">
        <v>73</v>
      </c>
      <c r="B75">
        <v>5</v>
      </c>
      <c r="C75">
        <v>4600</v>
      </c>
      <c r="D75">
        <v>5379</v>
      </c>
      <c r="E75" s="4">
        <f t="shared" si="4"/>
        <v>1</v>
      </c>
      <c r="F75" s="4">
        <f t="shared" si="5"/>
        <v>779</v>
      </c>
      <c r="G75" s="4">
        <f t="shared" si="6"/>
        <v>0.16934782608695653</v>
      </c>
      <c r="H75" s="4">
        <f t="shared" si="7"/>
        <v>606841</v>
      </c>
      <c r="I75" s="5">
        <f>SQRT(SUM('r-native-multi'!$D$3:D75)/COUNTIF($A$3:A75,"&lt;&gt;0"))</f>
        <v>73.737408955373894</v>
      </c>
    </row>
    <row r="76" spans="1:9">
      <c r="A76">
        <v>74</v>
      </c>
      <c r="B76">
        <v>5</v>
      </c>
      <c r="C76">
        <v>4600</v>
      </c>
      <c r="D76">
        <v>5592</v>
      </c>
      <c r="E76" s="4">
        <f t="shared" si="4"/>
        <v>0</v>
      </c>
      <c r="F76" s="4">
        <f t="shared" si="5"/>
        <v>992</v>
      </c>
      <c r="G76" s="4">
        <f t="shared" si="6"/>
        <v>0.21565217391304348</v>
      </c>
      <c r="H76" s="4">
        <f t="shared" si="7"/>
        <v>984064</v>
      </c>
      <c r="I76" s="5">
        <f>SQRT(SUM('r-native-multi'!$D$3:D76)/COUNTIF($A$3:A76,"&lt;&gt;0"))</f>
        <v>73.751591828904253</v>
      </c>
    </row>
    <row r="77" spans="1:9">
      <c r="A77">
        <v>75</v>
      </c>
      <c r="B77">
        <v>5</v>
      </c>
      <c r="C77">
        <v>4600</v>
      </c>
      <c r="D77">
        <v>5624</v>
      </c>
      <c r="E77" s="4">
        <f t="shared" si="4"/>
        <v>0</v>
      </c>
      <c r="F77" s="4">
        <f t="shared" si="5"/>
        <v>1024</v>
      </c>
      <c r="G77" s="4">
        <f t="shared" si="6"/>
        <v>0.22260869565217392</v>
      </c>
      <c r="H77" s="4">
        <f t="shared" si="7"/>
        <v>1048576</v>
      </c>
      <c r="I77" s="5">
        <f>SQRT(SUM('r-native-multi'!$D$3:D77)/COUNTIF($A$3:A77,"&lt;&gt;0"))</f>
        <v>73.768285868657685</v>
      </c>
    </row>
    <row r="78" spans="1:9">
      <c r="A78">
        <v>76</v>
      </c>
      <c r="B78">
        <v>5</v>
      </c>
      <c r="C78">
        <v>4600</v>
      </c>
      <c r="D78">
        <v>5048</v>
      </c>
      <c r="E78" s="4">
        <f t="shared" si="4"/>
        <v>1</v>
      </c>
      <c r="F78" s="4">
        <f t="shared" si="5"/>
        <v>448</v>
      </c>
      <c r="G78" s="4">
        <f t="shared" si="6"/>
        <v>9.7391304347826085E-2</v>
      </c>
      <c r="H78" s="4">
        <f t="shared" si="7"/>
        <v>200704</v>
      </c>
      <c r="I78" s="5">
        <f>SQRT(SUM('r-native-multi'!$D$3:D78)/COUNTIF($A$3:A78,"&lt;&gt;0"))</f>
        <v>73.73316043252467</v>
      </c>
    </row>
    <row r="79" spans="1:9">
      <c r="A79">
        <v>77</v>
      </c>
      <c r="B79">
        <v>5</v>
      </c>
      <c r="C79">
        <v>4600</v>
      </c>
      <c r="D79">
        <v>4734</v>
      </c>
      <c r="E79" s="4">
        <f t="shared" si="4"/>
        <v>1</v>
      </c>
      <c r="F79" s="4">
        <f t="shared" si="5"/>
        <v>134</v>
      </c>
      <c r="G79" s="4">
        <f t="shared" si="6"/>
        <v>2.9130434782608697E-2</v>
      </c>
      <c r="H79" s="4">
        <f t="shared" si="7"/>
        <v>17956</v>
      </c>
      <c r="I79" s="5">
        <f>SQRT(SUM('r-native-multi'!$D$3:D79)/COUNTIF($A$3:A79,"&lt;&gt;0"))</f>
        <v>73.671259969234583</v>
      </c>
    </row>
    <row r="80" spans="1:9">
      <c r="A80">
        <v>78</v>
      </c>
      <c r="B80">
        <v>5</v>
      </c>
      <c r="C80">
        <v>4600</v>
      </c>
      <c r="D80">
        <v>5372</v>
      </c>
      <c r="E80" s="4">
        <f t="shared" si="4"/>
        <v>1</v>
      </c>
      <c r="F80" s="4">
        <f t="shared" si="5"/>
        <v>772</v>
      </c>
      <c r="G80" s="4">
        <f t="shared" si="6"/>
        <v>0.16782608695652174</v>
      </c>
      <c r="H80" s="4">
        <f t="shared" si="7"/>
        <v>595984</v>
      </c>
      <c r="I80" s="5">
        <f>SQRT(SUM('r-native-multi'!$D$3:D80)/COUNTIF($A$3:A80,"&lt;&gt;0"))</f>
        <v>73.666434620820283</v>
      </c>
    </row>
    <row r="81" spans="1:9">
      <c r="A81">
        <v>79</v>
      </c>
      <c r="B81">
        <v>5</v>
      </c>
      <c r="C81">
        <v>4600</v>
      </c>
      <c r="D81">
        <v>5456</v>
      </c>
      <c r="E81" s="4">
        <f t="shared" si="4"/>
        <v>1</v>
      </c>
      <c r="F81" s="4">
        <f t="shared" si="5"/>
        <v>856</v>
      </c>
      <c r="G81" s="4">
        <f t="shared" si="6"/>
        <v>0.18608695652173912</v>
      </c>
      <c r="H81" s="4">
        <f t="shared" si="7"/>
        <v>732736</v>
      </c>
      <c r="I81" s="5">
        <f>SQRT(SUM('r-native-multi'!$D$3:D81)/COUNTIF($A$3:A81,"&lt;&gt;0"))</f>
        <v>73.668948167125563</v>
      </c>
    </row>
    <row r="82" spans="1:9">
      <c r="A82">
        <v>80</v>
      </c>
      <c r="B82">
        <v>5</v>
      </c>
      <c r="C82">
        <v>4600</v>
      </c>
      <c r="D82">
        <v>5528</v>
      </c>
      <c r="E82" s="4">
        <f t="shared" si="4"/>
        <v>0</v>
      </c>
      <c r="F82" s="4">
        <f t="shared" si="5"/>
        <v>928</v>
      </c>
      <c r="G82" s="4">
        <f t="shared" si="6"/>
        <v>0.20173913043478262</v>
      </c>
      <c r="H82" s="4">
        <f t="shared" si="7"/>
        <v>861184</v>
      </c>
      <c r="I82" s="5">
        <f>SQRT(SUM('r-native-multi'!$D$3:D82)/COUNTIF($A$3:A82,"&lt;&gt;0"))</f>
        <v>73.677506743917448</v>
      </c>
    </row>
    <row r="83" spans="1:9">
      <c r="A83">
        <v>81</v>
      </c>
      <c r="B83">
        <v>5</v>
      </c>
      <c r="C83">
        <v>4600</v>
      </c>
      <c r="D83">
        <v>5577</v>
      </c>
      <c r="E83" s="4">
        <f t="shared" si="4"/>
        <v>0</v>
      </c>
      <c r="F83" s="4">
        <f t="shared" si="5"/>
        <v>977</v>
      </c>
      <c r="G83" s="4">
        <f t="shared" si="6"/>
        <v>0.21239130434782608</v>
      </c>
      <c r="H83" s="4">
        <f t="shared" si="7"/>
        <v>954529</v>
      </c>
      <c r="I83" s="5">
        <f>SQRT(SUM('r-native-multi'!$D$3:D83)/COUNTIF($A$3:A83,"&lt;&gt;0"))</f>
        <v>73.689957772706109</v>
      </c>
    </row>
    <row r="84" spans="1:9">
      <c r="A84">
        <v>82</v>
      </c>
      <c r="B84">
        <v>5</v>
      </c>
      <c r="C84">
        <v>4600</v>
      </c>
      <c r="D84">
        <v>5493</v>
      </c>
      <c r="E84" s="4">
        <f t="shared" si="4"/>
        <v>1</v>
      </c>
      <c r="F84" s="4">
        <f t="shared" si="5"/>
        <v>893</v>
      </c>
      <c r="G84" s="4">
        <f t="shared" si="6"/>
        <v>0.19413043478260869</v>
      </c>
      <c r="H84" s="4">
        <f t="shared" si="7"/>
        <v>797449</v>
      </c>
      <c r="I84" s="5">
        <f>SQRT(SUM('r-native-multi'!$D$3:D84)/COUNTIF($A$3:A84,"&lt;&gt;0"))</f>
        <v>73.695153231105351</v>
      </c>
    </row>
    <row r="85" spans="1:9">
      <c r="A85">
        <v>83</v>
      </c>
      <c r="B85">
        <v>5</v>
      </c>
      <c r="C85">
        <v>4600</v>
      </c>
      <c r="D85">
        <v>5586</v>
      </c>
      <c r="E85" s="4">
        <f t="shared" si="4"/>
        <v>0</v>
      </c>
      <c r="F85" s="4">
        <f t="shared" si="5"/>
        <v>986</v>
      </c>
      <c r="G85" s="4">
        <f t="shared" si="6"/>
        <v>0.21434782608695652</v>
      </c>
      <c r="H85" s="4">
        <f t="shared" si="7"/>
        <v>972196</v>
      </c>
      <c r="I85" s="5">
        <f>SQRT(SUM('r-native-multi'!$D$3:D85)/COUNTIF($A$3:A85,"&lt;&gt;0"))</f>
        <v>73.707824370917209</v>
      </c>
    </row>
    <row r="86" spans="1:9">
      <c r="A86">
        <v>84</v>
      </c>
      <c r="B86">
        <v>5</v>
      </c>
      <c r="C86">
        <v>4600</v>
      </c>
      <c r="D86">
        <v>5559</v>
      </c>
      <c r="E86" s="4">
        <f t="shared" si="4"/>
        <v>0</v>
      </c>
      <c r="F86" s="4">
        <f t="shared" si="5"/>
        <v>959</v>
      </c>
      <c r="G86" s="4">
        <f t="shared" si="6"/>
        <v>0.20847826086956522</v>
      </c>
      <c r="H86" s="4">
        <f t="shared" si="7"/>
        <v>919681</v>
      </c>
      <c r="I86" s="5">
        <f>SQRT(SUM('r-native-multi'!$D$3:D86)/COUNTIF($A$3:A86,"&lt;&gt;0"))</f>
        <v>73.718011626028272</v>
      </c>
    </row>
    <row r="87" spans="1:9">
      <c r="A87">
        <v>85</v>
      </c>
      <c r="B87">
        <v>5</v>
      </c>
      <c r="C87">
        <v>4600</v>
      </c>
      <c r="D87">
        <v>5550</v>
      </c>
      <c r="E87" s="4">
        <f t="shared" si="4"/>
        <v>0</v>
      </c>
      <c r="F87" s="4">
        <f t="shared" si="5"/>
        <v>950</v>
      </c>
      <c r="G87" s="4">
        <f t="shared" si="6"/>
        <v>0.20652173913043478</v>
      </c>
      <c r="H87" s="4">
        <f t="shared" si="7"/>
        <v>902500</v>
      </c>
      <c r="I87" s="5">
        <f>SQRT(SUM('r-native-multi'!$D$3:D87)/COUNTIF($A$3:A87,"&lt;&gt;0"))</f>
        <v>73.727239758131063</v>
      </c>
    </row>
    <row r="88" spans="1:9">
      <c r="A88">
        <v>86</v>
      </c>
      <c r="B88">
        <v>5</v>
      </c>
      <c r="C88">
        <v>4600</v>
      </c>
      <c r="D88">
        <v>5562</v>
      </c>
      <c r="E88" s="4">
        <f t="shared" si="4"/>
        <v>0</v>
      </c>
      <c r="F88" s="4">
        <f t="shared" si="5"/>
        <v>962</v>
      </c>
      <c r="G88" s="4">
        <f t="shared" si="6"/>
        <v>0.2091304347826087</v>
      </c>
      <c r="H88" s="4">
        <f t="shared" si="7"/>
        <v>925444</v>
      </c>
      <c r="I88" s="5">
        <f>SQRT(SUM('r-native-multi'!$D$3:D88)/COUNTIF($A$3:A88,"&lt;&gt;0"))</f>
        <v>73.737198337098832</v>
      </c>
    </row>
    <row r="89" spans="1:9">
      <c r="A89">
        <v>87</v>
      </c>
      <c r="B89">
        <v>5</v>
      </c>
      <c r="C89">
        <v>4600</v>
      </c>
      <c r="D89">
        <v>5510</v>
      </c>
      <c r="E89" s="4">
        <f t="shared" si="4"/>
        <v>1</v>
      </c>
      <c r="F89" s="4">
        <f t="shared" si="5"/>
        <v>910</v>
      </c>
      <c r="G89" s="4">
        <f t="shared" si="6"/>
        <v>0.19782608695652174</v>
      </c>
      <c r="H89" s="4">
        <f t="shared" si="7"/>
        <v>828100</v>
      </c>
      <c r="I89" s="5">
        <f>SQRT(SUM('r-native-multi'!$D$3:D89)/COUNTIF($A$3:A89,"&lt;&gt;0"))</f>
        <v>73.742874193055926</v>
      </c>
    </row>
    <row r="90" spans="1:9">
      <c r="A90">
        <v>88</v>
      </c>
      <c r="B90">
        <v>5</v>
      </c>
      <c r="C90">
        <v>4600</v>
      </c>
      <c r="D90">
        <v>5539</v>
      </c>
      <c r="E90" s="4">
        <f t="shared" si="4"/>
        <v>0</v>
      </c>
      <c r="F90" s="4">
        <f t="shared" si="5"/>
        <v>939</v>
      </c>
      <c r="G90" s="4">
        <f t="shared" si="6"/>
        <v>0.2041304347826087</v>
      </c>
      <c r="H90" s="4">
        <f t="shared" si="7"/>
        <v>881721</v>
      </c>
      <c r="I90" s="5">
        <f>SQRT(SUM('r-native-multi'!$D$3:D90)/COUNTIF($A$3:A90,"&lt;&gt;0"))</f>
        <v>73.750654850713644</v>
      </c>
    </row>
    <row r="91" spans="1:9">
      <c r="A91">
        <v>89</v>
      </c>
      <c r="B91">
        <v>5</v>
      </c>
      <c r="C91">
        <v>4600</v>
      </c>
      <c r="D91">
        <v>5386</v>
      </c>
      <c r="E91" s="4">
        <f t="shared" si="4"/>
        <v>1</v>
      </c>
      <c r="F91" s="4">
        <f t="shared" si="5"/>
        <v>786</v>
      </c>
      <c r="G91" s="4">
        <f t="shared" si="6"/>
        <v>0.1708695652173913</v>
      </c>
      <c r="H91" s="4">
        <f t="shared" si="7"/>
        <v>617796</v>
      </c>
      <c r="I91" s="5">
        <f>SQRT(SUM('r-native-multi'!$D$3:D91)/COUNTIF($A$3:A91,"&lt;&gt;0"))</f>
        <v>73.746605330366279</v>
      </c>
    </row>
    <row r="92" spans="1:9">
      <c r="A92">
        <v>90</v>
      </c>
      <c r="B92">
        <v>5</v>
      </c>
      <c r="C92">
        <v>4600</v>
      </c>
      <c r="D92">
        <v>5531</v>
      </c>
      <c r="E92" s="4">
        <f t="shared" si="4"/>
        <v>0</v>
      </c>
      <c r="F92" s="4">
        <f t="shared" si="5"/>
        <v>931</v>
      </c>
      <c r="G92" s="4">
        <f t="shared" si="6"/>
        <v>0.2023913043478261</v>
      </c>
      <c r="H92" s="4">
        <f t="shared" si="7"/>
        <v>866761</v>
      </c>
      <c r="I92" s="5">
        <f>SQRT(SUM('r-native-multi'!$D$3:D92)/COUNTIF($A$3:A92,"&lt;&gt;0"))</f>
        <v>73.753568651888898</v>
      </c>
    </row>
    <row r="93" spans="1:9">
      <c r="A93">
        <v>91</v>
      </c>
      <c r="B93">
        <v>5</v>
      </c>
      <c r="C93">
        <v>4600</v>
      </c>
      <c r="D93">
        <v>5536</v>
      </c>
      <c r="E93" s="4">
        <f t="shared" si="4"/>
        <v>0</v>
      </c>
      <c r="F93" s="4">
        <f t="shared" si="5"/>
        <v>936</v>
      </c>
      <c r="G93" s="4">
        <f t="shared" si="6"/>
        <v>0.20347826086956522</v>
      </c>
      <c r="H93" s="4">
        <f t="shared" si="7"/>
        <v>876096</v>
      </c>
      <c r="I93" s="5">
        <f>SQRT(SUM('r-native-multi'!$D$3:D93)/COUNTIF($A$3:A93,"&lt;&gt;0"))</f>
        <v>73.760750753014648</v>
      </c>
    </row>
    <row r="94" spans="1:9">
      <c r="A94">
        <v>92</v>
      </c>
      <c r="B94">
        <v>5</v>
      </c>
      <c r="C94">
        <v>4600</v>
      </c>
      <c r="D94">
        <v>5525</v>
      </c>
      <c r="E94" s="4">
        <f t="shared" si="4"/>
        <v>0</v>
      </c>
      <c r="F94" s="4">
        <f t="shared" si="5"/>
        <v>925</v>
      </c>
      <c r="G94" s="4">
        <f t="shared" si="6"/>
        <v>0.20108695652173914</v>
      </c>
      <c r="H94" s="4">
        <f t="shared" si="7"/>
        <v>855625</v>
      </c>
      <c r="I94" s="5">
        <f>SQRT(SUM('r-native-multi'!$D$3:D94)/COUNTIF($A$3:A94,"&lt;&gt;0"))</f>
        <v>73.766965624128147</v>
      </c>
    </row>
    <row r="95" spans="1:9">
      <c r="A95">
        <v>93</v>
      </c>
      <c r="B95">
        <v>5</v>
      </c>
      <c r="C95">
        <v>4600</v>
      </c>
      <c r="D95">
        <v>5531</v>
      </c>
      <c r="E95" s="4">
        <f t="shared" si="4"/>
        <v>0</v>
      </c>
      <c r="F95" s="4">
        <f t="shared" si="5"/>
        <v>931</v>
      </c>
      <c r="G95" s="4">
        <f t="shared" si="6"/>
        <v>0.2023913043478261</v>
      </c>
      <c r="H95" s="4">
        <f t="shared" si="7"/>
        <v>866761</v>
      </c>
      <c r="I95" s="5">
        <f>SQRT(SUM('r-native-multi'!$D$3:D95)/COUNTIF($A$3:A95,"&lt;&gt;0"))</f>
        <v>73.77348359485562</v>
      </c>
    </row>
    <row r="96" spans="1:9">
      <c r="A96">
        <v>94</v>
      </c>
      <c r="B96">
        <v>5</v>
      </c>
      <c r="C96">
        <v>4600</v>
      </c>
      <c r="D96">
        <v>5544</v>
      </c>
      <c r="E96" s="4">
        <f t="shared" si="4"/>
        <v>0</v>
      </c>
      <c r="F96" s="4">
        <f t="shared" si="5"/>
        <v>944</v>
      </c>
      <c r="G96" s="4">
        <f t="shared" si="6"/>
        <v>0.20521739130434782</v>
      </c>
      <c r="H96" s="4">
        <f t="shared" si="7"/>
        <v>891136</v>
      </c>
      <c r="I96" s="5">
        <f>SQRT(SUM('r-native-multi'!$D$3:D96)/COUNTIF($A$3:A96,"&lt;&gt;0"))</f>
        <v>73.780799555024643</v>
      </c>
    </row>
    <row r="97" spans="1:9">
      <c r="A97">
        <v>95</v>
      </c>
      <c r="B97">
        <v>5</v>
      </c>
      <c r="C97">
        <v>4600</v>
      </c>
      <c r="D97">
        <v>5550</v>
      </c>
      <c r="E97" s="4">
        <f t="shared" si="4"/>
        <v>0</v>
      </c>
      <c r="F97" s="4">
        <f t="shared" si="5"/>
        <v>950</v>
      </c>
      <c r="G97" s="4">
        <f t="shared" si="6"/>
        <v>0.20652173913043478</v>
      </c>
      <c r="H97" s="4">
        <f t="shared" si="7"/>
        <v>902500</v>
      </c>
      <c r="I97" s="5">
        <f>SQRT(SUM('r-native-multi'!$D$3:D97)/COUNTIF($A$3:A97,"&lt;&gt;0"))</f>
        <v>73.788388759949726</v>
      </c>
    </row>
    <row r="98" spans="1:9">
      <c r="A98">
        <v>96</v>
      </c>
      <c r="B98">
        <v>5</v>
      </c>
      <c r="C98">
        <v>4600</v>
      </c>
      <c r="D98">
        <v>5518</v>
      </c>
      <c r="E98" s="4">
        <f t="shared" si="4"/>
        <v>1</v>
      </c>
      <c r="F98" s="4">
        <f t="shared" si="5"/>
        <v>918</v>
      </c>
      <c r="G98" s="4">
        <f t="shared" si="6"/>
        <v>0.19956521739130434</v>
      </c>
      <c r="H98" s="4">
        <f t="shared" si="7"/>
        <v>842724</v>
      </c>
      <c r="I98" s="5">
        <f>SQRT(SUM('r-native-multi'!$D$3:D98)/COUNTIF($A$3:A98,"&lt;&gt;0"))</f>
        <v>73.793560581756267</v>
      </c>
    </row>
    <row r="99" spans="1:9">
      <c r="A99">
        <v>97</v>
      </c>
      <c r="B99">
        <v>5</v>
      </c>
      <c r="C99">
        <v>4600</v>
      </c>
      <c r="D99">
        <v>5472</v>
      </c>
      <c r="E99" s="4">
        <f t="shared" si="4"/>
        <v>1</v>
      </c>
      <c r="F99" s="4">
        <f t="shared" si="5"/>
        <v>872</v>
      </c>
      <c r="G99" s="4">
        <f t="shared" si="6"/>
        <v>0.18956521739130436</v>
      </c>
      <c r="H99" s="4">
        <f t="shared" si="7"/>
        <v>760384</v>
      </c>
      <c r="I99" s="5">
        <f>SQRT(SUM('r-native-multi'!$D$3:D99)/COUNTIF($A$3:A99,"&lt;&gt;0"))</f>
        <v>73.795412368235588</v>
      </c>
    </row>
    <row r="100" spans="1:9">
      <c r="A100">
        <v>98</v>
      </c>
      <c r="B100">
        <v>5</v>
      </c>
      <c r="C100">
        <v>4600</v>
      </c>
      <c r="D100">
        <v>5397</v>
      </c>
      <c r="E100" s="4">
        <f t="shared" si="4"/>
        <v>1</v>
      </c>
      <c r="F100" s="4">
        <f t="shared" si="5"/>
        <v>797</v>
      </c>
      <c r="G100" s="4">
        <f t="shared" si="6"/>
        <v>0.17326086956521738</v>
      </c>
      <c r="H100" s="4">
        <f t="shared" si="7"/>
        <v>635209</v>
      </c>
      <c r="I100" s="5">
        <f>SQRT(SUM('r-native-multi'!$D$3:D100)/COUNTIF($A$3:A100,"&lt;&gt;0"))</f>
        <v>73.792040940215557</v>
      </c>
    </row>
    <row r="101" spans="1:9">
      <c r="A101">
        <v>99</v>
      </c>
      <c r="B101">
        <v>5</v>
      </c>
      <c r="C101">
        <v>4600</v>
      </c>
      <c r="D101">
        <v>5453</v>
      </c>
      <c r="E101" s="4">
        <f t="shared" si="4"/>
        <v>1</v>
      </c>
      <c r="F101" s="4">
        <f t="shared" si="5"/>
        <v>853</v>
      </c>
      <c r="G101" s="4">
        <f t="shared" si="6"/>
        <v>0.18543478260869564</v>
      </c>
      <c r="H101" s="4">
        <f t="shared" si="7"/>
        <v>727609</v>
      </c>
      <c r="I101" s="5">
        <f>SQRT(SUM('r-native-multi'!$D$3:D101)/COUNTIF($A$3:A101,"&lt;&gt;0"))</f>
        <v>73.792570319398919</v>
      </c>
    </row>
    <row r="102" spans="1:9">
      <c r="A102">
        <v>100</v>
      </c>
      <c r="B102">
        <v>5</v>
      </c>
      <c r="C102">
        <v>4600</v>
      </c>
      <c r="D102">
        <v>5418</v>
      </c>
      <c r="E102" s="4">
        <f t="shared" si="4"/>
        <v>1</v>
      </c>
      <c r="F102" s="4">
        <f t="shared" si="5"/>
        <v>818</v>
      </c>
      <c r="G102" s="4">
        <f t="shared" si="6"/>
        <v>0.17782608695652175</v>
      </c>
      <c r="H102" s="4">
        <f t="shared" si="7"/>
        <v>669124</v>
      </c>
      <c r="I102" s="5">
        <f>SQRT(SUM('r-native-multi'!$D$3:D102)/COUNTIF($A$3:A102,"&lt;&gt;0"))</f>
        <v>73.790717573418405</v>
      </c>
    </row>
    <row r="103" spans="1:9">
      <c r="A103">
        <v>101</v>
      </c>
      <c r="B103">
        <v>5</v>
      </c>
      <c r="C103">
        <v>4600</v>
      </c>
      <c r="D103">
        <v>5395</v>
      </c>
      <c r="E103" s="4">
        <f t="shared" si="4"/>
        <v>1</v>
      </c>
      <c r="F103" s="4">
        <f t="shared" si="5"/>
        <v>795</v>
      </c>
      <c r="G103" s="4">
        <f t="shared" si="6"/>
        <v>0.17282608695652174</v>
      </c>
      <c r="H103" s="4">
        <f t="shared" si="7"/>
        <v>632025</v>
      </c>
      <c r="I103" s="5">
        <f>SQRT(SUM('r-native-multi'!$D$3:D103)/COUNTIF($A$3:A103,"&lt;&gt;0"))</f>
        <v>73.787358384927586</v>
      </c>
    </row>
    <row r="104" spans="1:9">
      <c r="A104">
        <v>102</v>
      </c>
      <c r="B104">
        <v>5</v>
      </c>
      <c r="C104">
        <v>4600</v>
      </c>
      <c r="D104">
        <v>5453</v>
      </c>
      <c r="E104" s="4">
        <f t="shared" si="4"/>
        <v>1</v>
      </c>
      <c r="F104" s="4">
        <f t="shared" si="5"/>
        <v>853</v>
      </c>
      <c r="G104" s="4">
        <f t="shared" si="6"/>
        <v>0.18543478260869564</v>
      </c>
      <c r="H104" s="4">
        <f t="shared" si="7"/>
        <v>727609</v>
      </c>
      <c r="I104" s="5">
        <f>SQRT(SUM('r-native-multi'!$D$3:D104)/COUNTIF($A$3:A104,"&lt;&gt;0"))</f>
        <v>73.787918135322784</v>
      </c>
    </row>
    <row r="105" spans="1:9">
      <c r="A105">
        <v>103</v>
      </c>
      <c r="B105">
        <v>5</v>
      </c>
      <c r="C105">
        <v>4600</v>
      </c>
      <c r="D105">
        <v>5466</v>
      </c>
      <c r="E105" s="4">
        <f t="shared" si="4"/>
        <v>1</v>
      </c>
      <c r="F105" s="4">
        <f t="shared" si="5"/>
        <v>866</v>
      </c>
      <c r="G105" s="4">
        <f t="shared" si="6"/>
        <v>0.1882608695652174</v>
      </c>
      <c r="H105" s="4">
        <f t="shared" si="7"/>
        <v>749956</v>
      </c>
      <c r="I105" s="5">
        <f>SQRT(SUM('r-native-multi'!$D$3:D105)/COUNTIF($A$3:A105,"&lt;&gt;0"))</f>
        <v>73.789322246988434</v>
      </c>
    </row>
    <row r="106" spans="1:9">
      <c r="A106">
        <v>104</v>
      </c>
      <c r="B106">
        <v>5</v>
      </c>
      <c r="C106">
        <v>4600</v>
      </c>
      <c r="D106">
        <v>5427</v>
      </c>
      <c r="E106" s="4">
        <f t="shared" si="4"/>
        <v>1</v>
      </c>
      <c r="F106" s="4">
        <f t="shared" si="5"/>
        <v>827</v>
      </c>
      <c r="G106" s="4">
        <f t="shared" si="6"/>
        <v>0.17978260869565219</v>
      </c>
      <c r="H106" s="4">
        <f t="shared" si="7"/>
        <v>683929</v>
      </c>
      <c r="I106" s="5">
        <f>SQRT(SUM('r-native-multi'!$D$3:D106)/COUNTIF($A$3:A106,"&lt;&gt;0"))</f>
        <v>73.78815831617095</v>
      </c>
    </row>
    <row r="107" spans="1:9">
      <c r="A107">
        <v>105</v>
      </c>
      <c r="B107">
        <v>5</v>
      </c>
      <c r="C107">
        <v>4600</v>
      </c>
      <c r="D107">
        <v>5400</v>
      </c>
      <c r="E107" s="4">
        <f t="shared" si="4"/>
        <v>1</v>
      </c>
      <c r="F107" s="4">
        <f t="shared" si="5"/>
        <v>800</v>
      </c>
      <c r="G107" s="4">
        <f t="shared" si="6"/>
        <v>0.17391304347826086</v>
      </c>
      <c r="H107" s="4">
        <f t="shared" si="7"/>
        <v>640000</v>
      </c>
      <c r="I107" s="5">
        <f>SQRT(SUM('r-native-multi'!$D$3:D107)/COUNTIF($A$3:A107,"&lt;&gt;0"))</f>
        <v>73.785274050224047</v>
      </c>
    </row>
    <row r="108" spans="1:9">
      <c r="A108">
        <v>106</v>
      </c>
      <c r="B108">
        <v>5</v>
      </c>
      <c r="C108">
        <v>4600</v>
      </c>
      <c r="D108">
        <v>5569</v>
      </c>
      <c r="E108" s="4">
        <f t="shared" si="4"/>
        <v>0</v>
      </c>
      <c r="F108" s="4">
        <f t="shared" si="5"/>
        <v>969</v>
      </c>
      <c r="G108" s="4">
        <f t="shared" si="6"/>
        <v>0.21065217391304347</v>
      </c>
      <c r="H108" s="4">
        <f t="shared" si="7"/>
        <v>938961</v>
      </c>
      <c r="I108" s="5">
        <f>SQRT(SUM('r-native-multi'!$D$3:D108)/COUNTIF($A$3:A108,"&lt;&gt;0"))</f>
        <v>73.793247633007823</v>
      </c>
    </row>
    <row r="109" spans="1:9">
      <c r="A109">
        <v>107</v>
      </c>
      <c r="B109">
        <v>5</v>
      </c>
      <c r="C109">
        <v>4600</v>
      </c>
      <c r="D109">
        <v>5560</v>
      </c>
      <c r="E109" s="4">
        <f t="shared" si="4"/>
        <v>0</v>
      </c>
      <c r="F109" s="4">
        <f t="shared" si="5"/>
        <v>960</v>
      </c>
      <c r="G109" s="4">
        <f t="shared" si="6"/>
        <v>0.20869565217391303</v>
      </c>
      <c r="H109" s="4">
        <f t="shared" si="7"/>
        <v>921600</v>
      </c>
      <c r="I109" s="5">
        <f>SQRT(SUM('r-native-multi'!$D$3:D109)/COUNTIF($A$3:A109,"&lt;&gt;0"))</f>
        <v>73.800501479946519</v>
      </c>
    </row>
    <row r="110" spans="1:9">
      <c r="A110">
        <v>108</v>
      </c>
      <c r="B110">
        <v>5</v>
      </c>
      <c r="C110">
        <v>4600</v>
      </c>
      <c r="D110">
        <v>5426</v>
      </c>
      <c r="E110" s="4">
        <f t="shared" si="4"/>
        <v>1</v>
      </c>
      <c r="F110" s="4">
        <f t="shared" si="5"/>
        <v>826</v>
      </c>
      <c r="G110" s="4">
        <f t="shared" si="6"/>
        <v>0.17956521739130435</v>
      </c>
      <c r="H110" s="4">
        <f t="shared" si="7"/>
        <v>682276</v>
      </c>
      <c r="I110" s="5">
        <f>SQRT(SUM('r-native-multi'!$D$3:D110)/COUNTIF($A$3:A110,"&lt;&gt;0"))</f>
        <v>73.799214589818462</v>
      </c>
    </row>
    <row r="111" spans="1:9">
      <c r="A111">
        <v>109</v>
      </c>
      <c r="B111">
        <v>5</v>
      </c>
      <c r="C111">
        <v>4600</v>
      </c>
      <c r="D111">
        <v>5617</v>
      </c>
      <c r="E111" s="4">
        <f t="shared" si="4"/>
        <v>0</v>
      </c>
      <c r="F111" s="4">
        <f t="shared" si="5"/>
        <v>1017</v>
      </c>
      <c r="G111" s="4">
        <f t="shared" si="6"/>
        <v>0.22108695652173913</v>
      </c>
      <c r="H111" s="4">
        <f t="shared" si="7"/>
        <v>1034289</v>
      </c>
      <c r="I111" s="5">
        <f>SQRT(SUM('r-native-multi'!$D$3:D111)/COUNTIF($A$3:A111,"&lt;&gt;0"))</f>
        <v>73.809822572994179</v>
      </c>
    </row>
    <row r="112" spans="1:9">
      <c r="A112">
        <v>110</v>
      </c>
      <c r="B112">
        <v>5</v>
      </c>
      <c r="C112">
        <v>4600</v>
      </c>
      <c r="D112">
        <v>5393</v>
      </c>
      <c r="E112" s="4">
        <f t="shared" si="4"/>
        <v>1</v>
      </c>
      <c r="F112" s="4">
        <f t="shared" si="5"/>
        <v>793</v>
      </c>
      <c r="G112" s="4">
        <f t="shared" si="6"/>
        <v>0.1723913043478261</v>
      </c>
      <c r="H112" s="4">
        <f t="shared" si="7"/>
        <v>628849</v>
      </c>
      <c r="I112" s="5">
        <f>SQRT(SUM('r-native-multi'!$D$3:D112)/COUNTIF($A$3:A112,"&lt;&gt;0"))</f>
        <v>73.806442192337855</v>
      </c>
    </row>
    <row r="113" spans="1:9">
      <c r="A113">
        <v>111</v>
      </c>
      <c r="B113">
        <v>5</v>
      </c>
      <c r="C113">
        <v>4600</v>
      </c>
      <c r="D113">
        <v>5584</v>
      </c>
      <c r="E113" s="4">
        <f t="shared" si="4"/>
        <v>0</v>
      </c>
      <c r="F113" s="4">
        <f t="shared" si="5"/>
        <v>984</v>
      </c>
      <c r="G113" s="4">
        <f t="shared" si="6"/>
        <v>0.21391304347826087</v>
      </c>
      <c r="H113" s="4">
        <f t="shared" si="7"/>
        <v>968256</v>
      </c>
      <c r="I113" s="5">
        <f>SQRT(SUM('r-native-multi'!$D$3:D113)/COUNTIF($A$3:A113,"&lt;&gt;0"))</f>
        <v>73.814779154459458</v>
      </c>
    </row>
    <row r="114" spans="1:9">
      <c r="A114">
        <v>112</v>
      </c>
      <c r="B114">
        <v>5</v>
      </c>
      <c r="C114">
        <v>4600</v>
      </c>
      <c r="D114">
        <v>5474</v>
      </c>
      <c r="E114" s="4">
        <f t="shared" si="4"/>
        <v>1</v>
      </c>
      <c r="F114" s="4">
        <f t="shared" si="5"/>
        <v>874</v>
      </c>
      <c r="G114" s="4">
        <f t="shared" si="6"/>
        <v>0.19</v>
      </c>
      <c r="H114" s="4">
        <f t="shared" si="7"/>
        <v>763876</v>
      </c>
      <c r="I114" s="5">
        <f>SQRT(SUM('r-native-multi'!$D$3:D114)/COUNTIF($A$3:A114,"&lt;&gt;0"))</f>
        <v>73.816314011780037</v>
      </c>
    </row>
    <row r="115" spans="1:9">
      <c r="A115">
        <v>113</v>
      </c>
      <c r="B115">
        <v>5</v>
      </c>
      <c r="C115">
        <v>4600</v>
      </c>
      <c r="D115">
        <v>5521</v>
      </c>
      <c r="E115" s="4">
        <f t="shared" si="4"/>
        <v>0</v>
      </c>
      <c r="F115" s="4">
        <f t="shared" si="5"/>
        <v>921</v>
      </c>
      <c r="G115" s="4">
        <f t="shared" si="6"/>
        <v>0.20021739130434782</v>
      </c>
      <c r="H115" s="4">
        <f t="shared" si="7"/>
        <v>848241</v>
      </c>
      <c r="I115" s="5">
        <f>SQRT(SUM('r-native-multi'!$D$3:D115)/COUNTIF($A$3:A115,"&lt;&gt;0"))</f>
        <v>73.820638886856813</v>
      </c>
    </row>
    <row r="116" spans="1:9">
      <c r="A116">
        <v>114</v>
      </c>
      <c r="B116">
        <v>5</v>
      </c>
      <c r="C116">
        <v>4600</v>
      </c>
      <c r="D116">
        <v>5454</v>
      </c>
      <c r="E116" s="4">
        <f t="shared" si="4"/>
        <v>1</v>
      </c>
      <c r="F116" s="4">
        <f t="shared" si="5"/>
        <v>854</v>
      </c>
      <c r="G116" s="4">
        <f t="shared" si="6"/>
        <v>0.18565217391304348</v>
      </c>
      <c r="H116" s="4">
        <f t="shared" si="7"/>
        <v>729316</v>
      </c>
      <c r="I116" s="5">
        <f>SQRT(SUM('r-native-multi'!$D$3:D116)/COUNTIF($A$3:A116,"&lt;&gt;0"))</f>
        <v>73.820907037163082</v>
      </c>
    </row>
    <row r="117" spans="1:9">
      <c r="A117">
        <v>115</v>
      </c>
      <c r="B117">
        <v>5</v>
      </c>
      <c r="C117">
        <v>4600</v>
      </c>
      <c r="D117">
        <v>5580</v>
      </c>
      <c r="E117" s="4">
        <f t="shared" si="4"/>
        <v>0</v>
      </c>
      <c r="F117" s="4">
        <f t="shared" si="5"/>
        <v>980</v>
      </c>
      <c r="G117" s="4">
        <f t="shared" si="6"/>
        <v>0.21304347826086956</v>
      </c>
      <c r="H117" s="4">
        <f t="shared" si="7"/>
        <v>960400</v>
      </c>
      <c r="I117" s="5">
        <f>SQRT(SUM('r-native-multi'!$D$3:D117)/COUNTIF($A$3:A117,"&lt;&gt;0"))</f>
        <v>73.828591138970125</v>
      </c>
    </row>
    <row r="118" spans="1:9">
      <c r="A118">
        <v>116</v>
      </c>
      <c r="B118">
        <v>5</v>
      </c>
      <c r="C118">
        <v>4600</v>
      </c>
      <c r="D118">
        <v>5481</v>
      </c>
      <c r="E118" s="4">
        <f t="shared" si="4"/>
        <v>1</v>
      </c>
      <c r="F118" s="4">
        <f t="shared" si="5"/>
        <v>881</v>
      </c>
      <c r="G118" s="4">
        <f t="shared" si="6"/>
        <v>0.19152173913043477</v>
      </c>
      <c r="H118" s="4">
        <f t="shared" si="7"/>
        <v>776161</v>
      </c>
      <c r="I118" s="5">
        <f>SQRT(SUM('r-native-multi'!$D$3:D118)/COUNTIF($A$3:A118,"&lt;&gt;0"))</f>
        <v>73.83036241136233</v>
      </c>
    </row>
    <row r="119" spans="1:9">
      <c r="A119">
        <v>117</v>
      </c>
      <c r="B119">
        <v>5</v>
      </c>
      <c r="C119">
        <v>4600</v>
      </c>
      <c r="D119">
        <v>5506</v>
      </c>
      <c r="E119" s="4">
        <f t="shared" si="4"/>
        <v>1</v>
      </c>
      <c r="F119" s="4">
        <f t="shared" si="5"/>
        <v>906</v>
      </c>
      <c r="G119" s="4">
        <f t="shared" si="6"/>
        <v>0.19695652173913045</v>
      </c>
      <c r="H119" s="4">
        <f t="shared" si="7"/>
        <v>820836</v>
      </c>
      <c r="I119" s="5">
        <f>SQRT(SUM('r-native-multi'!$D$3:D119)/COUNTIF($A$3:A119,"&lt;&gt;0"))</f>
        <v>73.833550384585749</v>
      </c>
    </row>
    <row r="120" spans="1:9">
      <c r="A120">
        <v>118</v>
      </c>
      <c r="B120">
        <v>5</v>
      </c>
      <c r="C120">
        <v>4600</v>
      </c>
      <c r="D120">
        <v>4167</v>
      </c>
      <c r="E120" s="4">
        <f t="shared" si="4"/>
        <v>1</v>
      </c>
      <c r="F120" s="4">
        <f t="shared" si="5"/>
        <v>433</v>
      </c>
      <c r="G120" s="4">
        <f t="shared" si="6"/>
        <v>9.4130434782608699E-2</v>
      </c>
      <c r="H120" s="4">
        <f t="shared" si="7"/>
        <v>187489</v>
      </c>
      <c r="I120" s="5">
        <f>SQRT(SUM('r-native-multi'!$D$3:D120)/COUNTIF($A$3:A120,"&lt;&gt;0"))</f>
        <v>73.759802566006584</v>
      </c>
    </row>
    <row r="121" spans="1:9">
      <c r="A121">
        <v>119</v>
      </c>
      <c r="B121">
        <v>5</v>
      </c>
      <c r="C121">
        <v>4600</v>
      </c>
      <c r="D121">
        <v>5559</v>
      </c>
      <c r="E121" s="4">
        <f t="shared" si="4"/>
        <v>0</v>
      </c>
      <c r="F121" s="4">
        <f t="shared" si="5"/>
        <v>959</v>
      </c>
      <c r="G121" s="4">
        <f t="shared" si="6"/>
        <v>0.20847826086956522</v>
      </c>
      <c r="H121" s="4">
        <f t="shared" si="7"/>
        <v>919681</v>
      </c>
      <c r="I121" s="5">
        <f>SQRT(SUM('r-native-multi'!$D$3:D121)/COUNTIF($A$3:A121,"&lt;&gt;0"))</f>
        <v>73.7665520522728</v>
      </c>
    </row>
    <row r="122" spans="1:9">
      <c r="A122">
        <v>120</v>
      </c>
      <c r="B122">
        <v>5</v>
      </c>
      <c r="C122">
        <v>4600</v>
      </c>
      <c r="D122">
        <v>5515</v>
      </c>
      <c r="E122" s="4">
        <f t="shared" si="4"/>
        <v>1</v>
      </c>
      <c r="F122" s="4">
        <f t="shared" si="5"/>
        <v>915</v>
      </c>
      <c r="G122" s="4">
        <f t="shared" si="6"/>
        <v>0.19891304347826086</v>
      </c>
      <c r="H122" s="4">
        <f t="shared" si="7"/>
        <v>837225</v>
      </c>
      <c r="I122" s="5">
        <f>SQRT(SUM('r-native-multi'!$D$3:D122)/COUNTIF($A$3:A122,"&lt;&gt;0"))</f>
        <v>73.770703308743549</v>
      </c>
    </row>
    <row r="123" spans="1:9">
      <c r="A123">
        <v>121</v>
      </c>
      <c r="B123">
        <v>5</v>
      </c>
      <c r="C123">
        <v>4600</v>
      </c>
      <c r="D123">
        <v>5566</v>
      </c>
      <c r="E123" s="4">
        <f t="shared" si="4"/>
        <v>0</v>
      </c>
      <c r="F123" s="4">
        <f t="shared" si="5"/>
        <v>966</v>
      </c>
      <c r="G123" s="4">
        <f t="shared" si="6"/>
        <v>0.21</v>
      </c>
      <c r="H123" s="4">
        <f t="shared" si="7"/>
        <v>933156</v>
      </c>
      <c r="I123" s="5">
        <f>SQRT(SUM('r-native-multi'!$D$3:D123)/COUNTIF($A$3:A123,"&lt;&gt;0"))</f>
        <v>73.777642249314042</v>
      </c>
    </row>
    <row r="124" spans="1:9">
      <c r="A124">
        <v>122</v>
      </c>
      <c r="B124">
        <v>5</v>
      </c>
      <c r="C124">
        <v>4600</v>
      </c>
      <c r="D124">
        <v>5503</v>
      </c>
      <c r="E124" s="4">
        <f t="shared" si="4"/>
        <v>1</v>
      </c>
      <c r="F124" s="4">
        <f t="shared" si="5"/>
        <v>903</v>
      </c>
      <c r="G124" s="4">
        <f t="shared" si="6"/>
        <v>0.19630434782608697</v>
      </c>
      <c r="H124" s="4">
        <f t="shared" si="7"/>
        <v>815409</v>
      </c>
      <c r="I124" s="5">
        <f>SQRT(SUM('r-native-multi'!$D$3:D124)/COUNTIF($A$3:A124,"&lt;&gt;0"))</f>
        <v>73.780967380083766</v>
      </c>
    </row>
    <row r="125" spans="1:9">
      <c r="A125">
        <v>123</v>
      </c>
      <c r="B125">
        <v>5</v>
      </c>
      <c r="C125">
        <v>4600</v>
      </c>
      <c r="D125">
        <v>5539</v>
      </c>
      <c r="E125" s="4">
        <f t="shared" si="4"/>
        <v>0</v>
      </c>
      <c r="F125" s="4">
        <f t="shared" si="5"/>
        <v>939</v>
      </c>
      <c r="G125" s="4">
        <f t="shared" si="6"/>
        <v>0.2041304347826087</v>
      </c>
      <c r="H125" s="4">
        <f t="shared" si="7"/>
        <v>881721</v>
      </c>
      <c r="I125" s="5">
        <f>SQRT(SUM('r-native-multi'!$D$3:D125)/COUNTIF($A$3:A125,"&lt;&gt;0"))</f>
        <v>73.786221641069545</v>
      </c>
    </row>
    <row r="126" spans="1:9">
      <c r="A126">
        <v>124</v>
      </c>
      <c r="B126">
        <v>5</v>
      </c>
      <c r="C126">
        <v>4600</v>
      </c>
      <c r="D126">
        <v>5166</v>
      </c>
      <c r="E126" s="4">
        <f t="shared" si="4"/>
        <v>1</v>
      </c>
      <c r="F126" s="4">
        <f t="shared" si="5"/>
        <v>566</v>
      </c>
      <c r="G126" s="4">
        <f t="shared" si="6"/>
        <v>0.12304347826086956</v>
      </c>
      <c r="H126" s="4">
        <f t="shared" si="7"/>
        <v>320356</v>
      </c>
      <c r="I126" s="5">
        <f>SQRT(SUM('r-native-multi'!$D$3:D126)/COUNTIF($A$3:A126,"&lt;&gt;0"))</f>
        <v>73.771005756479838</v>
      </c>
    </row>
    <row r="127" spans="1:9">
      <c r="A127">
        <v>125</v>
      </c>
      <c r="B127">
        <v>5</v>
      </c>
      <c r="C127">
        <v>4600</v>
      </c>
      <c r="D127">
        <v>5427</v>
      </c>
      <c r="E127" s="4">
        <f t="shared" si="4"/>
        <v>1</v>
      </c>
      <c r="F127" s="4">
        <f t="shared" si="5"/>
        <v>827</v>
      </c>
      <c r="G127" s="4">
        <f t="shared" si="6"/>
        <v>0.17978260869565219</v>
      </c>
      <c r="H127" s="4">
        <f t="shared" si="7"/>
        <v>683929</v>
      </c>
      <c r="I127" s="5">
        <f>SQRT(SUM('r-native-multi'!$D$3:D127)/COUNTIF($A$3:A127,"&lt;&gt;0"))</f>
        <v>73.770183678773634</v>
      </c>
    </row>
    <row r="128" spans="1:9">
      <c r="A128">
        <v>126</v>
      </c>
      <c r="B128">
        <v>5</v>
      </c>
      <c r="C128">
        <v>4600</v>
      </c>
      <c r="D128">
        <v>5271</v>
      </c>
      <c r="E128" s="4">
        <f t="shared" si="4"/>
        <v>1</v>
      </c>
      <c r="F128" s="4">
        <f t="shared" si="5"/>
        <v>671</v>
      </c>
      <c r="G128" s="4">
        <f t="shared" si="6"/>
        <v>0.14586956521739131</v>
      </c>
      <c r="H128" s="4">
        <f t="shared" si="7"/>
        <v>450241</v>
      </c>
      <c r="I128" s="5">
        <f>SQRT(SUM('r-native-multi'!$D$3:D128)/COUNTIF($A$3:A128,"&lt;&gt;0"))</f>
        <v>73.760982502150412</v>
      </c>
    </row>
    <row r="129" spans="1:9">
      <c r="A129">
        <v>127</v>
      </c>
      <c r="B129">
        <v>5</v>
      </c>
      <c r="C129">
        <v>4600</v>
      </c>
      <c r="D129">
        <v>5429</v>
      </c>
      <c r="E129" s="4">
        <f t="shared" si="4"/>
        <v>1</v>
      </c>
      <c r="F129" s="4">
        <f t="shared" si="5"/>
        <v>829</v>
      </c>
      <c r="G129" s="4">
        <f t="shared" si="6"/>
        <v>0.18021739130434783</v>
      </c>
      <c r="H129" s="4">
        <f t="shared" si="7"/>
        <v>687241</v>
      </c>
      <c r="I129" s="5">
        <f>SQRT(SUM('r-native-multi'!$D$3:D129)/COUNTIF($A$3:A129,"&lt;&gt;0"))</f>
        <v>73.760358941514795</v>
      </c>
    </row>
    <row r="130" spans="1:9">
      <c r="A130">
        <v>128</v>
      </c>
      <c r="B130">
        <v>5</v>
      </c>
      <c r="C130">
        <v>4600</v>
      </c>
      <c r="D130">
        <v>5454</v>
      </c>
      <c r="E130" s="4">
        <f t="shared" si="4"/>
        <v>1</v>
      </c>
      <c r="F130" s="4">
        <f t="shared" si="5"/>
        <v>854</v>
      </c>
      <c r="G130" s="4">
        <f t="shared" si="6"/>
        <v>0.18565217391304348</v>
      </c>
      <c r="H130" s="4">
        <f t="shared" si="7"/>
        <v>729316</v>
      </c>
      <c r="I130" s="5">
        <f>SQRT(SUM('r-native-multi'!$D$3:D130)/COUNTIF($A$3:A130,"&lt;&gt;0"))</f>
        <v>73.76106908457875</v>
      </c>
    </row>
    <row r="131" spans="1:9">
      <c r="A131">
        <v>129</v>
      </c>
      <c r="B131">
        <v>5</v>
      </c>
      <c r="C131">
        <v>4600</v>
      </c>
      <c r="D131">
        <v>5450</v>
      </c>
      <c r="E131" s="4">
        <f t="shared" si="4"/>
        <v>1</v>
      </c>
      <c r="F131" s="4">
        <f t="shared" si="5"/>
        <v>850</v>
      </c>
      <c r="G131" s="4">
        <f t="shared" si="6"/>
        <v>0.18478260869565216</v>
      </c>
      <c r="H131" s="4">
        <f t="shared" si="7"/>
        <v>722500</v>
      </c>
      <c r="I131" s="5">
        <f>SQRT(SUM('r-native-multi'!$D$3:D131)/COUNTIF($A$3:A131,"&lt;&gt;0"))</f>
        <v>73.761558022187032</v>
      </c>
    </row>
    <row r="132" spans="1:9">
      <c r="A132">
        <v>130</v>
      </c>
      <c r="B132">
        <v>5</v>
      </c>
      <c r="C132">
        <v>4600</v>
      </c>
      <c r="D132">
        <v>5479</v>
      </c>
      <c r="E132" s="4">
        <f t="shared" ref="E132:E152" si="8">IF(AND(D132&lt;=C132*1.2,D132&gt;=C132*0.8),1,0)</f>
        <v>1</v>
      </c>
      <c r="F132" s="4">
        <f t="shared" ref="F132:F152" si="9">ABS(C132-D132)</f>
        <v>879</v>
      </c>
      <c r="G132" s="4">
        <f t="shared" ref="G132:G152" si="10">ABS(C132-D132)/C132</f>
        <v>0.19108695652173913</v>
      </c>
      <c r="H132" s="4">
        <f t="shared" ref="H132:H152" si="11">POWER(F132,2)</f>
        <v>772641</v>
      </c>
      <c r="I132" s="5">
        <f>SQRT(SUM('r-native-multi'!$D$3:D132)/COUNTIF($A$3:A132,"&lt;&gt;0"))</f>
        <v>73.763551558080081</v>
      </c>
    </row>
    <row r="133" spans="1:9">
      <c r="A133">
        <v>131</v>
      </c>
      <c r="B133">
        <v>5</v>
      </c>
      <c r="C133">
        <v>4600</v>
      </c>
      <c r="D133">
        <v>5454</v>
      </c>
      <c r="E133" s="4">
        <f t="shared" si="8"/>
        <v>1</v>
      </c>
      <c r="F133" s="4">
        <f t="shared" si="9"/>
        <v>854</v>
      </c>
      <c r="G133" s="4">
        <f t="shared" si="10"/>
        <v>0.18565217391304348</v>
      </c>
      <c r="H133" s="4">
        <f t="shared" si="11"/>
        <v>729316</v>
      </c>
      <c r="I133" s="5">
        <f>SQRT(SUM('r-native-multi'!$D$3:D133)/COUNTIF($A$3:A133,"&lt;&gt;0"))</f>
        <v>73.764221038003996</v>
      </c>
    </row>
    <row r="134" spans="1:9">
      <c r="A134">
        <v>132</v>
      </c>
      <c r="B134">
        <v>5</v>
      </c>
      <c r="C134">
        <v>4600</v>
      </c>
      <c r="D134">
        <v>5578</v>
      </c>
      <c r="E134" s="4">
        <f t="shared" si="8"/>
        <v>0</v>
      </c>
      <c r="F134" s="4">
        <f t="shared" si="9"/>
        <v>978</v>
      </c>
      <c r="G134" s="4">
        <f t="shared" si="10"/>
        <v>0.21260869565217391</v>
      </c>
      <c r="H134" s="4">
        <f t="shared" si="11"/>
        <v>956484</v>
      </c>
      <c r="I134" s="5">
        <f>SQRT(SUM('r-native-multi'!$D$3:D134)/COUNTIF($A$3:A134,"&lt;&gt;0"))</f>
        <v>73.771247581269563</v>
      </c>
    </row>
    <row r="135" spans="1:9">
      <c r="A135">
        <v>133</v>
      </c>
      <c r="B135">
        <v>5</v>
      </c>
      <c r="C135">
        <v>4600</v>
      </c>
      <c r="D135">
        <v>5416</v>
      </c>
      <c r="E135" s="4">
        <f t="shared" si="8"/>
        <v>1</v>
      </c>
      <c r="F135" s="4">
        <f t="shared" si="9"/>
        <v>816</v>
      </c>
      <c r="G135" s="4">
        <f t="shared" si="10"/>
        <v>0.17739130434782607</v>
      </c>
      <c r="H135" s="4">
        <f t="shared" si="11"/>
        <v>665856</v>
      </c>
      <c r="I135" s="5">
        <f>SQRT(SUM('r-native-multi'!$D$3:D135)/COUNTIF($A$3:A135,"&lt;&gt;0"))</f>
        <v>73.769912566031962</v>
      </c>
    </row>
    <row r="136" spans="1:9">
      <c r="A136">
        <v>134</v>
      </c>
      <c r="B136">
        <v>5</v>
      </c>
      <c r="C136">
        <v>4600</v>
      </c>
      <c r="D136">
        <v>5498</v>
      </c>
      <c r="E136" s="4">
        <f t="shared" si="8"/>
        <v>1</v>
      </c>
      <c r="F136" s="4">
        <f t="shared" si="9"/>
        <v>898</v>
      </c>
      <c r="G136" s="4">
        <f t="shared" si="10"/>
        <v>0.19521739130434781</v>
      </c>
      <c r="H136" s="4">
        <f t="shared" si="11"/>
        <v>806404</v>
      </c>
      <c r="I136" s="5">
        <f>SQRT(SUM('r-native-multi'!$D$3:D136)/COUNTIF($A$3:A136,"&lt;&gt;0"))</f>
        <v>73.772745038040725</v>
      </c>
    </row>
    <row r="137" spans="1:9">
      <c r="A137">
        <v>135</v>
      </c>
      <c r="B137">
        <v>5</v>
      </c>
      <c r="C137">
        <v>4600</v>
      </c>
      <c r="D137">
        <v>5497</v>
      </c>
      <c r="E137" s="4">
        <f t="shared" si="8"/>
        <v>1</v>
      </c>
      <c r="F137" s="4">
        <f t="shared" si="9"/>
        <v>897</v>
      </c>
      <c r="G137" s="4">
        <f t="shared" si="10"/>
        <v>0.19500000000000001</v>
      </c>
      <c r="H137" s="4">
        <f t="shared" si="11"/>
        <v>804609</v>
      </c>
      <c r="I137" s="5">
        <f>SQRT(SUM('r-native-multi'!$D$3:D137)/COUNTIF($A$3:A137,"&lt;&gt;0"))</f>
        <v>73.775485238812365</v>
      </c>
    </row>
    <row r="138" spans="1:9">
      <c r="A138">
        <v>136</v>
      </c>
      <c r="B138">
        <v>5</v>
      </c>
      <c r="C138">
        <v>4600</v>
      </c>
      <c r="D138">
        <v>5461</v>
      </c>
      <c r="E138" s="4">
        <f t="shared" si="8"/>
        <v>1</v>
      </c>
      <c r="F138" s="4">
        <f t="shared" si="9"/>
        <v>861</v>
      </c>
      <c r="G138" s="4">
        <f t="shared" si="10"/>
        <v>0.18717391304347827</v>
      </c>
      <c r="H138" s="4">
        <f t="shared" si="11"/>
        <v>741321</v>
      </c>
      <c r="I138" s="5">
        <f>SQRT(SUM('r-native-multi'!$D$3:D138)/COUNTIF($A$3:A138,"&lt;&gt;0"))</f>
        <v>73.776391090598494</v>
      </c>
    </row>
    <row r="139" spans="1:9">
      <c r="A139">
        <v>137</v>
      </c>
      <c r="B139">
        <v>5</v>
      </c>
      <c r="C139">
        <v>4600</v>
      </c>
      <c r="D139">
        <v>5452</v>
      </c>
      <c r="E139" s="4">
        <f t="shared" si="8"/>
        <v>1</v>
      </c>
      <c r="F139" s="4">
        <f t="shared" si="9"/>
        <v>852</v>
      </c>
      <c r="G139" s="4">
        <f t="shared" si="10"/>
        <v>0.18521739130434783</v>
      </c>
      <c r="H139" s="4">
        <f t="shared" si="11"/>
        <v>725904</v>
      </c>
      <c r="I139" s="5">
        <f>SQRT(SUM('r-native-multi'!$D$3:D139)/COUNTIF($A$3:A139,"&lt;&gt;0"))</f>
        <v>73.776838491563325</v>
      </c>
    </row>
    <row r="140" spans="1:9">
      <c r="A140">
        <v>138</v>
      </c>
      <c r="B140">
        <v>5</v>
      </c>
      <c r="C140">
        <v>4600</v>
      </c>
      <c r="D140">
        <v>5482</v>
      </c>
      <c r="E140" s="4">
        <f t="shared" si="8"/>
        <v>1</v>
      </c>
      <c r="F140" s="4">
        <f t="shared" si="9"/>
        <v>882</v>
      </c>
      <c r="G140" s="4">
        <f t="shared" si="10"/>
        <v>0.19173913043478261</v>
      </c>
      <c r="H140" s="4">
        <f t="shared" si="11"/>
        <v>777924</v>
      </c>
      <c r="I140" s="5">
        <f>SQRT(SUM('r-native-multi'!$D$3:D140)/COUNTIF($A$3:A140,"&lt;&gt;0"))</f>
        <v>73.778752685485856</v>
      </c>
    </row>
    <row r="141" spans="1:9">
      <c r="A141">
        <v>139</v>
      </c>
      <c r="B141">
        <v>5</v>
      </c>
      <c r="C141">
        <v>4600</v>
      </c>
      <c r="D141">
        <v>5632</v>
      </c>
      <c r="E141" s="4">
        <f t="shared" si="8"/>
        <v>0</v>
      </c>
      <c r="F141" s="4">
        <f t="shared" si="9"/>
        <v>1032</v>
      </c>
      <c r="G141" s="4">
        <f t="shared" si="10"/>
        <v>0.22434782608695653</v>
      </c>
      <c r="H141" s="4">
        <f t="shared" si="11"/>
        <v>1065024</v>
      </c>
      <c r="I141" s="5">
        <f>SQRT(SUM('r-native-multi'!$D$3:D141)/COUNTIF($A$3:A141,"&lt;&gt;0"))</f>
        <v>73.787952068773379</v>
      </c>
    </row>
    <row r="142" spans="1:9">
      <c r="A142">
        <v>140</v>
      </c>
      <c r="B142">
        <v>5</v>
      </c>
      <c r="C142">
        <v>4600</v>
      </c>
      <c r="D142">
        <v>5526</v>
      </c>
      <c r="E142" s="4">
        <f t="shared" si="8"/>
        <v>0</v>
      </c>
      <c r="F142" s="4">
        <f t="shared" si="9"/>
        <v>926</v>
      </c>
      <c r="G142" s="4">
        <f t="shared" si="10"/>
        <v>0.20130434782608694</v>
      </c>
      <c r="H142" s="4">
        <f t="shared" si="11"/>
        <v>857476</v>
      </c>
      <c r="I142" s="5">
        <f>SQRT(SUM('r-native-multi'!$D$3:D142)/COUNTIF($A$3:A142,"&lt;&gt;0"))</f>
        <v>73.791888830296628</v>
      </c>
    </row>
    <row r="143" spans="1:9">
      <c r="A143">
        <v>141</v>
      </c>
      <c r="B143">
        <v>5</v>
      </c>
      <c r="C143">
        <v>4600</v>
      </c>
      <c r="D143">
        <v>5453</v>
      </c>
      <c r="E143" s="4">
        <f t="shared" si="8"/>
        <v>1</v>
      </c>
      <c r="F143" s="4">
        <f t="shared" si="9"/>
        <v>853</v>
      </c>
      <c r="G143" s="4">
        <f t="shared" si="10"/>
        <v>0.18543478260869564</v>
      </c>
      <c r="H143" s="4">
        <f t="shared" si="11"/>
        <v>727609</v>
      </c>
      <c r="I143" s="5">
        <f>SQRT(SUM('r-native-multi'!$D$3:D143)/COUNTIF($A$3:A143,"&lt;&gt;0"))</f>
        <v>73.79226160201641</v>
      </c>
    </row>
    <row r="144" spans="1:9">
      <c r="A144">
        <v>142</v>
      </c>
      <c r="B144">
        <v>5</v>
      </c>
      <c r="C144">
        <v>4600</v>
      </c>
      <c r="D144">
        <v>5438</v>
      </c>
      <c r="E144" s="4">
        <f t="shared" si="8"/>
        <v>1</v>
      </c>
      <c r="F144" s="4">
        <f t="shared" si="9"/>
        <v>838</v>
      </c>
      <c r="G144" s="4">
        <f t="shared" si="10"/>
        <v>0.18217391304347827</v>
      </c>
      <c r="H144" s="4">
        <f t="shared" si="11"/>
        <v>702244</v>
      </c>
      <c r="I144" s="5">
        <f>SQRT(SUM('r-native-multi'!$D$3:D144)/COUNTIF($A$3:A144,"&lt;&gt;0"))</f>
        <v>73.791913370458417</v>
      </c>
    </row>
    <row r="145" spans="1:9">
      <c r="A145">
        <v>143</v>
      </c>
      <c r="B145">
        <v>5</v>
      </c>
      <c r="C145">
        <v>4600</v>
      </c>
      <c r="D145">
        <v>5524</v>
      </c>
      <c r="E145" s="4">
        <f t="shared" si="8"/>
        <v>0</v>
      </c>
      <c r="F145" s="4">
        <f t="shared" si="9"/>
        <v>924</v>
      </c>
      <c r="G145" s="4">
        <f t="shared" si="10"/>
        <v>0.2008695652173913</v>
      </c>
      <c r="H145" s="4">
        <f t="shared" si="11"/>
        <v>853776</v>
      </c>
      <c r="I145" s="5">
        <f>SQRT(SUM('r-native-multi'!$D$3:D145)/COUNTIF($A$3:A145,"&lt;&gt;0"))</f>
        <v>73.79564487689774</v>
      </c>
    </row>
    <row r="146" spans="1:9">
      <c r="A146">
        <v>144</v>
      </c>
      <c r="B146">
        <v>5</v>
      </c>
      <c r="C146">
        <v>4600</v>
      </c>
      <c r="D146">
        <v>5438</v>
      </c>
      <c r="E146" s="4">
        <f t="shared" si="8"/>
        <v>1</v>
      </c>
      <c r="F146" s="4">
        <f t="shared" si="9"/>
        <v>838</v>
      </c>
      <c r="G146" s="4">
        <f t="shared" si="10"/>
        <v>0.18217391304347827</v>
      </c>
      <c r="H146" s="4">
        <f t="shared" si="11"/>
        <v>702244</v>
      </c>
      <c r="I146" s="5">
        <f>SQRT(SUM('r-native-multi'!$D$3:D146)/COUNTIF($A$3:A146,"&lt;&gt;0"))</f>
        <v>73.795278003105025</v>
      </c>
    </row>
    <row r="147" spans="1:9">
      <c r="A147">
        <v>145</v>
      </c>
      <c r="B147">
        <v>5</v>
      </c>
      <c r="C147">
        <v>4600</v>
      </c>
      <c r="D147">
        <v>5582</v>
      </c>
      <c r="E147" s="4">
        <f t="shared" si="8"/>
        <v>0</v>
      </c>
      <c r="F147" s="4">
        <f t="shared" si="9"/>
        <v>982</v>
      </c>
      <c r="G147" s="4">
        <f t="shared" si="10"/>
        <v>0.21347826086956523</v>
      </c>
      <c r="H147" s="4">
        <f t="shared" si="11"/>
        <v>964324</v>
      </c>
      <c r="I147" s="5">
        <f>SQRT(SUM('r-native-multi'!$D$3:D147)/COUNTIF($A$3:A147,"&lt;&gt;0"))</f>
        <v>73.801644687775692</v>
      </c>
    </row>
    <row r="148" spans="1:9">
      <c r="A148">
        <v>146</v>
      </c>
      <c r="B148">
        <v>5</v>
      </c>
      <c r="C148">
        <v>4600</v>
      </c>
      <c r="D148">
        <v>5502</v>
      </c>
      <c r="E148" s="4">
        <f t="shared" si="8"/>
        <v>1</v>
      </c>
      <c r="F148" s="4">
        <f t="shared" si="9"/>
        <v>902</v>
      </c>
      <c r="G148" s="4">
        <f t="shared" si="10"/>
        <v>0.19608695652173913</v>
      </c>
      <c r="H148" s="4">
        <f t="shared" si="11"/>
        <v>813604</v>
      </c>
      <c r="I148" s="5">
        <f>SQRT(SUM('r-native-multi'!$D$3:D148)/COUNTIF($A$3:A148,"&lt;&gt;0"))</f>
        <v>73.804211558932167</v>
      </c>
    </row>
    <row r="149" spans="1:9">
      <c r="A149">
        <v>147</v>
      </c>
      <c r="B149">
        <v>5</v>
      </c>
      <c r="C149">
        <v>4600</v>
      </c>
      <c r="D149">
        <v>5481</v>
      </c>
      <c r="E149" s="4">
        <f t="shared" si="8"/>
        <v>1</v>
      </c>
      <c r="F149" s="4">
        <f t="shared" si="9"/>
        <v>881</v>
      </c>
      <c r="G149" s="4">
        <f t="shared" si="10"/>
        <v>0.19152173913043477</v>
      </c>
      <c r="H149" s="4">
        <f t="shared" si="11"/>
        <v>776161</v>
      </c>
      <c r="I149" s="5">
        <f>SQRT(SUM('r-native-multi'!$D$3:D149)/COUNTIF($A$3:A149,"&lt;&gt;0"))</f>
        <v>73.8057756344773</v>
      </c>
    </row>
    <row r="150" spans="1:9">
      <c r="A150">
        <v>148</v>
      </c>
      <c r="B150">
        <v>5</v>
      </c>
      <c r="C150">
        <v>4600</v>
      </c>
      <c r="D150">
        <v>5496</v>
      </c>
      <c r="E150" s="4">
        <f t="shared" si="8"/>
        <v>1</v>
      </c>
      <c r="F150" s="4">
        <f t="shared" si="9"/>
        <v>896</v>
      </c>
      <c r="G150" s="4">
        <f t="shared" si="10"/>
        <v>0.19478260869565217</v>
      </c>
      <c r="H150" s="4">
        <f t="shared" si="11"/>
        <v>802816</v>
      </c>
      <c r="I150" s="5">
        <f>SQRT(SUM('r-native-multi'!$D$3:D150)/COUNTIF($A$3:A150,"&lt;&gt;0"))</f>
        <v>73.808005132381282</v>
      </c>
    </row>
    <row r="151" spans="1:9">
      <c r="A151">
        <v>149</v>
      </c>
      <c r="B151">
        <v>5</v>
      </c>
      <c r="C151">
        <v>4600</v>
      </c>
      <c r="D151">
        <v>5459</v>
      </c>
      <c r="E151" s="4">
        <f t="shared" si="8"/>
        <v>1</v>
      </c>
      <c r="F151" s="4">
        <f t="shared" si="9"/>
        <v>859</v>
      </c>
      <c r="G151" s="4">
        <f t="shared" si="10"/>
        <v>0.1867391304347826</v>
      </c>
      <c r="H151" s="4">
        <f t="shared" si="11"/>
        <v>737881</v>
      </c>
      <c r="I151" s="5">
        <f>SQRT(SUM('r-native-multi'!$D$3:D151)/COUNTIF($A$3:A151,"&lt;&gt;0"))</f>
        <v>73.808522452201828</v>
      </c>
    </row>
    <row r="152" spans="1:9">
      <c r="A152">
        <v>150</v>
      </c>
      <c r="B152">
        <v>5</v>
      </c>
      <c r="C152">
        <v>4600</v>
      </c>
      <c r="D152">
        <v>5343</v>
      </c>
      <c r="E152" s="4">
        <f t="shared" si="8"/>
        <v>1</v>
      </c>
      <c r="F152" s="4">
        <f t="shared" si="9"/>
        <v>743</v>
      </c>
      <c r="G152" s="4">
        <f t="shared" si="10"/>
        <v>0.16152173913043477</v>
      </c>
      <c r="H152" s="4">
        <f t="shared" si="11"/>
        <v>552049</v>
      </c>
      <c r="I152" s="5">
        <f>SQRT(SUM('r-native-multi'!$D$3:D152)/COUNTIF($A$3:A152,"&lt;&gt;0"))</f>
        <v>73.803793940420164</v>
      </c>
    </row>
    <row r="153" spans="1:9">
      <c r="A153">
        <v>151</v>
      </c>
      <c r="B153">
        <v>5</v>
      </c>
      <c r="C153">
        <v>9500</v>
      </c>
      <c r="D153">
        <v>5548</v>
      </c>
      <c r="E153" s="4">
        <f t="shared" ref="E153:E216" si="12">IF(AND(D153&lt;=C153*1.2,D153&gt;=C153*0.8),1,0)</f>
        <v>0</v>
      </c>
      <c r="F153" s="4">
        <f t="shared" ref="F153:F216" si="13">ABS(C153-D153)</f>
        <v>3952</v>
      </c>
      <c r="G153" s="4">
        <f t="shared" ref="G153:G216" si="14">ABS(C153-D153)/C153</f>
        <v>0.41599999999999998</v>
      </c>
      <c r="H153" s="4">
        <f t="shared" ref="H153:H216" si="15">POWER(F153,2)</f>
        <v>15618304</v>
      </c>
      <c r="I153" s="5">
        <f>SQRT(SUM('r-native-multi'!$D$3:D153)/COUNTIF($A$3:A153,"&lt;&gt;0"))</f>
        <v>73.808325236196666</v>
      </c>
    </row>
    <row r="154" spans="1:9">
      <c r="A154">
        <v>152</v>
      </c>
      <c r="B154">
        <v>5</v>
      </c>
      <c r="C154">
        <v>9500</v>
      </c>
      <c r="D154">
        <v>5506</v>
      </c>
      <c r="E154" s="4">
        <f t="shared" si="12"/>
        <v>0</v>
      </c>
      <c r="F154" s="4">
        <f t="shared" si="13"/>
        <v>3994</v>
      </c>
      <c r="G154" s="4">
        <f t="shared" si="14"/>
        <v>0.42042105263157897</v>
      </c>
      <c r="H154" s="4">
        <f t="shared" si="15"/>
        <v>15952036</v>
      </c>
      <c r="I154" s="5">
        <f>SQRT(SUM('r-native-multi'!$D$3:D154)/COUNTIF($A$3:A154,"&lt;&gt;0"))</f>
        <v>73.81092487957963</v>
      </c>
    </row>
    <row r="155" spans="1:9">
      <c r="A155">
        <v>153</v>
      </c>
      <c r="B155">
        <v>5</v>
      </c>
      <c r="C155">
        <v>9500</v>
      </c>
      <c r="D155">
        <v>5465</v>
      </c>
      <c r="E155" s="4">
        <f t="shared" si="12"/>
        <v>0</v>
      </c>
      <c r="F155" s="4">
        <f t="shared" si="13"/>
        <v>4035</v>
      </c>
      <c r="G155" s="4">
        <f t="shared" si="14"/>
        <v>0.42473684210526313</v>
      </c>
      <c r="H155" s="4">
        <f t="shared" si="15"/>
        <v>16281225</v>
      </c>
      <c r="I155" s="5">
        <f>SQRT(SUM('r-native-multi'!$D$3:D155)/COUNTIF($A$3:A155,"&lt;&gt;0"))</f>
        <v>73.811675219390665</v>
      </c>
    </row>
    <row r="156" spans="1:9">
      <c r="A156">
        <v>154</v>
      </c>
      <c r="B156">
        <v>5</v>
      </c>
      <c r="C156">
        <v>9500</v>
      </c>
      <c r="D156">
        <v>5555</v>
      </c>
      <c r="E156" s="4">
        <f t="shared" si="12"/>
        <v>0</v>
      </c>
      <c r="F156" s="4">
        <f t="shared" si="13"/>
        <v>3945</v>
      </c>
      <c r="G156" s="4">
        <f t="shared" si="14"/>
        <v>0.41526315789473683</v>
      </c>
      <c r="H156" s="4">
        <f t="shared" si="15"/>
        <v>15563025</v>
      </c>
      <c r="I156" s="5">
        <f>SQRT(SUM('r-native-multi'!$D$3:D156)/COUNTIF($A$3:A156,"&lt;&gt;0"))</f>
        <v>73.816374490062458</v>
      </c>
    </row>
    <row r="157" spans="1:9">
      <c r="A157">
        <v>155</v>
      </c>
      <c r="B157">
        <v>5</v>
      </c>
      <c r="C157">
        <v>9500</v>
      </c>
      <c r="D157">
        <v>5445</v>
      </c>
      <c r="E157" s="4">
        <f t="shared" si="12"/>
        <v>0</v>
      </c>
      <c r="F157" s="4">
        <f t="shared" si="13"/>
        <v>4055</v>
      </c>
      <c r="G157" s="4">
        <f t="shared" si="14"/>
        <v>0.42684210526315791</v>
      </c>
      <c r="H157" s="4">
        <f t="shared" si="15"/>
        <v>16443025</v>
      </c>
      <c r="I157" s="5">
        <f>SQRT(SUM('r-native-multi'!$D$3:D157)/COUNTIF($A$3:A157,"&lt;&gt;0"))</f>
        <v>73.816205931113231</v>
      </c>
    </row>
    <row r="158" spans="1:9">
      <c r="A158">
        <v>156</v>
      </c>
      <c r="B158">
        <v>5</v>
      </c>
      <c r="C158">
        <v>9500</v>
      </c>
      <c r="D158">
        <v>5477</v>
      </c>
      <c r="E158" s="4">
        <f t="shared" si="12"/>
        <v>0</v>
      </c>
      <c r="F158" s="4">
        <f t="shared" si="13"/>
        <v>4023</v>
      </c>
      <c r="G158" s="4">
        <f t="shared" si="14"/>
        <v>0.42347368421052634</v>
      </c>
      <c r="H158" s="4">
        <f t="shared" si="15"/>
        <v>16184529</v>
      </c>
      <c r="I158" s="5">
        <f>SQRT(SUM('r-native-multi'!$D$3:D158)/COUNTIF($A$3:A158,"&lt;&gt;0"))</f>
        <v>73.817428975227926</v>
      </c>
    </row>
    <row r="159" spans="1:9">
      <c r="A159">
        <v>157</v>
      </c>
      <c r="B159">
        <v>5</v>
      </c>
      <c r="C159">
        <v>9500</v>
      </c>
      <c r="D159">
        <v>5408</v>
      </c>
      <c r="E159" s="4">
        <f t="shared" si="12"/>
        <v>0</v>
      </c>
      <c r="F159" s="4">
        <f t="shared" si="13"/>
        <v>4092</v>
      </c>
      <c r="G159" s="4">
        <f t="shared" si="14"/>
        <v>0.43073684210526314</v>
      </c>
      <c r="H159" s="4">
        <f t="shared" si="15"/>
        <v>16744464</v>
      </c>
      <c r="I159" s="5">
        <f>SQRT(SUM('r-native-multi'!$D$3:D159)/COUNTIF($A$3:A159,"&lt;&gt;0"))</f>
        <v>73.8156595334397</v>
      </c>
    </row>
    <row r="160" spans="1:9">
      <c r="A160">
        <v>158</v>
      </c>
      <c r="B160">
        <v>5</v>
      </c>
      <c r="C160">
        <v>9500</v>
      </c>
      <c r="D160">
        <v>5296</v>
      </c>
      <c r="E160" s="4">
        <f t="shared" si="12"/>
        <v>0</v>
      </c>
      <c r="F160" s="4">
        <f t="shared" si="13"/>
        <v>4204</v>
      </c>
      <c r="G160" s="4">
        <f t="shared" si="14"/>
        <v>0.44252631578947366</v>
      </c>
      <c r="H160" s="4">
        <f t="shared" si="15"/>
        <v>17673616</v>
      </c>
      <c r="I160" s="5">
        <f>SQRT(SUM('r-native-multi'!$D$3:D160)/COUNTIF($A$3:A160,"&lt;&gt;0"))</f>
        <v>73.809110617366088</v>
      </c>
    </row>
    <row r="161" spans="1:9">
      <c r="A161">
        <v>159</v>
      </c>
      <c r="B161">
        <v>5</v>
      </c>
      <c r="C161">
        <v>9500</v>
      </c>
      <c r="D161">
        <v>5413</v>
      </c>
      <c r="E161" s="4">
        <f t="shared" si="12"/>
        <v>0</v>
      </c>
      <c r="F161" s="4">
        <f t="shared" si="13"/>
        <v>4087</v>
      </c>
      <c r="G161" s="4">
        <f t="shared" si="14"/>
        <v>0.43021052631578949</v>
      </c>
      <c r="H161" s="4">
        <f t="shared" si="15"/>
        <v>16703569</v>
      </c>
      <c r="I161" s="5">
        <f>SQRT(SUM('r-native-multi'!$D$3:D161)/COUNTIF($A$3:A161,"&lt;&gt;0"))</f>
        <v>73.807628587672752</v>
      </c>
    </row>
    <row r="162" spans="1:9">
      <c r="A162">
        <v>160</v>
      </c>
      <c r="B162">
        <v>5</v>
      </c>
      <c r="C162">
        <v>9500</v>
      </c>
      <c r="D162">
        <v>5364</v>
      </c>
      <c r="E162" s="4">
        <f t="shared" si="12"/>
        <v>0</v>
      </c>
      <c r="F162" s="4">
        <f t="shared" si="13"/>
        <v>4136</v>
      </c>
      <c r="G162" s="4">
        <f t="shared" si="14"/>
        <v>0.43536842105263157</v>
      </c>
      <c r="H162" s="4">
        <f t="shared" si="15"/>
        <v>17106496</v>
      </c>
      <c r="I162" s="5">
        <f>SQRT(SUM('r-native-multi'!$D$3:D162)/COUNTIF($A$3:A162,"&lt;&gt;0"))</f>
        <v>73.804090333801966</v>
      </c>
    </row>
    <row r="163" spans="1:9">
      <c r="A163">
        <v>161</v>
      </c>
      <c r="B163">
        <v>5</v>
      </c>
      <c r="C163">
        <v>9500</v>
      </c>
      <c r="D163">
        <v>5488</v>
      </c>
      <c r="E163" s="4">
        <f t="shared" si="12"/>
        <v>0</v>
      </c>
      <c r="F163" s="4">
        <f t="shared" si="13"/>
        <v>4012</v>
      </c>
      <c r="G163" s="4">
        <f t="shared" si="14"/>
        <v>0.4223157894736842</v>
      </c>
      <c r="H163" s="4">
        <f t="shared" si="15"/>
        <v>16096144</v>
      </c>
      <c r="I163" s="5">
        <f>SQRT(SUM('r-native-multi'!$D$3:D163)/COUNTIF($A$3:A163,"&lt;&gt;0"))</f>
        <v>73.805813704924105</v>
      </c>
    </row>
    <row r="164" spans="1:9">
      <c r="A164">
        <v>162</v>
      </c>
      <c r="B164">
        <v>5</v>
      </c>
      <c r="C164">
        <v>9500</v>
      </c>
      <c r="D164">
        <v>5442</v>
      </c>
      <c r="E164" s="4">
        <f t="shared" si="12"/>
        <v>0</v>
      </c>
      <c r="F164" s="4">
        <f t="shared" si="13"/>
        <v>4058</v>
      </c>
      <c r="G164" s="4">
        <f t="shared" si="14"/>
        <v>0.42715789473684213</v>
      </c>
      <c r="H164" s="4">
        <f t="shared" si="15"/>
        <v>16467364</v>
      </c>
      <c r="I164" s="5">
        <f>SQRT(SUM('r-native-multi'!$D$3:D164)/COUNTIF($A$3:A164,"&lt;&gt;0"))</f>
        <v>73.805592146522102</v>
      </c>
    </row>
    <row r="165" spans="1:9">
      <c r="A165">
        <v>163</v>
      </c>
      <c r="B165">
        <v>5</v>
      </c>
      <c r="C165">
        <v>9500</v>
      </c>
      <c r="D165">
        <v>5524</v>
      </c>
      <c r="E165" s="4">
        <f t="shared" si="12"/>
        <v>0</v>
      </c>
      <c r="F165" s="4">
        <f t="shared" si="13"/>
        <v>3976</v>
      </c>
      <c r="G165" s="4">
        <f t="shared" si="14"/>
        <v>0.41852631578947369</v>
      </c>
      <c r="H165" s="4">
        <f t="shared" si="15"/>
        <v>15808576</v>
      </c>
      <c r="I165" s="5">
        <f>SQRT(SUM('r-native-multi'!$D$3:D165)/COUNTIF($A$3:A165,"&lt;&gt;0"))</f>
        <v>73.808781295446266</v>
      </c>
    </row>
    <row r="166" spans="1:9">
      <c r="A166">
        <v>164</v>
      </c>
      <c r="B166">
        <v>5</v>
      </c>
      <c r="C166">
        <v>9500</v>
      </c>
      <c r="D166">
        <v>5408</v>
      </c>
      <c r="E166" s="4">
        <f t="shared" si="12"/>
        <v>0</v>
      </c>
      <c r="F166" s="4">
        <f t="shared" si="13"/>
        <v>4092</v>
      </c>
      <c r="G166" s="4">
        <f t="shared" si="14"/>
        <v>0.43073684210526314</v>
      </c>
      <c r="H166" s="4">
        <f t="shared" si="15"/>
        <v>16744464</v>
      </c>
      <c r="I166" s="5">
        <f>SQRT(SUM('r-native-multi'!$D$3:D166)/COUNTIF($A$3:A166,"&lt;&gt;0"))</f>
        <v>73.807139915044971</v>
      </c>
    </row>
    <row r="167" spans="1:9">
      <c r="A167">
        <v>165</v>
      </c>
      <c r="B167">
        <v>5</v>
      </c>
      <c r="C167">
        <v>9500</v>
      </c>
      <c r="D167">
        <v>5441</v>
      </c>
      <c r="E167" s="4">
        <f t="shared" si="12"/>
        <v>0</v>
      </c>
      <c r="F167" s="4">
        <f t="shared" si="13"/>
        <v>4059</v>
      </c>
      <c r="G167" s="4">
        <f t="shared" si="14"/>
        <v>0.42726315789473684</v>
      </c>
      <c r="H167" s="4">
        <f t="shared" si="15"/>
        <v>16475481</v>
      </c>
      <c r="I167" s="5">
        <f>SQRT(SUM('r-native-multi'!$D$3:D167)/COUNTIF($A$3:A167,"&lt;&gt;0"))</f>
        <v>73.806873294121772</v>
      </c>
    </row>
    <row r="168" spans="1:9">
      <c r="A168">
        <v>166</v>
      </c>
      <c r="B168">
        <v>5</v>
      </c>
      <c r="C168">
        <v>9500</v>
      </c>
      <c r="D168">
        <v>5425</v>
      </c>
      <c r="E168" s="4">
        <f t="shared" si="12"/>
        <v>0</v>
      </c>
      <c r="F168" s="4">
        <f t="shared" si="13"/>
        <v>4075</v>
      </c>
      <c r="G168" s="4">
        <f t="shared" si="14"/>
        <v>0.42894736842105263</v>
      </c>
      <c r="H168" s="4">
        <f t="shared" si="15"/>
        <v>16605625</v>
      </c>
      <c r="I168" s="5">
        <f>SQRT(SUM('r-native-multi'!$D$3:D168)/COUNTIF($A$3:A168,"&lt;&gt;0"))</f>
        <v>73.805956921568566</v>
      </c>
    </row>
    <row r="169" spans="1:9">
      <c r="A169">
        <v>167</v>
      </c>
      <c r="B169">
        <v>5</v>
      </c>
      <c r="C169">
        <v>9500</v>
      </c>
      <c r="D169">
        <v>5385</v>
      </c>
      <c r="E169" s="4">
        <f t="shared" si="12"/>
        <v>0</v>
      </c>
      <c r="F169" s="4">
        <f t="shared" si="13"/>
        <v>4115</v>
      </c>
      <c r="G169" s="4">
        <f t="shared" si="14"/>
        <v>0.43315789473684213</v>
      </c>
      <c r="H169" s="4">
        <f t="shared" si="15"/>
        <v>16933225</v>
      </c>
      <c r="I169" s="5">
        <f>SQRT(SUM('r-native-multi'!$D$3:D169)/COUNTIF($A$3:A169,"&lt;&gt;0"))</f>
        <v>73.803428834874808</v>
      </c>
    </row>
    <row r="170" spans="1:9">
      <c r="A170">
        <v>168</v>
      </c>
      <c r="B170">
        <v>5</v>
      </c>
      <c r="C170">
        <v>9500</v>
      </c>
      <c r="D170">
        <v>5391</v>
      </c>
      <c r="E170" s="4">
        <f t="shared" si="12"/>
        <v>0</v>
      </c>
      <c r="F170" s="4">
        <f t="shared" si="13"/>
        <v>4109</v>
      </c>
      <c r="G170" s="4">
        <f t="shared" si="14"/>
        <v>0.4325263157894737</v>
      </c>
      <c r="H170" s="4">
        <f t="shared" si="15"/>
        <v>16883881</v>
      </c>
      <c r="I170" s="5">
        <f>SQRT(SUM('r-native-multi'!$D$3:D170)/COUNTIF($A$3:A170,"&lt;&gt;0"))</f>
        <v>73.801172722647806</v>
      </c>
    </row>
    <row r="171" spans="1:9">
      <c r="A171">
        <v>169</v>
      </c>
      <c r="B171">
        <v>5</v>
      </c>
      <c r="C171">
        <v>9500</v>
      </c>
      <c r="D171">
        <v>5476</v>
      </c>
      <c r="E171" s="4">
        <f t="shared" si="12"/>
        <v>0</v>
      </c>
      <c r="F171" s="4">
        <f t="shared" si="13"/>
        <v>4024</v>
      </c>
      <c r="G171" s="4">
        <f t="shared" si="14"/>
        <v>0.42357894736842105</v>
      </c>
      <c r="H171" s="4">
        <f t="shared" si="15"/>
        <v>16192576</v>
      </c>
      <c r="I171" s="5">
        <f>SQRT(SUM('r-native-multi'!$D$3:D171)/COUNTIF($A$3:A171,"&lt;&gt;0"))</f>
        <v>73.802350790801512</v>
      </c>
    </row>
    <row r="172" spans="1:9">
      <c r="A172">
        <v>170</v>
      </c>
      <c r="B172">
        <v>5</v>
      </c>
      <c r="C172">
        <v>9500</v>
      </c>
      <c r="D172">
        <v>5445</v>
      </c>
      <c r="E172" s="4">
        <f t="shared" si="12"/>
        <v>0</v>
      </c>
      <c r="F172" s="4">
        <f t="shared" si="13"/>
        <v>4055</v>
      </c>
      <c r="G172" s="4">
        <f t="shared" si="14"/>
        <v>0.42684210526315791</v>
      </c>
      <c r="H172" s="4">
        <f t="shared" si="15"/>
        <v>16443025</v>
      </c>
      <c r="I172" s="5">
        <f>SQRT(SUM('r-native-multi'!$D$3:D172)/COUNTIF($A$3:A172,"&lt;&gt;0"))</f>
        <v>73.802279575824997</v>
      </c>
    </row>
    <row r="173" spans="1:9">
      <c r="A173">
        <v>171</v>
      </c>
      <c r="B173">
        <v>5</v>
      </c>
      <c r="C173">
        <v>9500</v>
      </c>
      <c r="D173">
        <v>5516</v>
      </c>
      <c r="E173" s="4">
        <f t="shared" si="12"/>
        <v>0</v>
      </c>
      <c r="F173" s="4">
        <f t="shared" si="13"/>
        <v>3984</v>
      </c>
      <c r="G173" s="4">
        <f t="shared" si="14"/>
        <v>0.41936842105263156</v>
      </c>
      <c r="H173" s="4">
        <f t="shared" si="15"/>
        <v>15872256</v>
      </c>
      <c r="I173" s="5">
        <f>SQRT(SUM('r-native-multi'!$D$3:D173)/COUNTIF($A$3:A173,"&lt;&gt;0"))</f>
        <v>73.805022095719934</v>
      </c>
    </row>
    <row r="174" spans="1:9">
      <c r="A174">
        <v>172</v>
      </c>
      <c r="B174">
        <v>5</v>
      </c>
      <c r="C174">
        <v>9500</v>
      </c>
      <c r="D174">
        <v>5437</v>
      </c>
      <c r="E174" s="4">
        <f t="shared" si="12"/>
        <v>0</v>
      </c>
      <c r="F174" s="4">
        <f t="shared" si="13"/>
        <v>4063</v>
      </c>
      <c r="G174" s="4">
        <f t="shared" si="14"/>
        <v>0.42768421052631578</v>
      </c>
      <c r="H174" s="4">
        <f t="shared" si="15"/>
        <v>16507969</v>
      </c>
      <c r="I174" s="5">
        <f>SQRT(SUM('r-native-multi'!$D$3:D174)/COUNTIF($A$3:A174,"&lt;&gt;0"))</f>
        <v>73.804621081767337</v>
      </c>
    </row>
    <row r="175" spans="1:9">
      <c r="A175">
        <v>173</v>
      </c>
      <c r="B175">
        <v>5</v>
      </c>
      <c r="C175">
        <v>9500</v>
      </c>
      <c r="D175">
        <v>5508</v>
      </c>
      <c r="E175" s="4">
        <f t="shared" si="12"/>
        <v>0</v>
      </c>
      <c r="F175" s="4">
        <f t="shared" si="13"/>
        <v>3992</v>
      </c>
      <c r="G175" s="4">
        <f t="shared" si="14"/>
        <v>0.42021052631578948</v>
      </c>
      <c r="H175" s="4">
        <f t="shared" si="15"/>
        <v>15936064</v>
      </c>
      <c r="I175" s="5">
        <f>SQRT(SUM('r-native-multi'!$D$3:D175)/COUNTIF($A$3:A175,"&lt;&gt;0"))</f>
        <v>73.807005009276097</v>
      </c>
    </row>
    <row r="176" spans="1:9">
      <c r="A176">
        <v>174</v>
      </c>
      <c r="B176">
        <v>5</v>
      </c>
      <c r="C176">
        <v>9500</v>
      </c>
      <c r="D176">
        <v>5363</v>
      </c>
      <c r="E176" s="4">
        <f t="shared" si="12"/>
        <v>0</v>
      </c>
      <c r="F176" s="4">
        <f t="shared" si="13"/>
        <v>4137</v>
      </c>
      <c r="G176" s="4">
        <f t="shared" si="14"/>
        <v>0.43547368421052629</v>
      </c>
      <c r="H176" s="4">
        <f t="shared" si="15"/>
        <v>17114769</v>
      </c>
      <c r="I176" s="5">
        <f>SQRT(SUM('r-native-multi'!$D$3:D176)/COUNTIF($A$3:A176,"&lt;&gt;0"))</f>
        <v>73.803716070040309</v>
      </c>
    </row>
    <row r="177" spans="1:9">
      <c r="A177">
        <v>175</v>
      </c>
      <c r="B177">
        <v>5</v>
      </c>
      <c r="C177">
        <v>9500</v>
      </c>
      <c r="D177">
        <v>5561</v>
      </c>
      <c r="E177" s="4">
        <f t="shared" si="12"/>
        <v>0</v>
      </c>
      <c r="F177" s="4">
        <f t="shared" si="13"/>
        <v>3939</v>
      </c>
      <c r="G177" s="4">
        <f t="shared" si="14"/>
        <v>0.41463157894736841</v>
      </c>
      <c r="H177" s="4">
        <f t="shared" si="15"/>
        <v>15515721</v>
      </c>
      <c r="I177" s="5">
        <f>SQRT(SUM('r-native-multi'!$D$3:D177)/COUNTIF($A$3:A177,"&lt;&gt;0"))</f>
        <v>73.808129633530214</v>
      </c>
    </row>
    <row r="178" spans="1:9">
      <c r="A178">
        <v>176</v>
      </c>
      <c r="B178">
        <v>5</v>
      </c>
      <c r="C178">
        <v>9500</v>
      </c>
      <c r="D178">
        <v>5457</v>
      </c>
      <c r="E178" s="4">
        <f t="shared" si="12"/>
        <v>0</v>
      </c>
      <c r="F178" s="4">
        <f t="shared" si="13"/>
        <v>4043</v>
      </c>
      <c r="G178" s="4">
        <f t="shared" si="14"/>
        <v>0.42557894736842106</v>
      </c>
      <c r="H178" s="4">
        <f t="shared" si="15"/>
        <v>16345849</v>
      </c>
      <c r="I178" s="5">
        <f>SQRT(SUM('r-native-multi'!$D$3:D178)/COUNTIF($A$3:A178,"&lt;&gt;0"))</f>
        <v>73.808489903385649</v>
      </c>
    </row>
    <row r="179" spans="1:9">
      <c r="A179">
        <v>177</v>
      </c>
      <c r="B179">
        <v>5</v>
      </c>
      <c r="C179">
        <v>9500</v>
      </c>
      <c r="D179">
        <v>5428</v>
      </c>
      <c r="E179" s="4">
        <f t="shared" si="12"/>
        <v>0</v>
      </c>
      <c r="F179" s="4">
        <f t="shared" si="13"/>
        <v>4072</v>
      </c>
      <c r="G179" s="4">
        <f t="shared" si="14"/>
        <v>0.42863157894736842</v>
      </c>
      <c r="H179" s="4">
        <f t="shared" si="15"/>
        <v>16581184</v>
      </c>
      <c r="I179" s="5">
        <f>SQRT(SUM('r-native-multi'!$D$3:D179)/COUNTIF($A$3:A179,"&lt;&gt;0"))</f>
        <v>73.807736186012065</v>
      </c>
    </row>
    <row r="180" spans="1:9">
      <c r="A180">
        <v>178</v>
      </c>
      <c r="B180">
        <v>5</v>
      </c>
      <c r="C180">
        <v>9500</v>
      </c>
      <c r="D180">
        <v>5452</v>
      </c>
      <c r="E180" s="4">
        <f t="shared" si="12"/>
        <v>0</v>
      </c>
      <c r="F180" s="4">
        <f t="shared" si="13"/>
        <v>4048</v>
      </c>
      <c r="G180" s="4">
        <f t="shared" si="14"/>
        <v>0.42610526315789471</v>
      </c>
      <c r="H180" s="4">
        <f t="shared" si="15"/>
        <v>16386304</v>
      </c>
      <c r="I180" s="5">
        <f>SQRT(SUM('r-native-multi'!$D$3:D180)/COUNTIF($A$3:A180,"&lt;&gt;0"))</f>
        <v>73.807904329909235</v>
      </c>
    </row>
    <row r="181" spans="1:9">
      <c r="A181">
        <v>179</v>
      </c>
      <c r="B181">
        <v>5</v>
      </c>
      <c r="C181">
        <v>9500</v>
      </c>
      <c r="D181">
        <v>5514</v>
      </c>
      <c r="E181" s="4">
        <f t="shared" si="12"/>
        <v>0</v>
      </c>
      <c r="F181" s="4">
        <f t="shared" si="13"/>
        <v>3986</v>
      </c>
      <c r="G181" s="4">
        <f t="shared" si="14"/>
        <v>0.41957894736842105</v>
      </c>
      <c r="H181" s="4">
        <f t="shared" si="15"/>
        <v>15888196</v>
      </c>
      <c r="I181" s="5">
        <f>SQRT(SUM('r-native-multi'!$D$3:D181)/COUNTIF($A$3:A181,"&lt;&gt;0"))</f>
        <v>73.810416972343987</v>
      </c>
    </row>
    <row r="182" spans="1:9">
      <c r="A182">
        <v>180</v>
      </c>
      <c r="B182">
        <v>5</v>
      </c>
      <c r="C182">
        <v>9500</v>
      </c>
      <c r="D182">
        <v>5307</v>
      </c>
      <c r="E182" s="4">
        <f t="shared" si="12"/>
        <v>0</v>
      </c>
      <c r="F182" s="4">
        <f t="shared" si="13"/>
        <v>4193</v>
      </c>
      <c r="G182" s="4">
        <f t="shared" si="14"/>
        <v>0.44136842105263158</v>
      </c>
      <c r="H182" s="4">
        <f t="shared" si="15"/>
        <v>17581249</v>
      </c>
      <c r="I182" s="5">
        <f>SQRT(SUM('r-native-multi'!$D$3:D182)/COUNTIF($A$3:A182,"&lt;&gt;0"))</f>
        <v>73.805111235228452</v>
      </c>
    </row>
    <row r="183" spans="1:9">
      <c r="A183">
        <v>181</v>
      </c>
      <c r="B183">
        <v>5</v>
      </c>
      <c r="C183">
        <v>9500</v>
      </c>
      <c r="D183">
        <v>5513</v>
      </c>
      <c r="E183" s="4">
        <f t="shared" si="12"/>
        <v>0</v>
      </c>
      <c r="F183" s="4">
        <f t="shared" si="13"/>
        <v>3987</v>
      </c>
      <c r="G183" s="4">
        <f t="shared" si="14"/>
        <v>0.41968421052631577</v>
      </c>
      <c r="H183" s="4">
        <f t="shared" si="15"/>
        <v>15896169</v>
      </c>
      <c r="I183" s="5">
        <f>SQRT(SUM('r-native-multi'!$D$3:D183)/COUNTIF($A$3:A183,"&lt;&gt;0"))</f>
        <v>73.807574211931154</v>
      </c>
    </row>
    <row r="184" spans="1:9">
      <c r="A184">
        <v>182</v>
      </c>
      <c r="B184">
        <v>5</v>
      </c>
      <c r="C184">
        <v>9500</v>
      </c>
      <c r="D184">
        <v>5427</v>
      </c>
      <c r="E184" s="4">
        <f t="shared" si="12"/>
        <v>0</v>
      </c>
      <c r="F184" s="4">
        <f t="shared" si="13"/>
        <v>4073</v>
      </c>
      <c r="G184" s="4">
        <f t="shared" si="14"/>
        <v>0.42873684210526314</v>
      </c>
      <c r="H184" s="4">
        <f t="shared" si="15"/>
        <v>16589329</v>
      </c>
      <c r="I184" s="5">
        <f>SQRT(SUM('r-native-multi'!$D$3:D184)/COUNTIF($A$3:A184,"&lt;&gt;0"))</f>
        <v>73.806809001236843</v>
      </c>
    </row>
    <row r="185" spans="1:9">
      <c r="A185">
        <v>183</v>
      </c>
      <c r="B185">
        <v>5</v>
      </c>
      <c r="C185">
        <v>9500</v>
      </c>
      <c r="D185">
        <v>5458</v>
      </c>
      <c r="E185" s="4">
        <f t="shared" si="12"/>
        <v>0</v>
      </c>
      <c r="F185" s="4">
        <f t="shared" si="13"/>
        <v>4042</v>
      </c>
      <c r="G185" s="4">
        <f t="shared" si="14"/>
        <v>0.42547368421052634</v>
      </c>
      <c r="H185" s="4">
        <f t="shared" si="15"/>
        <v>16337764</v>
      </c>
      <c r="I185" s="5">
        <f>SQRT(SUM('r-native-multi'!$D$3:D185)/COUNTIF($A$3:A185,"&lt;&gt;0"))</f>
        <v>73.807199731736446</v>
      </c>
    </row>
    <row r="186" spans="1:9">
      <c r="A186">
        <v>184</v>
      </c>
      <c r="B186">
        <v>5</v>
      </c>
      <c r="C186">
        <v>9500</v>
      </c>
      <c r="D186">
        <v>5393</v>
      </c>
      <c r="E186" s="4">
        <f t="shared" si="12"/>
        <v>0</v>
      </c>
      <c r="F186" s="4">
        <f t="shared" si="13"/>
        <v>4107</v>
      </c>
      <c r="G186" s="4">
        <f t="shared" si="14"/>
        <v>0.43231578947368421</v>
      </c>
      <c r="H186" s="4">
        <f t="shared" si="15"/>
        <v>16867449</v>
      </c>
      <c r="I186" s="5">
        <f>SQRT(SUM('r-native-multi'!$D$3:D186)/COUNTIF($A$3:A186,"&lt;&gt;0"))</f>
        <v>73.805193054006239</v>
      </c>
    </row>
    <row r="187" spans="1:9">
      <c r="A187">
        <v>185</v>
      </c>
      <c r="B187">
        <v>5</v>
      </c>
      <c r="C187">
        <v>9500</v>
      </c>
      <c r="D187">
        <v>5427</v>
      </c>
      <c r="E187" s="4">
        <f t="shared" si="12"/>
        <v>0</v>
      </c>
      <c r="F187" s="4">
        <f t="shared" si="13"/>
        <v>4073</v>
      </c>
      <c r="G187" s="4">
        <f t="shared" si="14"/>
        <v>0.42873684210526314</v>
      </c>
      <c r="H187" s="4">
        <f t="shared" si="15"/>
        <v>16589329</v>
      </c>
      <c r="I187" s="5">
        <f>SQRT(SUM('r-native-multi'!$D$3:D187)/COUNTIF($A$3:A187,"&lt;&gt;0"))</f>
        <v>73.804453099371301</v>
      </c>
    </row>
    <row r="188" spans="1:9">
      <c r="A188">
        <v>186</v>
      </c>
      <c r="B188">
        <v>5</v>
      </c>
      <c r="C188">
        <v>9500</v>
      </c>
      <c r="D188">
        <v>5419</v>
      </c>
      <c r="E188" s="4">
        <f t="shared" si="12"/>
        <v>0</v>
      </c>
      <c r="F188" s="4">
        <f t="shared" si="13"/>
        <v>4081</v>
      </c>
      <c r="G188" s="4">
        <f t="shared" si="14"/>
        <v>0.42957894736842106</v>
      </c>
      <c r="H188" s="4">
        <f t="shared" si="15"/>
        <v>16654561</v>
      </c>
      <c r="I188" s="5">
        <f>SQRT(SUM('r-native-multi'!$D$3:D188)/COUNTIF($A$3:A188,"&lt;&gt;0"))</f>
        <v>73.803429707291656</v>
      </c>
    </row>
    <row r="189" spans="1:9">
      <c r="A189">
        <v>187</v>
      </c>
      <c r="B189">
        <v>5</v>
      </c>
      <c r="C189">
        <v>9500</v>
      </c>
      <c r="D189">
        <v>5479</v>
      </c>
      <c r="E189" s="4">
        <f t="shared" si="12"/>
        <v>0</v>
      </c>
      <c r="F189" s="4">
        <f t="shared" si="13"/>
        <v>4021</v>
      </c>
      <c r="G189" s="4">
        <f t="shared" si="14"/>
        <v>0.42326315789473684</v>
      </c>
      <c r="H189" s="4">
        <f t="shared" si="15"/>
        <v>16168441</v>
      </c>
      <c r="I189" s="5">
        <f>SQRT(SUM('r-native-multi'!$D$3:D189)/COUNTIF($A$3:A189,"&lt;&gt;0"))</f>
        <v>73.804590961936938</v>
      </c>
    </row>
    <row r="190" spans="1:9">
      <c r="A190">
        <v>188</v>
      </c>
      <c r="B190">
        <v>5</v>
      </c>
      <c r="C190">
        <v>9500</v>
      </c>
      <c r="D190">
        <v>5452</v>
      </c>
      <c r="E190" s="4">
        <f t="shared" si="12"/>
        <v>0</v>
      </c>
      <c r="F190" s="4">
        <f t="shared" si="13"/>
        <v>4048</v>
      </c>
      <c r="G190" s="4">
        <f t="shared" si="14"/>
        <v>0.42610526315789471</v>
      </c>
      <c r="H190" s="4">
        <f t="shared" si="15"/>
        <v>16386304</v>
      </c>
      <c r="I190" s="5">
        <f>SQRT(SUM('r-native-multi'!$D$3:D190)/COUNTIF($A$3:A190,"&lt;&gt;0"))</f>
        <v>73.804766899037602</v>
      </c>
    </row>
    <row r="191" spans="1:9">
      <c r="A191">
        <v>189</v>
      </c>
      <c r="B191">
        <v>5</v>
      </c>
      <c r="C191">
        <v>9500</v>
      </c>
      <c r="D191">
        <v>5496</v>
      </c>
      <c r="E191" s="4">
        <f t="shared" si="12"/>
        <v>0</v>
      </c>
      <c r="F191" s="4">
        <f t="shared" si="13"/>
        <v>4004</v>
      </c>
      <c r="G191" s="4">
        <f t="shared" si="14"/>
        <v>0.42147368421052633</v>
      </c>
      <c r="H191" s="4">
        <f t="shared" si="15"/>
        <v>16032016</v>
      </c>
      <c r="I191" s="5">
        <f>SQRT(SUM('r-native-multi'!$D$3:D191)/COUNTIF($A$3:A191,"&lt;&gt;0"))</f>
        <v>73.806518115963954</v>
      </c>
    </row>
    <row r="192" spans="1:9">
      <c r="A192">
        <v>190</v>
      </c>
      <c r="B192">
        <v>5</v>
      </c>
      <c r="C192">
        <v>9500</v>
      </c>
      <c r="D192">
        <v>5496</v>
      </c>
      <c r="E192" s="4">
        <f t="shared" si="12"/>
        <v>0</v>
      </c>
      <c r="F192" s="4">
        <f t="shared" si="13"/>
        <v>4004</v>
      </c>
      <c r="G192" s="4">
        <f t="shared" si="14"/>
        <v>0.42147368421052633</v>
      </c>
      <c r="H192" s="4">
        <f t="shared" si="15"/>
        <v>16032016</v>
      </c>
      <c r="I192" s="5">
        <f>SQRT(SUM('r-native-multi'!$D$3:D192)/COUNTIF($A$3:A192,"&lt;&gt;0"))</f>
        <v>73.808250858131316</v>
      </c>
    </row>
    <row r="193" spans="1:9">
      <c r="A193">
        <v>191</v>
      </c>
      <c r="B193">
        <v>5</v>
      </c>
      <c r="C193">
        <v>9500</v>
      </c>
      <c r="D193">
        <v>5467</v>
      </c>
      <c r="E193" s="4">
        <f t="shared" si="12"/>
        <v>0</v>
      </c>
      <c r="F193" s="4">
        <f t="shared" si="13"/>
        <v>4033</v>
      </c>
      <c r="G193" s="4">
        <f t="shared" si="14"/>
        <v>0.4245263157894737</v>
      </c>
      <c r="H193" s="4">
        <f t="shared" si="15"/>
        <v>16265089</v>
      </c>
      <c r="I193" s="5">
        <f>SQRT(SUM('r-native-multi'!$D$3:D193)/COUNTIF($A$3:A193,"&lt;&gt;0"))</f>
        <v>73.808936872872408</v>
      </c>
    </row>
    <row r="194" spans="1:9">
      <c r="A194">
        <v>192</v>
      </c>
      <c r="B194">
        <v>5</v>
      </c>
      <c r="C194">
        <v>9500</v>
      </c>
      <c r="D194">
        <v>5372</v>
      </c>
      <c r="E194" s="4">
        <f t="shared" si="12"/>
        <v>0</v>
      </c>
      <c r="F194" s="4">
        <f t="shared" si="13"/>
        <v>4128</v>
      </c>
      <c r="G194" s="4">
        <f t="shared" si="14"/>
        <v>0.4345263157894737</v>
      </c>
      <c r="H194" s="4">
        <f t="shared" si="15"/>
        <v>17040384</v>
      </c>
      <c r="I194" s="5">
        <f>SQRT(SUM('r-native-multi'!$D$3:D194)/COUNTIF($A$3:A194,"&lt;&gt;0"))</f>
        <v>73.806263848899249</v>
      </c>
    </row>
    <row r="195" spans="1:9">
      <c r="A195">
        <v>193</v>
      </c>
      <c r="B195">
        <v>5</v>
      </c>
      <c r="C195">
        <v>9500</v>
      </c>
      <c r="D195">
        <v>5094</v>
      </c>
      <c r="E195" s="4">
        <f t="shared" si="12"/>
        <v>0</v>
      </c>
      <c r="F195" s="4">
        <f t="shared" si="13"/>
        <v>4406</v>
      </c>
      <c r="G195" s="4">
        <f t="shared" si="14"/>
        <v>0.46378947368421053</v>
      </c>
      <c r="H195" s="4">
        <f t="shared" si="15"/>
        <v>19412836</v>
      </c>
      <c r="I195" s="5">
        <f>SQRT(SUM('r-native-multi'!$D$3:D195)/COUNTIF($A$3:A195,"&lt;&gt;0"))</f>
        <v>73.793859356700381</v>
      </c>
    </row>
    <row r="196" spans="1:9">
      <c r="A196">
        <v>194</v>
      </c>
      <c r="B196">
        <v>5</v>
      </c>
      <c r="C196">
        <v>9500</v>
      </c>
      <c r="D196">
        <v>5304</v>
      </c>
      <c r="E196" s="4">
        <f t="shared" si="12"/>
        <v>0</v>
      </c>
      <c r="F196" s="4">
        <f t="shared" si="13"/>
        <v>4196</v>
      </c>
      <c r="G196" s="4">
        <f t="shared" si="14"/>
        <v>0.44168421052631579</v>
      </c>
      <c r="H196" s="4">
        <f t="shared" si="15"/>
        <v>17606416</v>
      </c>
      <c r="I196" s="5">
        <f>SQRT(SUM('r-native-multi'!$D$3:D196)/COUNTIF($A$3:A196,"&lt;&gt;0"))</f>
        <v>73.788915994960519</v>
      </c>
    </row>
    <row r="197" spans="1:9">
      <c r="A197">
        <v>195</v>
      </c>
      <c r="B197">
        <v>5</v>
      </c>
      <c r="C197">
        <v>9500</v>
      </c>
      <c r="D197">
        <v>5258</v>
      </c>
      <c r="E197" s="4">
        <f t="shared" si="12"/>
        <v>0</v>
      </c>
      <c r="F197" s="4">
        <f t="shared" si="13"/>
        <v>4242</v>
      </c>
      <c r="G197" s="4">
        <f t="shared" si="14"/>
        <v>0.44652631578947366</v>
      </c>
      <c r="H197" s="4">
        <f t="shared" si="15"/>
        <v>17994564</v>
      </c>
      <c r="I197" s="5">
        <f>SQRT(SUM('r-native-multi'!$D$3:D197)/COUNTIF($A$3:A197,"&lt;&gt;0"))</f>
        <v>73.782424423748466</v>
      </c>
    </row>
    <row r="198" spans="1:9">
      <c r="A198">
        <v>196</v>
      </c>
      <c r="B198">
        <v>5</v>
      </c>
      <c r="C198">
        <v>9500</v>
      </c>
      <c r="D198">
        <v>5209</v>
      </c>
      <c r="E198" s="4">
        <f t="shared" si="12"/>
        <v>0</v>
      </c>
      <c r="F198" s="4">
        <f t="shared" si="13"/>
        <v>4291</v>
      </c>
      <c r="G198" s="4">
        <f t="shared" si="14"/>
        <v>0.4516842105263158</v>
      </c>
      <c r="H198" s="4">
        <f t="shared" si="15"/>
        <v>18412681</v>
      </c>
      <c r="I198" s="5">
        <f>SQRT(SUM('r-native-multi'!$D$3:D198)/COUNTIF($A$3:A198,"&lt;&gt;0"))</f>
        <v>73.77430419315165</v>
      </c>
    </row>
    <row r="199" spans="1:9">
      <c r="A199">
        <v>197</v>
      </c>
      <c r="B199">
        <v>5</v>
      </c>
      <c r="C199">
        <v>9500</v>
      </c>
      <c r="D199">
        <v>5264</v>
      </c>
      <c r="E199" s="4">
        <f t="shared" si="12"/>
        <v>0</v>
      </c>
      <c r="F199" s="4">
        <f t="shared" si="13"/>
        <v>4236</v>
      </c>
      <c r="G199" s="4">
        <f t="shared" si="14"/>
        <v>0.44589473684210529</v>
      </c>
      <c r="H199" s="4">
        <f t="shared" si="15"/>
        <v>17943696</v>
      </c>
      <c r="I199" s="5">
        <f>SQRT(SUM('r-native-multi'!$D$3:D199)/COUNTIF($A$3:A199,"&lt;&gt;0"))</f>
        <v>73.768157878255778</v>
      </c>
    </row>
    <row r="200" spans="1:9">
      <c r="A200">
        <v>198</v>
      </c>
      <c r="B200">
        <v>5</v>
      </c>
      <c r="C200">
        <v>9500</v>
      </c>
      <c r="D200">
        <v>5204</v>
      </c>
      <c r="E200" s="4">
        <f t="shared" si="12"/>
        <v>0</v>
      </c>
      <c r="F200" s="4">
        <f t="shared" si="13"/>
        <v>4296</v>
      </c>
      <c r="G200" s="4">
        <f t="shared" si="14"/>
        <v>0.45221052631578945</v>
      </c>
      <c r="H200" s="4">
        <f t="shared" si="15"/>
        <v>18455616</v>
      </c>
      <c r="I200" s="5">
        <f>SQRT(SUM('r-native-multi'!$D$3:D200)/COUNTIF($A$3:A200,"&lt;&gt;0"))</f>
        <v>73.760019007863633</v>
      </c>
    </row>
    <row r="201" spans="1:9">
      <c r="A201">
        <v>199</v>
      </c>
      <c r="B201">
        <v>5</v>
      </c>
      <c r="C201">
        <v>9500</v>
      </c>
      <c r="D201">
        <v>5259</v>
      </c>
      <c r="E201" s="4">
        <f t="shared" si="12"/>
        <v>0</v>
      </c>
      <c r="F201" s="4">
        <f t="shared" si="13"/>
        <v>4241</v>
      </c>
      <c r="G201" s="4">
        <f t="shared" si="14"/>
        <v>0.44642105263157894</v>
      </c>
      <c r="H201" s="4">
        <f t="shared" si="15"/>
        <v>17986081</v>
      </c>
      <c r="I201" s="5">
        <f>SQRT(SUM('r-native-multi'!$D$3:D201)/COUNTIF($A$3:A201,"&lt;&gt;0"))</f>
        <v>73.753834752530111</v>
      </c>
    </row>
    <row r="202" spans="1:9">
      <c r="A202">
        <v>200</v>
      </c>
      <c r="B202">
        <v>5</v>
      </c>
      <c r="C202">
        <v>9500</v>
      </c>
      <c r="D202">
        <v>5217</v>
      </c>
      <c r="E202" s="4">
        <f t="shared" si="12"/>
        <v>0</v>
      </c>
      <c r="F202" s="4">
        <f t="shared" si="13"/>
        <v>4283</v>
      </c>
      <c r="G202" s="4">
        <f t="shared" si="14"/>
        <v>0.45084210526315788</v>
      </c>
      <c r="H202" s="4">
        <f t="shared" si="15"/>
        <v>18344089</v>
      </c>
      <c r="I202" s="5">
        <f>SQRT(SUM('r-native-multi'!$D$3:D202)/COUNTIF($A$3:A202,"&lt;&gt;0"))</f>
        <v>73.746288042178776</v>
      </c>
    </row>
    <row r="203" spans="1:9">
      <c r="A203">
        <v>201</v>
      </c>
      <c r="B203">
        <v>5</v>
      </c>
      <c r="C203">
        <v>9500</v>
      </c>
      <c r="D203">
        <v>5288</v>
      </c>
      <c r="E203" s="4">
        <f t="shared" si="12"/>
        <v>0</v>
      </c>
      <c r="F203" s="4">
        <f t="shared" si="13"/>
        <v>4212</v>
      </c>
      <c r="G203" s="4">
        <f t="shared" si="14"/>
        <v>0.44336842105263158</v>
      </c>
      <c r="H203" s="4">
        <f t="shared" si="15"/>
        <v>17740944</v>
      </c>
      <c r="I203" s="5">
        <f>SQRT(SUM('r-native-multi'!$D$3:D203)/COUNTIF($A$3:A203,"&lt;&gt;0"))</f>
        <v>73.741210792569916</v>
      </c>
    </row>
    <row r="204" spans="1:9">
      <c r="A204">
        <v>202</v>
      </c>
      <c r="B204">
        <v>5</v>
      </c>
      <c r="C204">
        <v>9500</v>
      </c>
      <c r="D204">
        <v>5212</v>
      </c>
      <c r="E204" s="4">
        <f t="shared" si="12"/>
        <v>0</v>
      </c>
      <c r="F204" s="4">
        <f t="shared" si="13"/>
        <v>4288</v>
      </c>
      <c r="G204" s="4">
        <f t="shared" si="14"/>
        <v>0.45136842105263159</v>
      </c>
      <c r="H204" s="4">
        <f t="shared" si="15"/>
        <v>18386944</v>
      </c>
      <c r="I204" s="5">
        <f>SQRT(SUM('r-native-multi'!$D$3:D204)/COUNTIF($A$3:A204,"&lt;&gt;0"))</f>
        <v>73.733632182685028</v>
      </c>
    </row>
    <row r="205" spans="1:9">
      <c r="A205">
        <v>203</v>
      </c>
      <c r="B205">
        <v>5</v>
      </c>
      <c r="C205">
        <v>9500</v>
      </c>
      <c r="D205">
        <v>5378</v>
      </c>
      <c r="E205" s="4">
        <f t="shared" si="12"/>
        <v>0</v>
      </c>
      <c r="F205" s="4">
        <f t="shared" si="13"/>
        <v>4122</v>
      </c>
      <c r="G205" s="4">
        <f t="shared" si="14"/>
        <v>0.43389473684210528</v>
      </c>
      <c r="H205" s="4">
        <f t="shared" si="15"/>
        <v>16990884</v>
      </c>
      <c r="I205" s="5">
        <f>SQRT(SUM('r-native-multi'!$D$3:D205)/COUNTIF($A$3:A205,"&lt;&gt;0"))</f>
        <v>73.73167301717308</v>
      </c>
    </row>
    <row r="206" spans="1:9">
      <c r="A206">
        <v>204</v>
      </c>
      <c r="B206">
        <v>5</v>
      </c>
      <c r="C206">
        <v>9500</v>
      </c>
      <c r="D206">
        <v>5382</v>
      </c>
      <c r="E206" s="4">
        <f t="shared" si="12"/>
        <v>0</v>
      </c>
      <c r="F206" s="4">
        <f t="shared" si="13"/>
        <v>4118</v>
      </c>
      <c r="G206" s="4">
        <f t="shared" si="14"/>
        <v>0.43347368421052629</v>
      </c>
      <c r="H206" s="4">
        <f t="shared" si="15"/>
        <v>16957924</v>
      </c>
      <c r="I206" s="5">
        <f>SQRT(SUM('r-native-multi'!$D$3:D206)/COUNTIF($A$3:A206,"&lt;&gt;0"))</f>
        <v>73.729865978820968</v>
      </c>
    </row>
    <row r="207" spans="1:9">
      <c r="A207">
        <v>205</v>
      </c>
      <c r="B207">
        <v>5</v>
      </c>
      <c r="C207">
        <v>9500</v>
      </c>
      <c r="D207">
        <v>5258</v>
      </c>
      <c r="E207" s="4">
        <f t="shared" si="12"/>
        <v>0</v>
      </c>
      <c r="F207" s="4">
        <f t="shared" si="13"/>
        <v>4242</v>
      </c>
      <c r="G207" s="4">
        <f t="shared" si="14"/>
        <v>0.44652631578947366</v>
      </c>
      <c r="H207" s="4">
        <f t="shared" si="15"/>
        <v>17994564</v>
      </c>
      <c r="I207" s="5">
        <f>SQRT(SUM('r-native-multi'!$D$3:D207)/COUNTIF($A$3:A207,"&lt;&gt;0"))</f>
        <v>73.723974324800906</v>
      </c>
    </row>
    <row r="208" spans="1:9">
      <c r="A208">
        <v>206</v>
      </c>
      <c r="B208">
        <v>5</v>
      </c>
      <c r="C208">
        <v>9500</v>
      </c>
      <c r="D208">
        <v>5340</v>
      </c>
      <c r="E208" s="4">
        <f t="shared" si="12"/>
        <v>0</v>
      </c>
      <c r="F208" s="4">
        <f t="shared" si="13"/>
        <v>4160</v>
      </c>
      <c r="G208" s="4">
        <f t="shared" si="14"/>
        <v>0.43789473684210528</v>
      </c>
      <c r="H208" s="4">
        <f t="shared" si="15"/>
        <v>17305600</v>
      </c>
      <c r="I208" s="5">
        <f>SQRT(SUM('r-native-multi'!$D$3:D208)/COUNTIF($A$3:A208,"&lt;&gt;0"))</f>
        <v>73.720839224213464</v>
      </c>
    </row>
    <row r="209" spans="1:9">
      <c r="A209">
        <v>207</v>
      </c>
      <c r="B209">
        <v>5</v>
      </c>
      <c r="C209">
        <v>9500</v>
      </c>
      <c r="D209">
        <v>5371</v>
      </c>
      <c r="E209" s="4">
        <f t="shared" si="12"/>
        <v>0</v>
      </c>
      <c r="F209" s="4">
        <f t="shared" si="13"/>
        <v>4129</v>
      </c>
      <c r="G209" s="4">
        <f t="shared" si="14"/>
        <v>0.43463157894736842</v>
      </c>
      <c r="H209" s="4">
        <f t="shared" si="15"/>
        <v>17048641</v>
      </c>
      <c r="I209" s="5">
        <f>SQRT(SUM('r-native-multi'!$D$3:D209)/COUNTIF($A$3:A209,"&lt;&gt;0"))</f>
        <v>73.718750031997928</v>
      </c>
    </row>
    <row r="210" spans="1:9">
      <c r="A210">
        <v>208</v>
      </c>
      <c r="B210">
        <v>5</v>
      </c>
      <c r="C210">
        <v>9500</v>
      </c>
      <c r="D210">
        <v>5239</v>
      </c>
      <c r="E210" s="4">
        <f t="shared" si="12"/>
        <v>0</v>
      </c>
      <c r="F210" s="4">
        <f t="shared" si="13"/>
        <v>4261</v>
      </c>
      <c r="G210" s="4">
        <f t="shared" si="14"/>
        <v>0.44852631578947366</v>
      </c>
      <c r="H210" s="4">
        <f t="shared" si="15"/>
        <v>18156121</v>
      </c>
      <c r="I210" s="5">
        <f>SQRT(SUM('r-native-multi'!$D$3:D210)/COUNTIF($A$3:A210,"&lt;&gt;0"))</f>
        <v>73.712376322276597</v>
      </c>
    </row>
    <row r="211" spans="1:9">
      <c r="A211">
        <v>209</v>
      </c>
      <c r="B211">
        <v>5</v>
      </c>
      <c r="C211">
        <v>9500</v>
      </c>
      <c r="D211">
        <v>5346</v>
      </c>
      <c r="E211" s="4">
        <f t="shared" si="12"/>
        <v>0</v>
      </c>
      <c r="F211" s="4">
        <f t="shared" si="13"/>
        <v>4154</v>
      </c>
      <c r="G211" s="4">
        <f t="shared" si="14"/>
        <v>0.43726315789473685</v>
      </c>
      <c r="H211" s="4">
        <f t="shared" si="15"/>
        <v>17255716</v>
      </c>
      <c r="I211" s="5">
        <f>SQRT(SUM('r-native-multi'!$D$3:D211)/COUNTIF($A$3:A211,"&lt;&gt;0"))</f>
        <v>73.709535975882417</v>
      </c>
    </row>
    <row r="212" spans="1:9">
      <c r="A212">
        <v>210</v>
      </c>
      <c r="B212">
        <v>5</v>
      </c>
      <c r="C212">
        <v>9500</v>
      </c>
      <c r="D212">
        <v>5171</v>
      </c>
      <c r="E212" s="4">
        <f t="shared" si="12"/>
        <v>0</v>
      </c>
      <c r="F212" s="4">
        <f t="shared" si="13"/>
        <v>4329</v>
      </c>
      <c r="G212" s="4">
        <f t="shared" si="14"/>
        <v>0.4556842105263158</v>
      </c>
      <c r="H212" s="4">
        <f t="shared" si="15"/>
        <v>18740241</v>
      </c>
      <c r="I212" s="5">
        <f>SQRT(SUM('r-native-multi'!$D$3:D212)/COUNTIF($A$3:A212,"&lt;&gt;0"))</f>
        <v>73.701069320923821</v>
      </c>
    </row>
    <row r="213" spans="1:9">
      <c r="A213">
        <v>211</v>
      </c>
      <c r="B213">
        <v>5</v>
      </c>
      <c r="C213">
        <v>9500</v>
      </c>
      <c r="D213">
        <v>5290</v>
      </c>
      <c r="E213" s="4">
        <f t="shared" si="12"/>
        <v>0</v>
      </c>
      <c r="F213" s="4">
        <f t="shared" si="13"/>
        <v>4210</v>
      </c>
      <c r="G213" s="4">
        <f t="shared" si="14"/>
        <v>0.44315789473684208</v>
      </c>
      <c r="H213" s="4">
        <f t="shared" si="15"/>
        <v>17724100</v>
      </c>
      <c r="I213" s="5">
        <f>SQRT(SUM('r-native-multi'!$D$3:D213)/COUNTIF($A$3:A213,"&lt;&gt;0"))</f>
        <v>73.69650843459435</v>
      </c>
    </row>
    <row r="214" spans="1:9">
      <c r="A214">
        <v>212</v>
      </c>
      <c r="B214">
        <v>5</v>
      </c>
      <c r="C214">
        <v>9500</v>
      </c>
      <c r="D214">
        <v>5315</v>
      </c>
      <c r="E214" s="4">
        <f t="shared" si="12"/>
        <v>0</v>
      </c>
      <c r="F214" s="4">
        <f t="shared" si="13"/>
        <v>4185</v>
      </c>
      <c r="G214" s="4">
        <f t="shared" si="14"/>
        <v>0.44052631578947371</v>
      </c>
      <c r="H214" s="4">
        <f t="shared" si="15"/>
        <v>17514225</v>
      </c>
      <c r="I214" s="5">
        <f>SQRT(SUM('r-native-multi'!$D$3:D214)/COUNTIF($A$3:A214,"&lt;&gt;0"))</f>
        <v>73.692790410531785</v>
      </c>
    </row>
    <row r="215" spans="1:9">
      <c r="A215">
        <v>213</v>
      </c>
      <c r="B215">
        <v>5</v>
      </c>
      <c r="C215">
        <v>9500</v>
      </c>
      <c r="D215">
        <v>5344</v>
      </c>
      <c r="E215" s="4">
        <f t="shared" si="12"/>
        <v>0</v>
      </c>
      <c r="F215" s="4">
        <f t="shared" si="13"/>
        <v>4156</v>
      </c>
      <c r="G215" s="4">
        <f t="shared" si="14"/>
        <v>0.43747368421052629</v>
      </c>
      <c r="H215" s="4">
        <f t="shared" si="15"/>
        <v>17272336</v>
      </c>
      <c r="I215" s="5">
        <f>SQRT(SUM('r-native-multi'!$D$3:D215)/COUNTIF($A$3:A215,"&lt;&gt;0"))</f>
        <v>73.690030921943546</v>
      </c>
    </row>
    <row r="216" spans="1:9">
      <c r="A216">
        <v>214</v>
      </c>
      <c r="B216">
        <v>5</v>
      </c>
      <c r="C216">
        <v>9500</v>
      </c>
      <c r="D216">
        <v>5352</v>
      </c>
      <c r="E216" s="4">
        <f t="shared" si="12"/>
        <v>0</v>
      </c>
      <c r="F216" s="4">
        <f t="shared" si="13"/>
        <v>4148</v>
      </c>
      <c r="G216" s="4">
        <f t="shared" si="14"/>
        <v>0.43663157894736843</v>
      </c>
      <c r="H216" s="4">
        <f t="shared" si="15"/>
        <v>17205904</v>
      </c>
      <c r="I216" s="5">
        <f>SQRT(SUM('r-native-multi'!$D$3:D216)/COUNTIF($A$3:A216,"&lt;&gt;0"))</f>
        <v>73.687550781573108</v>
      </c>
    </row>
    <row r="217" spans="1:9">
      <c r="A217">
        <v>215</v>
      </c>
      <c r="B217">
        <v>5</v>
      </c>
      <c r="C217">
        <v>9500</v>
      </c>
      <c r="D217">
        <v>5355</v>
      </c>
      <c r="E217" s="4">
        <f t="shared" ref="E217:E280" si="16">IF(AND(D217&lt;=C217*1.2,D217&gt;=C217*0.8),1,0)</f>
        <v>0</v>
      </c>
      <c r="F217" s="4">
        <f t="shared" ref="F217:F280" si="17">ABS(C217-D217)</f>
        <v>4145</v>
      </c>
      <c r="G217" s="4">
        <f t="shared" ref="G217:G280" si="18">ABS(C217-D217)/C217</f>
        <v>0.43631578947368421</v>
      </c>
      <c r="H217" s="4">
        <f t="shared" ref="H217:H280" si="19">POWER(F217,2)</f>
        <v>17181025</v>
      </c>
      <c r="I217" s="5">
        <f>SQRT(SUM('r-native-multi'!$D$3:D217)/COUNTIF($A$3:A217,"&lt;&gt;0"))</f>
        <v>73.6851883131487</v>
      </c>
    </row>
    <row r="218" spans="1:9">
      <c r="A218">
        <v>216</v>
      </c>
      <c r="B218">
        <v>5</v>
      </c>
      <c r="C218">
        <v>9500</v>
      </c>
      <c r="D218">
        <v>5348</v>
      </c>
      <c r="E218" s="4">
        <f t="shared" si="16"/>
        <v>0</v>
      </c>
      <c r="F218" s="4">
        <f t="shared" si="17"/>
        <v>4152</v>
      </c>
      <c r="G218" s="4">
        <f t="shared" si="18"/>
        <v>0.43705263157894736</v>
      </c>
      <c r="H218" s="4">
        <f t="shared" si="19"/>
        <v>17239104</v>
      </c>
      <c r="I218" s="5">
        <f>SQRT(SUM('r-native-multi'!$D$3:D218)/COUNTIF($A$3:A218,"&lt;&gt;0"))</f>
        <v>73.68262773293057</v>
      </c>
    </row>
    <row r="219" spans="1:9">
      <c r="A219">
        <v>217</v>
      </c>
      <c r="B219">
        <v>5</v>
      </c>
      <c r="C219">
        <v>9500</v>
      </c>
      <c r="D219">
        <v>5664</v>
      </c>
      <c r="E219" s="4">
        <f t="shared" si="16"/>
        <v>0</v>
      </c>
      <c r="F219" s="4">
        <f t="shared" si="17"/>
        <v>3836</v>
      </c>
      <c r="G219" s="4">
        <f t="shared" si="18"/>
        <v>0.40378947368421053</v>
      </c>
      <c r="H219" s="4">
        <f t="shared" si="19"/>
        <v>14714896</v>
      </c>
      <c r="I219" s="5">
        <f>SQRT(SUM('r-native-multi'!$D$3:D219)/COUNTIF($A$3:A219,"&lt;&gt;0"))</f>
        <v>73.689972055679462</v>
      </c>
    </row>
    <row r="220" spans="1:9">
      <c r="A220">
        <v>218</v>
      </c>
      <c r="B220">
        <v>5</v>
      </c>
      <c r="C220">
        <v>9500</v>
      </c>
      <c r="D220">
        <v>5724</v>
      </c>
      <c r="E220" s="4">
        <f t="shared" si="16"/>
        <v>0</v>
      </c>
      <c r="F220" s="4">
        <f t="shared" si="17"/>
        <v>3776</v>
      </c>
      <c r="G220" s="4">
        <f t="shared" si="18"/>
        <v>0.39747368421052631</v>
      </c>
      <c r="H220" s="4">
        <f t="shared" si="19"/>
        <v>14258176</v>
      </c>
      <c r="I220" s="5">
        <f>SQRT(SUM('r-native-multi'!$D$3:D220)/COUNTIF($A$3:A220,"&lt;&gt;0"))</f>
        <v>73.699115551189095</v>
      </c>
    </row>
    <row r="221" spans="1:9">
      <c r="A221">
        <v>219</v>
      </c>
      <c r="B221">
        <v>5</v>
      </c>
      <c r="C221">
        <v>9500</v>
      </c>
      <c r="D221">
        <v>5676</v>
      </c>
      <c r="E221" s="4">
        <f t="shared" si="16"/>
        <v>0</v>
      </c>
      <c r="F221" s="4">
        <f t="shared" si="17"/>
        <v>3824</v>
      </c>
      <c r="G221" s="4">
        <f t="shared" si="18"/>
        <v>0.40252631578947368</v>
      </c>
      <c r="H221" s="4">
        <f t="shared" si="19"/>
        <v>14622976</v>
      </c>
      <c r="I221" s="5">
        <f>SQRT(SUM('r-native-multi'!$D$3:D221)/COUNTIF($A$3:A221,"&lt;&gt;0"))</f>
        <v>73.706687614400082</v>
      </c>
    </row>
    <row r="222" spans="1:9">
      <c r="A222">
        <v>220</v>
      </c>
      <c r="B222">
        <v>5</v>
      </c>
      <c r="C222">
        <v>9500</v>
      </c>
      <c r="D222">
        <v>5540</v>
      </c>
      <c r="E222" s="4">
        <f t="shared" si="16"/>
        <v>0</v>
      </c>
      <c r="F222" s="4">
        <f t="shared" si="17"/>
        <v>3960</v>
      </c>
      <c r="G222" s="4">
        <f t="shared" si="18"/>
        <v>0.4168421052631579</v>
      </c>
      <c r="H222" s="4">
        <f t="shared" si="19"/>
        <v>15681600</v>
      </c>
      <c r="I222" s="5">
        <f>SQRT(SUM('r-native-multi'!$D$3:D222)/COUNTIF($A$3:A222,"&lt;&gt;0"))</f>
        <v>73.709996854996788</v>
      </c>
    </row>
    <row r="223" spans="1:9">
      <c r="A223">
        <v>221</v>
      </c>
      <c r="B223">
        <v>5</v>
      </c>
      <c r="C223">
        <v>9500</v>
      </c>
      <c r="D223">
        <v>5533</v>
      </c>
      <c r="E223" s="4">
        <f t="shared" si="16"/>
        <v>0</v>
      </c>
      <c r="F223" s="4">
        <f t="shared" si="17"/>
        <v>3967</v>
      </c>
      <c r="G223" s="4">
        <f t="shared" si="18"/>
        <v>0.41757894736842105</v>
      </c>
      <c r="H223" s="4">
        <f t="shared" si="19"/>
        <v>15737089</v>
      </c>
      <c r="I223" s="5">
        <f>SQRT(SUM('r-native-multi'!$D$3:D223)/COUNTIF($A$3:A223,"&lt;&gt;0"))</f>
        <v>73.713061153471202</v>
      </c>
    </row>
    <row r="224" spans="1:9">
      <c r="A224">
        <v>222</v>
      </c>
      <c r="B224">
        <v>5</v>
      </c>
      <c r="C224">
        <v>9500</v>
      </c>
      <c r="D224">
        <v>5490</v>
      </c>
      <c r="E224" s="4">
        <f t="shared" si="16"/>
        <v>0</v>
      </c>
      <c r="F224" s="4">
        <f t="shared" si="17"/>
        <v>4010</v>
      </c>
      <c r="G224" s="4">
        <f t="shared" si="18"/>
        <v>0.42210526315789476</v>
      </c>
      <c r="H224" s="4">
        <f t="shared" si="19"/>
        <v>16080100</v>
      </c>
      <c r="I224" s="5">
        <f>SQRT(SUM('r-native-multi'!$D$3:D224)/COUNTIF($A$3:A224,"&lt;&gt;0"))</f>
        <v>73.71478392676309</v>
      </c>
    </row>
    <row r="225" spans="1:9">
      <c r="A225">
        <v>223</v>
      </c>
      <c r="B225">
        <v>5</v>
      </c>
      <c r="C225">
        <v>9500</v>
      </c>
      <c r="D225">
        <v>5590</v>
      </c>
      <c r="E225" s="4">
        <f t="shared" si="16"/>
        <v>0</v>
      </c>
      <c r="F225" s="4">
        <f t="shared" si="17"/>
        <v>3910</v>
      </c>
      <c r="G225" s="4">
        <f t="shared" si="18"/>
        <v>0.41157894736842104</v>
      </c>
      <c r="H225" s="4">
        <f t="shared" si="19"/>
        <v>15288100</v>
      </c>
      <c r="I225" s="5">
        <f>SQRT(SUM('r-native-multi'!$D$3:D225)/COUNTIF($A$3:A225,"&lt;&gt;0"))</f>
        <v>73.719532735405053</v>
      </c>
    </row>
    <row r="226" spans="1:9">
      <c r="A226">
        <v>224</v>
      </c>
      <c r="B226">
        <v>5</v>
      </c>
      <c r="C226">
        <v>9500</v>
      </c>
      <c r="D226">
        <v>5492</v>
      </c>
      <c r="E226" s="4">
        <f t="shared" si="16"/>
        <v>0</v>
      </c>
      <c r="F226" s="4">
        <f t="shared" si="17"/>
        <v>4008</v>
      </c>
      <c r="G226" s="4">
        <f t="shared" si="18"/>
        <v>0.42189473684210527</v>
      </c>
      <c r="H226" s="4">
        <f t="shared" si="19"/>
        <v>16064064</v>
      </c>
      <c r="I226" s="5">
        <f>SQRT(SUM('r-native-multi'!$D$3:D226)/COUNTIF($A$3:A226,"&lt;&gt;0"))</f>
        <v>73.721271644330329</v>
      </c>
    </row>
    <row r="227" spans="1:9">
      <c r="A227">
        <v>225</v>
      </c>
      <c r="B227">
        <v>5</v>
      </c>
      <c r="C227">
        <v>9500</v>
      </c>
      <c r="D227">
        <v>5466</v>
      </c>
      <c r="E227" s="4">
        <f t="shared" si="16"/>
        <v>0</v>
      </c>
      <c r="F227" s="4">
        <f t="shared" si="17"/>
        <v>4034</v>
      </c>
      <c r="G227" s="4">
        <f t="shared" si="18"/>
        <v>0.42463157894736842</v>
      </c>
      <c r="H227" s="4">
        <f t="shared" si="19"/>
        <v>16273156</v>
      </c>
      <c r="I227" s="5">
        <f>SQRT(SUM('r-native-multi'!$D$3:D227)/COUNTIF($A$3:A227,"&lt;&gt;0"))</f>
        <v>73.722211337184163</v>
      </c>
    </row>
    <row r="228" spans="1:9">
      <c r="A228">
        <v>226</v>
      </c>
      <c r="B228">
        <v>5</v>
      </c>
      <c r="C228">
        <v>9500</v>
      </c>
      <c r="D228">
        <v>5344</v>
      </c>
      <c r="E228" s="4">
        <f t="shared" si="16"/>
        <v>0</v>
      </c>
      <c r="F228" s="4">
        <f t="shared" si="17"/>
        <v>4156</v>
      </c>
      <c r="G228" s="4">
        <f t="shared" si="18"/>
        <v>0.43747368421052629</v>
      </c>
      <c r="H228" s="4">
        <f t="shared" si="19"/>
        <v>17272336</v>
      </c>
      <c r="I228" s="5">
        <f>SQRT(SUM('r-native-multi'!$D$3:D228)/COUNTIF($A$3:A228,"&lt;&gt;0"))</f>
        <v>73.719481461162317</v>
      </c>
    </row>
    <row r="229" spans="1:9">
      <c r="A229">
        <v>227</v>
      </c>
      <c r="B229">
        <v>5</v>
      </c>
      <c r="C229">
        <v>9500</v>
      </c>
      <c r="D229">
        <v>5400</v>
      </c>
      <c r="E229" s="4">
        <f t="shared" si="16"/>
        <v>0</v>
      </c>
      <c r="F229" s="4">
        <f t="shared" si="17"/>
        <v>4100</v>
      </c>
      <c r="G229" s="4">
        <f t="shared" si="18"/>
        <v>0.43157894736842106</v>
      </c>
      <c r="H229" s="4">
        <f t="shared" si="19"/>
        <v>16810000</v>
      </c>
      <c r="I229" s="5">
        <f>SQRT(SUM('r-native-multi'!$D$3:D229)/COUNTIF($A$3:A229,"&lt;&gt;0"))</f>
        <v>73.718448787464027</v>
      </c>
    </row>
    <row r="230" spans="1:9">
      <c r="A230">
        <v>228</v>
      </c>
      <c r="B230">
        <v>5</v>
      </c>
      <c r="C230">
        <v>9500</v>
      </c>
      <c r="D230">
        <v>5370</v>
      </c>
      <c r="E230" s="4">
        <f t="shared" si="16"/>
        <v>0</v>
      </c>
      <c r="F230" s="4">
        <f t="shared" si="17"/>
        <v>4130</v>
      </c>
      <c r="G230" s="4">
        <f t="shared" si="18"/>
        <v>0.43473684210526314</v>
      </c>
      <c r="H230" s="4">
        <f t="shared" si="19"/>
        <v>17056900</v>
      </c>
      <c r="I230" s="5">
        <f>SQRT(SUM('r-native-multi'!$D$3:D230)/COUNTIF($A$3:A230,"&lt;&gt;0"))</f>
        <v>73.716532697777211</v>
      </c>
    </row>
    <row r="231" spans="1:9">
      <c r="A231">
        <v>229</v>
      </c>
      <c r="B231">
        <v>5</v>
      </c>
      <c r="C231">
        <v>9500</v>
      </c>
      <c r="D231">
        <v>5399</v>
      </c>
      <c r="E231" s="4">
        <f t="shared" si="16"/>
        <v>0</v>
      </c>
      <c r="F231" s="4">
        <f t="shared" si="17"/>
        <v>4101</v>
      </c>
      <c r="G231" s="4">
        <f t="shared" si="18"/>
        <v>0.43168421052631578</v>
      </c>
      <c r="H231" s="4">
        <f t="shared" si="19"/>
        <v>16818201</v>
      </c>
      <c r="I231" s="5">
        <f>SQRT(SUM('r-native-multi'!$D$3:D231)/COUNTIF($A$3:A231,"&lt;&gt;0"))</f>
        <v>73.715492259949244</v>
      </c>
    </row>
    <row r="232" spans="1:9">
      <c r="A232">
        <v>230</v>
      </c>
      <c r="B232">
        <v>5</v>
      </c>
      <c r="C232">
        <v>9500</v>
      </c>
      <c r="D232">
        <v>5337</v>
      </c>
      <c r="E232" s="4">
        <f t="shared" si="16"/>
        <v>0</v>
      </c>
      <c r="F232" s="4">
        <f t="shared" si="17"/>
        <v>4163</v>
      </c>
      <c r="G232" s="4">
        <f t="shared" si="18"/>
        <v>0.43821052631578949</v>
      </c>
      <c r="H232" s="4">
        <f t="shared" si="19"/>
        <v>17330569</v>
      </c>
      <c r="I232" s="5">
        <f>SQRT(SUM('r-native-multi'!$D$3:D232)/COUNTIF($A$3:A232,"&lt;&gt;0"))</f>
        <v>73.712632390337575</v>
      </c>
    </row>
    <row r="233" spans="1:9">
      <c r="A233">
        <v>231</v>
      </c>
      <c r="B233">
        <v>5</v>
      </c>
      <c r="C233">
        <v>9500</v>
      </c>
      <c r="D233">
        <v>5260</v>
      </c>
      <c r="E233" s="4">
        <f t="shared" si="16"/>
        <v>0</v>
      </c>
      <c r="F233" s="4">
        <f t="shared" si="17"/>
        <v>4240</v>
      </c>
      <c r="G233" s="4">
        <f t="shared" si="18"/>
        <v>0.44631578947368422</v>
      </c>
      <c r="H233" s="4">
        <f t="shared" si="19"/>
        <v>17977600</v>
      </c>
      <c r="I233" s="5">
        <f>SQRT(SUM('r-native-multi'!$D$3:D233)/COUNTIF($A$3:A233,"&lt;&gt;0"))</f>
        <v>73.707536017702196</v>
      </c>
    </row>
    <row r="234" spans="1:9">
      <c r="A234">
        <v>232</v>
      </c>
      <c r="B234">
        <v>5</v>
      </c>
      <c r="C234">
        <v>9500</v>
      </c>
      <c r="D234">
        <v>5385</v>
      </c>
      <c r="E234" s="4">
        <f t="shared" si="16"/>
        <v>0</v>
      </c>
      <c r="F234" s="4">
        <f t="shared" si="17"/>
        <v>4115</v>
      </c>
      <c r="G234" s="4">
        <f t="shared" si="18"/>
        <v>0.43315789473684213</v>
      </c>
      <c r="H234" s="4">
        <f t="shared" si="19"/>
        <v>16933225</v>
      </c>
      <c r="I234" s="5">
        <f>SQRT(SUM('r-native-multi'!$D$3:D234)/COUNTIF($A$3:A234,"&lt;&gt;0"))</f>
        <v>73.706138330441689</v>
      </c>
    </row>
    <row r="235" spans="1:9">
      <c r="A235">
        <v>233</v>
      </c>
      <c r="B235">
        <v>5</v>
      </c>
      <c r="C235">
        <v>9500</v>
      </c>
      <c r="D235">
        <v>5459</v>
      </c>
      <c r="E235" s="4">
        <f t="shared" si="16"/>
        <v>0</v>
      </c>
      <c r="F235" s="4">
        <f t="shared" si="17"/>
        <v>4041</v>
      </c>
      <c r="G235" s="4">
        <f t="shared" si="18"/>
        <v>0.42536842105263156</v>
      </c>
      <c r="H235" s="4">
        <f t="shared" si="19"/>
        <v>16329681</v>
      </c>
      <c r="I235" s="5">
        <f>SQRT(SUM('r-native-multi'!$D$3:D235)/COUNTIF($A$3:A235,"&lt;&gt;0"))</f>
        <v>73.706907101752932</v>
      </c>
    </row>
    <row r="236" spans="1:9">
      <c r="A236">
        <v>234</v>
      </c>
      <c r="B236">
        <v>5</v>
      </c>
      <c r="C236">
        <v>9500</v>
      </c>
      <c r="D236">
        <v>5132</v>
      </c>
      <c r="E236" s="4">
        <f t="shared" si="16"/>
        <v>0</v>
      </c>
      <c r="F236" s="4">
        <f t="shared" si="17"/>
        <v>4368</v>
      </c>
      <c r="G236" s="4">
        <f t="shared" si="18"/>
        <v>0.45978947368421053</v>
      </c>
      <c r="H236" s="4">
        <f t="shared" si="19"/>
        <v>19079424</v>
      </c>
      <c r="I236" s="5">
        <f>SQRT(SUM('r-native-multi'!$D$3:D236)/COUNTIF($A$3:A236,"&lt;&gt;0"))</f>
        <v>73.698189102060553</v>
      </c>
    </row>
    <row r="237" spans="1:9">
      <c r="A237">
        <v>235</v>
      </c>
      <c r="B237">
        <v>5</v>
      </c>
      <c r="C237">
        <v>9500</v>
      </c>
      <c r="D237">
        <v>5015</v>
      </c>
      <c r="E237" s="4">
        <f t="shared" si="16"/>
        <v>0</v>
      </c>
      <c r="F237" s="4">
        <f t="shared" si="17"/>
        <v>4485</v>
      </c>
      <c r="G237" s="4">
        <f t="shared" si="18"/>
        <v>0.47210526315789475</v>
      </c>
      <c r="H237" s="4">
        <f t="shared" si="19"/>
        <v>20115225</v>
      </c>
      <c r="I237" s="5">
        <f>SQRT(SUM('r-native-multi'!$D$3:D237)/COUNTIF($A$3:A237,"&lt;&gt;0"))</f>
        <v>73.686166027482983</v>
      </c>
    </row>
    <row r="238" spans="1:9">
      <c r="A238">
        <v>236</v>
      </c>
      <c r="B238">
        <v>5</v>
      </c>
      <c r="C238">
        <v>9500</v>
      </c>
      <c r="D238">
        <v>4663</v>
      </c>
      <c r="E238" s="4">
        <f t="shared" si="16"/>
        <v>0</v>
      </c>
      <c r="F238" s="4">
        <f t="shared" si="17"/>
        <v>4837</v>
      </c>
      <c r="G238" s="4">
        <f t="shared" si="18"/>
        <v>0.50915789473684214</v>
      </c>
      <c r="H238" s="4">
        <f t="shared" si="19"/>
        <v>23396569</v>
      </c>
      <c r="I238" s="5">
        <f>SQRT(SUM('r-native-multi'!$D$3:D238)/COUNTIF($A$3:A238,"&lt;&gt;0"))</f>
        <v>73.664119776000049</v>
      </c>
    </row>
    <row r="239" spans="1:9">
      <c r="A239">
        <v>237</v>
      </c>
      <c r="B239">
        <v>5</v>
      </c>
      <c r="C239">
        <v>9500</v>
      </c>
      <c r="D239">
        <v>5054</v>
      </c>
      <c r="E239" s="4">
        <f t="shared" si="16"/>
        <v>0</v>
      </c>
      <c r="F239" s="4">
        <f t="shared" si="17"/>
        <v>4446</v>
      </c>
      <c r="G239" s="4">
        <f t="shared" si="18"/>
        <v>0.46800000000000003</v>
      </c>
      <c r="H239" s="4">
        <f t="shared" si="19"/>
        <v>19766916</v>
      </c>
      <c r="I239" s="5">
        <f>SQRT(SUM('r-native-multi'!$D$3:D239)/COUNTIF($A$3:A239,"&lt;&gt;0"))</f>
        <v>73.653453575706095</v>
      </c>
    </row>
    <row r="240" spans="1:9">
      <c r="A240">
        <v>238</v>
      </c>
      <c r="B240">
        <v>5</v>
      </c>
      <c r="C240">
        <v>9500</v>
      </c>
      <c r="D240">
        <v>4494</v>
      </c>
      <c r="E240" s="4">
        <f t="shared" si="16"/>
        <v>0</v>
      </c>
      <c r="F240" s="4">
        <f t="shared" si="17"/>
        <v>5006</v>
      </c>
      <c r="G240" s="4">
        <f t="shared" si="18"/>
        <v>0.52694736842105261</v>
      </c>
      <c r="H240" s="4">
        <f t="shared" si="19"/>
        <v>25060036</v>
      </c>
      <c r="I240" s="5">
        <f>SQRT(SUM('r-native-multi'!$D$3:D240)/COUNTIF($A$3:A240,"&lt;&gt;0"))</f>
        <v>73.626898400429894</v>
      </c>
    </row>
    <row r="241" spans="1:9">
      <c r="A241">
        <v>239</v>
      </c>
      <c r="B241">
        <v>5</v>
      </c>
      <c r="C241">
        <v>9500</v>
      </c>
      <c r="D241">
        <v>4984</v>
      </c>
      <c r="E241" s="4">
        <f t="shared" si="16"/>
        <v>0</v>
      </c>
      <c r="F241" s="4">
        <f t="shared" si="17"/>
        <v>4516</v>
      </c>
      <c r="G241" s="4">
        <f t="shared" si="18"/>
        <v>0.47536842105263155</v>
      </c>
      <c r="H241" s="4">
        <f t="shared" si="19"/>
        <v>20394256</v>
      </c>
      <c r="I241" s="5">
        <f>SQRT(SUM('r-native-multi'!$D$3:D241)/COUNTIF($A$3:A241,"&lt;&gt;0"))</f>
        <v>73.614482611842121</v>
      </c>
    </row>
    <row r="242" spans="1:9">
      <c r="A242">
        <v>240</v>
      </c>
      <c r="B242">
        <v>5</v>
      </c>
      <c r="C242">
        <v>9500</v>
      </c>
      <c r="D242">
        <v>5292</v>
      </c>
      <c r="E242" s="4">
        <f t="shared" si="16"/>
        <v>0</v>
      </c>
      <c r="F242" s="4">
        <f t="shared" si="17"/>
        <v>4208</v>
      </c>
      <c r="G242" s="4">
        <f t="shared" si="18"/>
        <v>0.44294736842105265</v>
      </c>
      <c r="H242" s="4">
        <f t="shared" si="19"/>
        <v>17707264</v>
      </c>
      <c r="I242" s="5">
        <f>SQRT(SUM('r-native-multi'!$D$3:D242)/COUNTIF($A$3:A242,"&lt;&gt;0"))</f>
        <v>73.61088574388981</v>
      </c>
    </row>
    <row r="243" spans="1:9">
      <c r="A243">
        <v>241</v>
      </c>
      <c r="B243">
        <v>5</v>
      </c>
      <c r="C243">
        <v>9500</v>
      </c>
      <c r="D243">
        <v>5266</v>
      </c>
      <c r="E243" s="4">
        <f t="shared" si="16"/>
        <v>0</v>
      </c>
      <c r="F243" s="4">
        <f t="shared" si="17"/>
        <v>4234</v>
      </c>
      <c r="G243" s="4">
        <f t="shared" si="18"/>
        <v>0.44568421052631579</v>
      </c>
      <c r="H243" s="4">
        <f t="shared" si="19"/>
        <v>17926756</v>
      </c>
      <c r="I243" s="5">
        <f>SQRT(SUM('r-native-multi'!$D$3:D243)/COUNTIF($A$3:A243,"&lt;&gt;0"))</f>
        <v>73.606585714736923</v>
      </c>
    </row>
    <row r="244" spans="1:9">
      <c r="A244">
        <v>242</v>
      </c>
      <c r="B244">
        <v>5</v>
      </c>
      <c r="C244">
        <v>9500</v>
      </c>
      <c r="D244">
        <v>5291</v>
      </c>
      <c r="E244" s="4">
        <f t="shared" si="16"/>
        <v>0</v>
      </c>
      <c r="F244" s="4">
        <f t="shared" si="17"/>
        <v>4209</v>
      </c>
      <c r="G244" s="4">
        <f t="shared" si="18"/>
        <v>0.44305263157894736</v>
      </c>
      <c r="H244" s="4">
        <f t="shared" si="19"/>
        <v>17715681</v>
      </c>
      <c r="I244" s="5">
        <f>SQRT(SUM('r-native-multi'!$D$3:D244)/COUNTIF($A$3:A244,"&lt;&gt;0"))</f>
        <v>73.603022755031503</v>
      </c>
    </row>
    <row r="245" spans="1:9">
      <c r="A245">
        <v>243</v>
      </c>
      <c r="B245">
        <v>5</v>
      </c>
      <c r="C245">
        <v>9500</v>
      </c>
      <c r="D245">
        <v>5266</v>
      </c>
      <c r="E245" s="4">
        <f t="shared" si="16"/>
        <v>0</v>
      </c>
      <c r="F245" s="4">
        <f t="shared" si="17"/>
        <v>4234</v>
      </c>
      <c r="G245" s="4">
        <f t="shared" si="18"/>
        <v>0.44568421052631579</v>
      </c>
      <c r="H245" s="4">
        <f t="shared" si="19"/>
        <v>17926756</v>
      </c>
      <c r="I245" s="5">
        <f>SQRT(SUM('r-native-multi'!$D$3:D245)/COUNTIF($A$3:A245,"&lt;&gt;0"))</f>
        <v>73.598790024049407</v>
      </c>
    </row>
    <row r="246" spans="1:9">
      <c r="A246">
        <v>244</v>
      </c>
      <c r="B246">
        <v>5</v>
      </c>
      <c r="C246">
        <v>9500</v>
      </c>
      <c r="D246">
        <v>5301</v>
      </c>
      <c r="E246" s="4">
        <f t="shared" si="16"/>
        <v>0</v>
      </c>
      <c r="F246" s="4">
        <f t="shared" si="17"/>
        <v>4199</v>
      </c>
      <c r="G246" s="4">
        <f t="shared" si="18"/>
        <v>0.442</v>
      </c>
      <c r="H246" s="4">
        <f t="shared" si="19"/>
        <v>17631601</v>
      </c>
      <c r="I246" s="5">
        <f>SQRT(SUM('r-native-multi'!$D$3:D246)/COUNTIF($A$3:A246,"&lt;&gt;0"))</f>
        <v>73.595566286626124</v>
      </c>
    </row>
    <row r="247" spans="1:9">
      <c r="A247">
        <v>245</v>
      </c>
      <c r="B247">
        <v>5</v>
      </c>
      <c r="C247">
        <v>9500</v>
      </c>
      <c r="D247">
        <v>5289</v>
      </c>
      <c r="E247" s="4">
        <f t="shared" si="16"/>
        <v>0</v>
      </c>
      <c r="F247" s="4">
        <f t="shared" si="17"/>
        <v>4211</v>
      </c>
      <c r="G247" s="4">
        <f t="shared" si="18"/>
        <v>0.44326315789473686</v>
      </c>
      <c r="H247" s="4">
        <f t="shared" si="19"/>
        <v>17732521</v>
      </c>
      <c r="I247" s="5">
        <f>SQRT(SUM('r-native-multi'!$D$3:D247)/COUNTIF($A$3:A247,"&lt;&gt;0"))</f>
        <v>73.592035948885396</v>
      </c>
    </row>
    <row r="248" spans="1:9">
      <c r="A248">
        <v>246</v>
      </c>
      <c r="B248">
        <v>5</v>
      </c>
      <c r="C248">
        <v>9500</v>
      </c>
      <c r="D248">
        <v>5300</v>
      </c>
      <c r="E248" s="4">
        <f t="shared" si="16"/>
        <v>0</v>
      </c>
      <c r="F248" s="4">
        <f t="shared" si="17"/>
        <v>4200</v>
      </c>
      <c r="G248" s="4">
        <f t="shared" si="18"/>
        <v>0.44210526315789472</v>
      </c>
      <c r="H248" s="4">
        <f t="shared" si="19"/>
        <v>17640000</v>
      </c>
      <c r="I248" s="5">
        <f>SQRT(SUM('r-native-multi'!$D$3:D248)/COUNTIF($A$3:A248,"&lt;&gt;0"))</f>
        <v>73.588837965894882</v>
      </c>
    </row>
    <row r="249" spans="1:9">
      <c r="A249">
        <v>247</v>
      </c>
      <c r="B249">
        <v>5</v>
      </c>
      <c r="C249">
        <v>9500</v>
      </c>
      <c r="D249">
        <v>5277</v>
      </c>
      <c r="E249" s="4">
        <f t="shared" si="16"/>
        <v>0</v>
      </c>
      <c r="F249" s="4">
        <f t="shared" si="17"/>
        <v>4223</v>
      </c>
      <c r="G249" s="4">
        <f t="shared" si="18"/>
        <v>0.44452631578947366</v>
      </c>
      <c r="H249" s="4">
        <f t="shared" si="19"/>
        <v>17833729</v>
      </c>
      <c r="I249" s="5">
        <f>SQRT(SUM('r-native-multi'!$D$3:D249)/COUNTIF($A$3:A249,"&lt;&gt;0"))</f>
        <v>73.585033023164726</v>
      </c>
    </row>
    <row r="250" spans="1:9">
      <c r="A250">
        <v>248</v>
      </c>
      <c r="B250">
        <v>5</v>
      </c>
      <c r="C250">
        <v>9500</v>
      </c>
      <c r="D250">
        <v>5317</v>
      </c>
      <c r="E250" s="4">
        <f t="shared" si="16"/>
        <v>0</v>
      </c>
      <c r="F250" s="4">
        <f t="shared" si="17"/>
        <v>4183</v>
      </c>
      <c r="G250" s="4">
        <f t="shared" si="18"/>
        <v>0.44031578947368422</v>
      </c>
      <c r="H250" s="4">
        <f t="shared" si="19"/>
        <v>17497489</v>
      </c>
      <c r="I250" s="5">
        <f>SQRT(SUM('r-native-multi'!$D$3:D250)/COUNTIF($A$3:A250,"&lt;&gt;0"))</f>
        <v>73.582354564296239</v>
      </c>
    </row>
    <row r="251" spans="1:9">
      <c r="A251">
        <v>249</v>
      </c>
      <c r="B251">
        <v>5</v>
      </c>
      <c r="C251">
        <v>9500</v>
      </c>
      <c r="D251">
        <v>5333</v>
      </c>
      <c r="E251" s="4">
        <f t="shared" si="16"/>
        <v>0</v>
      </c>
      <c r="F251" s="4">
        <f t="shared" si="17"/>
        <v>4167</v>
      </c>
      <c r="G251" s="4">
        <f t="shared" si="18"/>
        <v>0.43863157894736843</v>
      </c>
      <c r="H251" s="4">
        <f t="shared" si="19"/>
        <v>17363889</v>
      </c>
      <c r="I251" s="5">
        <f>SQRT(SUM('r-native-multi'!$D$3:D251)/COUNTIF($A$3:A251,"&lt;&gt;0"))</f>
        <v>73.580134170700674</v>
      </c>
    </row>
    <row r="252" spans="1:9">
      <c r="A252">
        <v>250</v>
      </c>
      <c r="B252">
        <v>5</v>
      </c>
      <c r="C252">
        <v>9500</v>
      </c>
      <c r="D252">
        <v>5419</v>
      </c>
      <c r="E252" s="4">
        <f t="shared" si="16"/>
        <v>0</v>
      </c>
      <c r="F252" s="4">
        <f t="shared" si="17"/>
        <v>4081</v>
      </c>
      <c r="G252" s="4">
        <f t="shared" si="18"/>
        <v>0.42957894736842106</v>
      </c>
      <c r="H252" s="4">
        <f t="shared" si="19"/>
        <v>16654561</v>
      </c>
      <c r="I252" s="5">
        <f>SQRT(SUM('r-native-multi'!$D$3:D252)/COUNTIF($A$3:A252,"&lt;&gt;0"))</f>
        <v>73.580269094370664</v>
      </c>
    </row>
    <row r="253" spans="1:9">
      <c r="A253">
        <v>251</v>
      </c>
      <c r="B253">
        <v>5</v>
      </c>
      <c r="C253">
        <v>9500</v>
      </c>
      <c r="D253">
        <v>5245</v>
      </c>
      <c r="E253" s="4">
        <f t="shared" si="16"/>
        <v>0</v>
      </c>
      <c r="F253" s="4">
        <f t="shared" si="17"/>
        <v>4255</v>
      </c>
      <c r="G253" s="4">
        <f t="shared" si="18"/>
        <v>0.44789473684210529</v>
      </c>
      <c r="H253" s="4">
        <f t="shared" si="19"/>
        <v>18105025</v>
      </c>
      <c r="I253" s="5">
        <f>SQRT(SUM('r-native-multi'!$D$3:D253)/COUNTIF($A$3:A253,"&lt;&gt;0"))</f>
        <v>73.575692114444436</v>
      </c>
    </row>
    <row r="254" spans="1:9">
      <c r="A254">
        <v>252</v>
      </c>
      <c r="B254">
        <v>5</v>
      </c>
      <c r="C254">
        <v>9500</v>
      </c>
      <c r="D254">
        <v>5194</v>
      </c>
      <c r="E254" s="4">
        <f t="shared" si="16"/>
        <v>0</v>
      </c>
      <c r="F254" s="4">
        <f t="shared" si="17"/>
        <v>4306</v>
      </c>
      <c r="G254" s="4">
        <f t="shared" si="18"/>
        <v>0.45326315789473687</v>
      </c>
      <c r="H254" s="4">
        <f t="shared" si="19"/>
        <v>18541636</v>
      </c>
      <c r="I254" s="5">
        <f>SQRT(SUM('r-native-multi'!$D$3:D254)/COUNTIF($A$3:A254,"&lt;&gt;0"))</f>
        <v>73.569775755821794</v>
      </c>
    </row>
    <row r="255" spans="1:9">
      <c r="A255">
        <v>253</v>
      </c>
      <c r="B255">
        <v>5</v>
      </c>
      <c r="C255">
        <v>9500</v>
      </c>
      <c r="D255">
        <v>5069</v>
      </c>
      <c r="E255" s="4">
        <f t="shared" si="16"/>
        <v>0</v>
      </c>
      <c r="F255" s="4">
        <f t="shared" si="17"/>
        <v>4431</v>
      </c>
      <c r="G255" s="4">
        <f t="shared" si="18"/>
        <v>0.46642105263157896</v>
      </c>
      <c r="H255" s="4">
        <f t="shared" si="19"/>
        <v>19633761</v>
      </c>
      <c r="I255" s="5">
        <f>SQRT(SUM('r-native-multi'!$D$3:D255)/COUNTIF($A$3:A255,"&lt;&gt;0"))</f>
        <v>73.560547511540648</v>
      </c>
    </row>
    <row r="256" spans="1:9">
      <c r="A256">
        <v>254</v>
      </c>
      <c r="B256">
        <v>5</v>
      </c>
      <c r="C256">
        <v>9500</v>
      </c>
      <c r="D256">
        <v>5273</v>
      </c>
      <c r="E256" s="4">
        <f t="shared" si="16"/>
        <v>0</v>
      </c>
      <c r="F256" s="4">
        <f t="shared" si="17"/>
        <v>4227</v>
      </c>
      <c r="G256" s="4">
        <f t="shared" si="18"/>
        <v>0.44494736842105265</v>
      </c>
      <c r="H256" s="4">
        <f t="shared" si="19"/>
        <v>17867529</v>
      </c>
      <c r="I256" s="5">
        <f>SQRT(SUM('r-native-multi'!$D$3:D256)/COUNTIF($A$3:A256,"&lt;&gt;0"))</f>
        <v>73.55685036908848</v>
      </c>
    </row>
    <row r="257" spans="1:9">
      <c r="A257">
        <v>255</v>
      </c>
      <c r="B257">
        <v>5</v>
      </c>
      <c r="C257">
        <v>9500</v>
      </c>
      <c r="D257">
        <v>5308</v>
      </c>
      <c r="E257" s="4">
        <f t="shared" si="16"/>
        <v>0</v>
      </c>
      <c r="F257" s="4">
        <f t="shared" si="17"/>
        <v>4192</v>
      </c>
      <c r="G257" s="4">
        <f t="shared" si="18"/>
        <v>0.44126315789473686</v>
      </c>
      <c r="H257" s="4">
        <f t="shared" si="19"/>
        <v>17572864</v>
      </c>
      <c r="I257" s="5">
        <f>SQRT(SUM('r-native-multi'!$D$3:D257)/COUNTIF($A$3:A257,"&lt;&gt;0"))</f>
        <v>73.554115065965235</v>
      </c>
    </row>
    <row r="258" spans="1:9">
      <c r="A258">
        <v>256</v>
      </c>
      <c r="B258">
        <v>5</v>
      </c>
      <c r="C258">
        <v>9500</v>
      </c>
      <c r="D258">
        <v>5250</v>
      </c>
      <c r="E258" s="4">
        <f t="shared" si="16"/>
        <v>0</v>
      </c>
      <c r="F258" s="4">
        <f t="shared" si="17"/>
        <v>4250</v>
      </c>
      <c r="G258" s="4">
        <f t="shared" si="18"/>
        <v>0.44736842105263158</v>
      </c>
      <c r="H258" s="4">
        <f t="shared" si="19"/>
        <v>18062500</v>
      </c>
      <c r="I258" s="5">
        <f>SQRT(SUM('r-native-multi'!$D$3:D258)/COUNTIF($A$3:A258,"&lt;&gt;0"))</f>
        <v>73.549860851329967</v>
      </c>
    </row>
    <row r="259" spans="1:9">
      <c r="A259">
        <v>257</v>
      </c>
      <c r="B259">
        <v>5</v>
      </c>
      <c r="C259">
        <v>9500</v>
      </c>
      <c r="D259">
        <v>5274</v>
      </c>
      <c r="E259" s="4">
        <f t="shared" si="16"/>
        <v>0</v>
      </c>
      <c r="F259" s="4">
        <f t="shared" si="17"/>
        <v>4226</v>
      </c>
      <c r="G259" s="4">
        <f t="shared" si="18"/>
        <v>0.44484210526315787</v>
      </c>
      <c r="H259" s="4">
        <f t="shared" si="19"/>
        <v>17859076</v>
      </c>
      <c r="I259" s="5">
        <f>SQRT(SUM('r-native-multi'!$D$3:D259)/COUNTIF($A$3:A259,"&lt;&gt;0"))</f>
        <v>73.546274376804234</v>
      </c>
    </row>
    <row r="260" spans="1:9">
      <c r="A260">
        <v>258</v>
      </c>
      <c r="B260">
        <v>5</v>
      </c>
      <c r="C260">
        <v>9500</v>
      </c>
      <c r="D260">
        <v>5062</v>
      </c>
      <c r="E260" s="4">
        <f t="shared" si="16"/>
        <v>0</v>
      </c>
      <c r="F260" s="4">
        <f t="shared" si="17"/>
        <v>4438</v>
      </c>
      <c r="G260" s="4">
        <f t="shared" si="18"/>
        <v>0.46715789473684211</v>
      </c>
      <c r="H260" s="4">
        <f t="shared" si="19"/>
        <v>19695844</v>
      </c>
      <c r="I260" s="5">
        <f>SQRT(SUM('r-native-multi'!$D$3:D260)/COUNTIF($A$3:A260,"&lt;&gt;0"))</f>
        <v>73.537128733215994</v>
      </c>
    </row>
    <row r="261" spans="1:9">
      <c r="A261">
        <v>259</v>
      </c>
      <c r="B261">
        <v>5</v>
      </c>
      <c r="C261">
        <v>9500</v>
      </c>
      <c r="D261">
        <v>5272</v>
      </c>
      <c r="E261" s="4">
        <f t="shared" si="16"/>
        <v>0</v>
      </c>
      <c r="F261" s="4">
        <f t="shared" si="17"/>
        <v>4228</v>
      </c>
      <c r="G261" s="4">
        <f t="shared" si="18"/>
        <v>0.44505263157894737</v>
      </c>
      <c r="H261" s="4">
        <f t="shared" si="19"/>
        <v>17875984</v>
      </c>
      <c r="I261" s="5">
        <f>SQRT(SUM('r-native-multi'!$D$3:D261)/COUNTIF($A$3:A261,"&lt;&gt;0"))</f>
        <v>73.533565996661196</v>
      </c>
    </row>
    <row r="262" spans="1:9">
      <c r="A262">
        <v>260</v>
      </c>
      <c r="B262">
        <v>5</v>
      </c>
      <c r="C262">
        <v>9500</v>
      </c>
      <c r="D262">
        <v>5111</v>
      </c>
      <c r="E262" s="4">
        <f t="shared" si="16"/>
        <v>0</v>
      </c>
      <c r="F262" s="4">
        <f t="shared" si="17"/>
        <v>4389</v>
      </c>
      <c r="G262" s="4">
        <f t="shared" si="18"/>
        <v>0.46200000000000002</v>
      </c>
      <c r="H262" s="4">
        <f t="shared" si="19"/>
        <v>19263321</v>
      </c>
      <c r="I262" s="5">
        <f>SQRT(SUM('r-native-multi'!$D$3:D262)/COUNTIF($A$3:A262,"&lt;&gt;0"))</f>
        <v>73.525819640763984</v>
      </c>
    </row>
    <row r="263" spans="1:9">
      <c r="A263">
        <v>261</v>
      </c>
      <c r="B263">
        <v>5</v>
      </c>
      <c r="C263">
        <v>9500</v>
      </c>
      <c r="D263">
        <v>5197</v>
      </c>
      <c r="E263" s="4">
        <f t="shared" si="16"/>
        <v>0</v>
      </c>
      <c r="F263" s="4">
        <f t="shared" si="17"/>
        <v>4303</v>
      </c>
      <c r="G263" s="4">
        <f t="shared" si="18"/>
        <v>0.45294736842105265</v>
      </c>
      <c r="H263" s="4">
        <f t="shared" si="19"/>
        <v>18515809</v>
      </c>
      <c r="I263" s="5">
        <f>SQRT(SUM('r-native-multi'!$D$3:D263)/COUNTIF($A$3:A263,"&lt;&gt;0"))</f>
        <v>73.520372759718583</v>
      </c>
    </row>
    <row r="264" spans="1:9">
      <c r="A264">
        <v>262</v>
      </c>
      <c r="B264">
        <v>5</v>
      </c>
      <c r="C264">
        <v>9500</v>
      </c>
      <c r="D264">
        <v>5313</v>
      </c>
      <c r="E264" s="4">
        <f t="shared" si="16"/>
        <v>0</v>
      </c>
      <c r="F264" s="4">
        <f t="shared" si="17"/>
        <v>4187</v>
      </c>
      <c r="G264" s="4">
        <f t="shared" si="18"/>
        <v>0.44073684210526315</v>
      </c>
      <c r="H264" s="4">
        <f t="shared" si="19"/>
        <v>17530969</v>
      </c>
      <c r="I264" s="5">
        <f>SQRT(SUM('r-native-multi'!$D$3:D264)/COUNTIF($A$3:A264,"&lt;&gt;0"))</f>
        <v>73.517978275867947</v>
      </c>
    </row>
    <row r="265" spans="1:9">
      <c r="A265">
        <v>263</v>
      </c>
      <c r="B265">
        <v>5</v>
      </c>
      <c r="C265">
        <v>9500</v>
      </c>
      <c r="D265">
        <v>5244</v>
      </c>
      <c r="E265" s="4">
        <f t="shared" si="16"/>
        <v>0</v>
      </c>
      <c r="F265" s="4">
        <f t="shared" si="17"/>
        <v>4256</v>
      </c>
      <c r="G265" s="4">
        <f t="shared" si="18"/>
        <v>0.44800000000000001</v>
      </c>
      <c r="H265" s="4">
        <f t="shared" si="19"/>
        <v>18113536</v>
      </c>
      <c r="I265" s="5">
        <f>SQRT(SUM('r-native-multi'!$D$3:D265)/COUNTIF($A$3:A265,"&lt;&gt;0"))</f>
        <v>73.5138175367141</v>
      </c>
    </row>
    <row r="266" spans="1:9">
      <c r="A266">
        <v>264</v>
      </c>
      <c r="B266">
        <v>5</v>
      </c>
      <c r="C266">
        <v>9500</v>
      </c>
      <c r="D266">
        <v>5289</v>
      </c>
      <c r="E266" s="4">
        <f t="shared" si="16"/>
        <v>0</v>
      </c>
      <c r="F266" s="4">
        <f t="shared" si="17"/>
        <v>4211</v>
      </c>
      <c r="G266" s="4">
        <f t="shared" si="18"/>
        <v>0.44326315789473686</v>
      </c>
      <c r="H266" s="4">
        <f t="shared" si="19"/>
        <v>17732521</v>
      </c>
      <c r="I266" s="5">
        <f>SQRT(SUM('r-native-multi'!$D$3:D266)/COUNTIF($A$3:A266,"&lt;&gt;0"))</f>
        <v>73.510847478244301</v>
      </c>
    </row>
    <row r="267" spans="1:9">
      <c r="A267">
        <v>265</v>
      </c>
      <c r="B267">
        <v>5</v>
      </c>
      <c r="C267">
        <v>9500</v>
      </c>
      <c r="D267">
        <v>5251</v>
      </c>
      <c r="E267" s="4">
        <f t="shared" si="16"/>
        <v>0</v>
      </c>
      <c r="F267" s="4">
        <f t="shared" si="17"/>
        <v>4249</v>
      </c>
      <c r="G267" s="4">
        <f t="shared" si="18"/>
        <v>0.44726315789473686</v>
      </c>
      <c r="H267" s="4">
        <f t="shared" si="19"/>
        <v>18054001</v>
      </c>
      <c r="I267" s="5">
        <f>SQRT(SUM('r-native-multi'!$D$3:D267)/COUNTIF($A$3:A267,"&lt;&gt;0"))</f>
        <v>73.506924330489454</v>
      </c>
    </row>
    <row r="268" spans="1:9">
      <c r="A268">
        <v>266</v>
      </c>
      <c r="B268">
        <v>5</v>
      </c>
      <c r="C268">
        <v>9500</v>
      </c>
      <c r="D268">
        <v>5378</v>
      </c>
      <c r="E268" s="4">
        <f t="shared" si="16"/>
        <v>0</v>
      </c>
      <c r="F268" s="4">
        <f t="shared" si="17"/>
        <v>4122</v>
      </c>
      <c r="G268" s="4">
        <f t="shared" si="18"/>
        <v>0.43389473684210528</v>
      </c>
      <c r="H268" s="4">
        <f t="shared" si="19"/>
        <v>16990884</v>
      </c>
      <c r="I268" s="5">
        <f>SQRT(SUM('r-native-multi'!$D$3:D268)/COUNTIF($A$3:A268,"&lt;&gt;0"))</f>
        <v>73.506278183096896</v>
      </c>
    </row>
    <row r="269" spans="1:9">
      <c r="A269">
        <v>267</v>
      </c>
      <c r="B269">
        <v>5</v>
      </c>
      <c r="C269">
        <v>9500</v>
      </c>
      <c r="D269">
        <v>5417</v>
      </c>
      <c r="E269" s="4">
        <f t="shared" si="16"/>
        <v>0</v>
      </c>
      <c r="F269" s="4">
        <f t="shared" si="17"/>
        <v>4083</v>
      </c>
      <c r="G269" s="4">
        <f t="shared" si="18"/>
        <v>0.4297894736842105</v>
      </c>
      <c r="H269" s="4">
        <f t="shared" si="19"/>
        <v>16670889</v>
      </c>
      <c r="I269" s="5">
        <f>SQRT(SUM('r-native-multi'!$D$3:D269)/COUNTIF($A$3:A269,"&lt;&gt;0"))</f>
        <v>73.506630443118013</v>
      </c>
    </row>
    <row r="270" spans="1:9">
      <c r="A270">
        <v>268</v>
      </c>
      <c r="B270">
        <v>5</v>
      </c>
      <c r="C270">
        <v>9500</v>
      </c>
      <c r="D270">
        <v>5182</v>
      </c>
      <c r="E270" s="4">
        <f t="shared" si="16"/>
        <v>0</v>
      </c>
      <c r="F270" s="4">
        <f t="shared" si="17"/>
        <v>4318</v>
      </c>
      <c r="G270" s="4">
        <f t="shared" si="18"/>
        <v>0.45452631578947367</v>
      </c>
      <c r="H270" s="4">
        <f t="shared" si="19"/>
        <v>18645124</v>
      </c>
      <c r="I270" s="5">
        <f>SQRT(SUM('r-native-multi'!$D$3:D270)/COUNTIF($A$3:A270,"&lt;&gt;0"))</f>
        <v>73.501015324492926</v>
      </c>
    </row>
    <row r="271" spans="1:9">
      <c r="A271">
        <v>269</v>
      </c>
      <c r="B271">
        <v>5</v>
      </c>
      <c r="C271">
        <v>9500</v>
      </c>
      <c r="D271">
        <v>5108</v>
      </c>
      <c r="E271" s="4">
        <f t="shared" si="16"/>
        <v>0</v>
      </c>
      <c r="F271" s="4">
        <f t="shared" si="17"/>
        <v>4392</v>
      </c>
      <c r="G271" s="4">
        <f t="shared" si="18"/>
        <v>0.46231578947368424</v>
      </c>
      <c r="H271" s="4">
        <f t="shared" si="19"/>
        <v>19289664</v>
      </c>
      <c r="I271" s="5">
        <f>SQRT(SUM('r-native-multi'!$D$3:D271)/COUNTIF($A$3:A271,"&lt;&gt;0"))</f>
        <v>73.493570009312748</v>
      </c>
    </row>
    <row r="272" spans="1:9">
      <c r="A272">
        <v>270</v>
      </c>
      <c r="B272">
        <v>5</v>
      </c>
      <c r="C272">
        <v>9500</v>
      </c>
      <c r="D272">
        <v>5193</v>
      </c>
      <c r="E272" s="4">
        <f t="shared" si="16"/>
        <v>0</v>
      </c>
      <c r="F272" s="4">
        <f t="shared" si="17"/>
        <v>4307</v>
      </c>
      <c r="G272" s="4">
        <f t="shared" si="18"/>
        <v>0.45336842105263159</v>
      </c>
      <c r="H272" s="4">
        <f t="shared" si="19"/>
        <v>18550249</v>
      </c>
      <c r="I272" s="5">
        <f>SQRT(SUM('r-native-multi'!$D$3:D272)/COUNTIF($A$3:A272,"&lt;&gt;0"))</f>
        <v>73.48832106759096</v>
      </c>
    </row>
    <row r="273" spans="1:9">
      <c r="A273">
        <v>271</v>
      </c>
      <c r="B273">
        <v>5</v>
      </c>
      <c r="C273">
        <v>9500</v>
      </c>
      <c r="D273">
        <v>5310</v>
      </c>
      <c r="E273" s="4">
        <f t="shared" si="16"/>
        <v>0</v>
      </c>
      <c r="F273" s="4">
        <f t="shared" si="17"/>
        <v>4190</v>
      </c>
      <c r="G273" s="4">
        <f t="shared" si="18"/>
        <v>0.44105263157894736</v>
      </c>
      <c r="H273" s="4">
        <f t="shared" si="19"/>
        <v>17556100</v>
      </c>
      <c r="I273" s="5">
        <f>SQRT(SUM('r-native-multi'!$D$3:D273)/COUNTIF($A$3:A273,"&lt;&gt;0"))</f>
        <v>73.486048077118824</v>
      </c>
    </row>
    <row r="274" spans="1:9">
      <c r="A274">
        <v>272</v>
      </c>
      <c r="B274">
        <v>5</v>
      </c>
      <c r="C274">
        <v>9500</v>
      </c>
      <c r="D274">
        <v>5265</v>
      </c>
      <c r="E274" s="4">
        <f t="shared" si="16"/>
        <v>0</v>
      </c>
      <c r="F274" s="4">
        <f t="shared" si="17"/>
        <v>4235</v>
      </c>
      <c r="G274" s="4">
        <f t="shared" si="18"/>
        <v>0.44578947368421051</v>
      </c>
      <c r="H274" s="4">
        <f t="shared" si="19"/>
        <v>17935225</v>
      </c>
      <c r="I274" s="5">
        <f>SQRT(SUM('r-native-multi'!$D$3:D274)/COUNTIF($A$3:A274,"&lt;&gt;0"))</f>
        <v>73.482666023235396</v>
      </c>
    </row>
    <row r="275" spans="1:9">
      <c r="A275">
        <v>273</v>
      </c>
      <c r="B275">
        <v>5</v>
      </c>
      <c r="C275">
        <v>9500</v>
      </c>
      <c r="D275">
        <v>5259</v>
      </c>
      <c r="E275" s="4">
        <f t="shared" si="16"/>
        <v>0</v>
      </c>
      <c r="F275" s="4">
        <f t="shared" si="17"/>
        <v>4241</v>
      </c>
      <c r="G275" s="4">
        <f t="shared" si="18"/>
        <v>0.44642105263157894</v>
      </c>
      <c r="H275" s="4">
        <f t="shared" si="19"/>
        <v>17986081</v>
      </c>
      <c r="I275" s="5">
        <f>SQRT(SUM('r-native-multi'!$D$3:D275)/COUNTIF($A$3:A275,"&lt;&gt;0"))</f>
        <v>73.479159039735976</v>
      </c>
    </row>
    <row r="276" spans="1:9">
      <c r="A276">
        <v>274</v>
      </c>
      <c r="B276">
        <v>5</v>
      </c>
      <c r="C276">
        <v>9500</v>
      </c>
      <c r="D276">
        <v>5004</v>
      </c>
      <c r="E276" s="4">
        <f t="shared" si="16"/>
        <v>0</v>
      </c>
      <c r="F276" s="4">
        <f t="shared" si="17"/>
        <v>4496</v>
      </c>
      <c r="G276" s="4">
        <f t="shared" si="18"/>
        <v>0.47326315789473683</v>
      </c>
      <c r="H276" s="4">
        <f t="shared" si="19"/>
        <v>20214016</v>
      </c>
      <c r="I276" s="5">
        <f>SQRT(SUM('r-native-multi'!$D$3:D276)/COUNTIF($A$3:A276,"&lt;&gt;0"))</f>
        <v>73.469344120847069</v>
      </c>
    </row>
    <row r="277" spans="1:9">
      <c r="A277">
        <v>275</v>
      </c>
      <c r="B277">
        <v>5</v>
      </c>
      <c r="C277">
        <v>9500</v>
      </c>
      <c r="D277">
        <v>5341</v>
      </c>
      <c r="E277" s="4">
        <f t="shared" si="16"/>
        <v>0</v>
      </c>
      <c r="F277" s="4">
        <f t="shared" si="17"/>
        <v>4159</v>
      </c>
      <c r="G277" s="4">
        <f t="shared" si="18"/>
        <v>0.43778947368421051</v>
      </c>
      <c r="H277" s="4">
        <f t="shared" si="19"/>
        <v>17297281</v>
      </c>
      <c r="I277" s="5">
        <f>SQRT(SUM('r-native-multi'!$D$3:D277)/COUNTIF($A$3:A277,"&lt;&gt;0"))</f>
        <v>73.467939822879089</v>
      </c>
    </row>
    <row r="278" spans="1:9">
      <c r="A278">
        <v>276</v>
      </c>
      <c r="B278">
        <v>5</v>
      </c>
      <c r="C278">
        <v>9500</v>
      </c>
      <c r="D278">
        <v>5297</v>
      </c>
      <c r="E278" s="4">
        <f t="shared" si="16"/>
        <v>0</v>
      </c>
      <c r="F278" s="4">
        <f t="shared" si="17"/>
        <v>4203</v>
      </c>
      <c r="G278" s="4">
        <f t="shared" si="18"/>
        <v>0.44242105263157894</v>
      </c>
      <c r="H278" s="4">
        <f t="shared" si="19"/>
        <v>17665209</v>
      </c>
      <c r="I278" s="5">
        <f>SQRT(SUM('r-native-multi'!$D$3:D278)/COUNTIF($A$3:A278,"&lt;&gt;0"))</f>
        <v>73.465460680808903</v>
      </c>
    </row>
    <row r="279" spans="1:9">
      <c r="A279">
        <v>277</v>
      </c>
      <c r="B279">
        <v>5</v>
      </c>
      <c r="C279">
        <v>9500</v>
      </c>
      <c r="D279">
        <v>5324</v>
      </c>
      <c r="E279" s="4">
        <f t="shared" si="16"/>
        <v>0</v>
      </c>
      <c r="F279" s="4">
        <f t="shared" si="17"/>
        <v>4176</v>
      </c>
      <c r="G279" s="4">
        <f t="shared" si="18"/>
        <v>0.43957894736842107</v>
      </c>
      <c r="H279" s="4">
        <f t="shared" si="19"/>
        <v>17438976</v>
      </c>
      <c r="I279" s="5">
        <f>SQRT(SUM('r-native-multi'!$D$3:D279)/COUNTIF($A$3:A279,"&lt;&gt;0"))</f>
        <v>73.463662768013535</v>
      </c>
    </row>
    <row r="280" spans="1:9">
      <c r="A280">
        <v>278</v>
      </c>
      <c r="B280">
        <v>5</v>
      </c>
      <c r="C280">
        <v>9500</v>
      </c>
      <c r="D280">
        <v>5324</v>
      </c>
      <c r="E280" s="4">
        <f t="shared" si="16"/>
        <v>0</v>
      </c>
      <c r="F280" s="4">
        <f t="shared" si="17"/>
        <v>4176</v>
      </c>
      <c r="G280" s="4">
        <f t="shared" si="18"/>
        <v>0.43957894736842107</v>
      </c>
      <c r="H280" s="4">
        <f t="shared" si="19"/>
        <v>17438976</v>
      </c>
      <c r="I280" s="5">
        <f>SQRT(SUM('r-native-multi'!$D$3:D280)/COUNTIF($A$3:A280,"&lt;&gt;0"))</f>
        <v>73.46187774631403</v>
      </c>
    </row>
    <row r="281" spans="1:9">
      <c r="A281">
        <v>279</v>
      </c>
      <c r="B281">
        <v>5</v>
      </c>
      <c r="C281">
        <v>9500</v>
      </c>
      <c r="D281">
        <v>5301</v>
      </c>
      <c r="E281" s="4">
        <f t="shared" ref="E281:E344" si="20">IF(AND(D281&lt;=C281*1.2,D281&gt;=C281*0.8),1,0)</f>
        <v>0</v>
      </c>
      <c r="F281" s="4">
        <f t="shared" ref="F281:F344" si="21">ABS(C281-D281)</f>
        <v>4199</v>
      </c>
      <c r="G281" s="4">
        <f t="shared" ref="G281:G344" si="22">ABS(C281-D281)/C281</f>
        <v>0.442</v>
      </c>
      <c r="H281" s="4">
        <f t="shared" ref="H281:H344" si="23">POWER(F281,2)</f>
        <v>17631601</v>
      </c>
      <c r="I281" s="5">
        <f>SQRT(SUM('r-native-multi'!$D$3:D281)/COUNTIF($A$3:A281,"&lt;&gt;0"))</f>
        <v>73.459544373064332</v>
      </c>
    </row>
    <row r="282" spans="1:9">
      <c r="A282">
        <v>280</v>
      </c>
      <c r="B282">
        <v>5</v>
      </c>
      <c r="C282">
        <v>9500</v>
      </c>
      <c r="D282">
        <v>5110</v>
      </c>
      <c r="E282" s="4">
        <f t="shared" si="20"/>
        <v>0</v>
      </c>
      <c r="F282" s="4">
        <f t="shared" si="21"/>
        <v>4390</v>
      </c>
      <c r="G282" s="4">
        <f t="shared" si="22"/>
        <v>0.46210526315789474</v>
      </c>
      <c r="H282" s="4">
        <f t="shared" si="23"/>
        <v>19272100</v>
      </c>
      <c r="I282" s="5">
        <f>SQRT(SUM('r-native-multi'!$D$3:D282)/COUNTIF($A$3:A282,"&lt;&gt;0"))</f>
        <v>73.452584317075889</v>
      </c>
    </row>
    <row r="283" spans="1:9">
      <c r="A283">
        <v>281</v>
      </c>
      <c r="B283">
        <v>5</v>
      </c>
      <c r="C283">
        <v>9500</v>
      </c>
      <c r="D283">
        <v>5218</v>
      </c>
      <c r="E283" s="4">
        <f t="shared" si="20"/>
        <v>0</v>
      </c>
      <c r="F283" s="4">
        <f t="shared" si="21"/>
        <v>4282</v>
      </c>
      <c r="G283" s="4">
        <f t="shared" si="22"/>
        <v>0.45073684210526316</v>
      </c>
      <c r="H283" s="4">
        <f t="shared" si="23"/>
        <v>18335524</v>
      </c>
      <c r="I283" s="5">
        <f>SQRT(SUM('r-native-multi'!$D$3:D283)/COUNTIF($A$3:A283,"&lt;&gt;0"))</f>
        <v>73.448289602628606</v>
      </c>
    </row>
    <row r="284" spans="1:9">
      <c r="A284">
        <v>282</v>
      </c>
      <c r="B284">
        <v>5</v>
      </c>
      <c r="C284">
        <v>9500</v>
      </c>
      <c r="D284">
        <v>5206</v>
      </c>
      <c r="E284" s="4">
        <f t="shared" si="20"/>
        <v>0</v>
      </c>
      <c r="F284" s="4">
        <f t="shared" si="21"/>
        <v>4294</v>
      </c>
      <c r="G284" s="4">
        <f t="shared" si="22"/>
        <v>0.45200000000000001</v>
      </c>
      <c r="H284" s="4">
        <f t="shared" si="23"/>
        <v>18438436</v>
      </c>
      <c r="I284" s="5">
        <f>SQRT(SUM('r-native-multi'!$D$3:D284)/COUNTIF($A$3:A284,"&lt;&gt;0"))</f>
        <v>73.443735399988654</v>
      </c>
    </row>
    <row r="285" spans="1:9">
      <c r="A285">
        <v>283</v>
      </c>
      <c r="B285">
        <v>5</v>
      </c>
      <c r="C285">
        <v>9500</v>
      </c>
      <c r="D285">
        <v>5333</v>
      </c>
      <c r="E285" s="4">
        <f t="shared" si="20"/>
        <v>0</v>
      </c>
      <c r="F285" s="4">
        <f t="shared" si="21"/>
        <v>4167</v>
      </c>
      <c r="G285" s="4">
        <f t="shared" si="22"/>
        <v>0.43863157894736843</v>
      </c>
      <c r="H285" s="4">
        <f t="shared" si="23"/>
        <v>17363889</v>
      </c>
      <c r="I285" s="5">
        <f>SQRT(SUM('r-native-multi'!$D$3:D285)/COUNTIF($A$3:A285,"&lt;&gt;0"))</f>
        <v>73.44226837763317</v>
      </c>
    </row>
    <row r="286" spans="1:9">
      <c r="A286">
        <v>284</v>
      </c>
      <c r="B286">
        <v>5</v>
      </c>
      <c r="C286">
        <v>9500</v>
      </c>
      <c r="D286">
        <v>5364</v>
      </c>
      <c r="E286" s="4">
        <f t="shared" si="20"/>
        <v>0</v>
      </c>
      <c r="F286" s="4">
        <f t="shared" si="21"/>
        <v>4136</v>
      </c>
      <c r="G286" s="4">
        <f t="shared" si="22"/>
        <v>0.43536842105263157</v>
      </c>
      <c r="H286" s="4">
        <f t="shared" si="23"/>
        <v>17106496</v>
      </c>
      <c r="I286" s="5">
        <f>SQRT(SUM('r-native-multi'!$D$3:D286)/COUNTIF($A$3:A286,"&lt;&gt;0"))</f>
        <v>73.441554802652334</v>
      </c>
    </row>
    <row r="287" spans="1:9">
      <c r="A287">
        <v>285</v>
      </c>
      <c r="B287">
        <v>5</v>
      </c>
      <c r="C287">
        <v>9500</v>
      </c>
      <c r="D287">
        <v>5268</v>
      </c>
      <c r="E287" s="4">
        <f t="shared" si="20"/>
        <v>0</v>
      </c>
      <c r="F287" s="4">
        <f t="shared" si="21"/>
        <v>4232</v>
      </c>
      <c r="G287" s="4">
        <f t="shared" si="22"/>
        <v>0.4454736842105263</v>
      </c>
      <c r="H287" s="4">
        <f t="shared" si="23"/>
        <v>17909824</v>
      </c>
      <c r="I287" s="5">
        <f>SQRT(SUM('r-native-multi'!$D$3:D287)/COUNTIF($A$3:A287,"&lt;&gt;0"))</f>
        <v>73.438552903986192</v>
      </c>
    </row>
    <row r="288" spans="1:9">
      <c r="A288">
        <v>286</v>
      </c>
      <c r="B288">
        <v>5</v>
      </c>
      <c r="C288">
        <v>9500</v>
      </c>
      <c r="D288">
        <v>5296</v>
      </c>
      <c r="E288" s="4">
        <f t="shared" si="20"/>
        <v>0</v>
      </c>
      <c r="F288" s="4">
        <f t="shared" si="21"/>
        <v>4204</v>
      </c>
      <c r="G288" s="4">
        <f t="shared" si="22"/>
        <v>0.44252631578947366</v>
      </c>
      <c r="H288" s="4">
        <f t="shared" si="23"/>
        <v>17673616</v>
      </c>
      <c r="I288" s="5">
        <f>SQRT(SUM('r-native-multi'!$D$3:D288)/COUNTIF($A$3:A288,"&lt;&gt;0"))</f>
        <v>73.436238458142171</v>
      </c>
    </row>
    <row r="289" spans="1:9">
      <c r="A289">
        <v>287</v>
      </c>
      <c r="B289">
        <v>5</v>
      </c>
      <c r="C289">
        <v>9500</v>
      </c>
      <c r="D289">
        <v>5276</v>
      </c>
      <c r="E289" s="4">
        <f t="shared" si="20"/>
        <v>0</v>
      </c>
      <c r="F289" s="4">
        <f t="shared" si="21"/>
        <v>4224</v>
      </c>
      <c r="G289" s="4">
        <f t="shared" si="22"/>
        <v>0.44463157894736843</v>
      </c>
      <c r="H289" s="4">
        <f t="shared" si="23"/>
        <v>17842176</v>
      </c>
      <c r="I289" s="5">
        <f>SQRT(SUM('r-native-multi'!$D$3:D289)/COUNTIF($A$3:A289,"&lt;&gt;0"))</f>
        <v>73.43346558345057</v>
      </c>
    </row>
    <row r="290" spans="1:9">
      <c r="A290">
        <v>288</v>
      </c>
      <c r="B290">
        <v>5</v>
      </c>
      <c r="C290">
        <v>9500</v>
      </c>
      <c r="D290">
        <v>5245</v>
      </c>
      <c r="E290" s="4">
        <f t="shared" si="20"/>
        <v>0</v>
      </c>
      <c r="F290" s="4">
        <f t="shared" si="21"/>
        <v>4255</v>
      </c>
      <c r="G290" s="4">
        <f t="shared" si="22"/>
        <v>0.44789473684210529</v>
      </c>
      <c r="H290" s="4">
        <f t="shared" si="23"/>
        <v>18105025</v>
      </c>
      <c r="I290" s="5">
        <f>SQRT(SUM('r-native-multi'!$D$3:D290)/COUNTIF($A$3:A290,"&lt;&gt;0"))</f>
        <v>73.429978929287159</v>
      </c>
    </row>
    <row r="291" spans="1:9">
      <c r="A291">
        <v>289</v>
      </c>
      <c r="B291">
        <v>5</v>
      </c>
      <c r="C291">
        <v>9500</v>
      </c>
      <c r="D291">
        <v>5380</v>
      </c>
      <c r="E291" s="4">
        <f t="shared" si="20"/>
        <v>0</v>
      </c>
      <c r="F291" s="4">
        <f t="shared" si="21"/>
        <v>4120</v>
      </c>
      <c r="G291" s="4">
        <f t="shared" si="22"/>
        <v>0.43368421052631578</v>
      </c>
      <c r="H291" s="4">
        <f t="shared" si="23"/>
        <v>16974400</v>
      </c>
      <c r="I291" s="5">
        <f>SQRT(SUM('r-native-multi'!$D$3:D291)/COUNTIF($A$3:A291,"&lt;&gt;0"))</f>
        <v>73.429697093375736</v>
      </c>
    </row>
    <row r="292" spans="1:9">
      <c r="A292">
        <v>290</v>
      </c>
      <c r="B292">
        <v>5</v>
      </c>
      <c r="C292">
        <v>9500</v>
      </c>
      <c r="D292">
        <v>5410</v>
      </c>
      <c r="E292" s="4">
        <f t="shared" si="20"/>
        <v>0</v>
      </c>
      <c r="F292" s="4">
        <f t="shared" si="21"/>
        <v>4090</v>
      </c>
      <c r="G292" s="4">
        <f t="shared" si="22"/>
        <v>0.4305263157894737</v>
      </c>
      <c r="H292" s="4">
        <f t="shared" si="23"/>
        <v>16728100</v>
      </c>
      <c r="I292" s="5">
        <f>SQRT(SUM('r-native-multi'!$D$3:D292)/COUNTIF($A$3:A292,"&lt;&gt;0"))</f>
        <v>73.430121602927287</v>
      </c>
    </row>
    <row r="293" spans="1:9">
      <c r="A293">
        <v>291</v>
      </c>
      <c r="B293">
        <v>5</v>
      </c>
      <c r="C293">
        <v>9500</v>
      </c>
      <c r="D293">
        <v>5283</v>
      </c>
      <c r="E293" s="4">
        <f t="shared" si="20"/>
        <v>0</v>
      </c>
      <c r="F293" s="4">
        <f t="shared" si="21"/>
        <v>4217</v>
      </c>
      <c r="G293" s="4">
        <f t="shared" si="22"/>
        <v>0.44389473684210529</v>
      </c>
      <c r="H293" s="4">
        <f t="shared" si="23"/>
        <v>17783089</v>
      </c>
      <c r="I293" s="5">
        <f>SQRT(SUM('r-native-multi'!$D$3:D293)/COUNTIF($A$3:A293,"&lt;&gt;0"))</f>
        <v>73.427571438953919</v>
      </c>
    </row>
    <row r="294" spans="1:9">
      <c r="A294">
        <v>292</v>
      </c>
      <c r="B294">
        <v>5</v>
      </c>
      <c r="C294">
        <v>9500</v>
      </c>
      <c r="D294">
        <v>5291</v>
      </c>
      <c r="E294" s="4">
        <f t="shared" si="20"/>
        <v>0</v>
      </c>
      <c r="F294" s="4">
        <f t="shared" si="21"/>
        <v>4209</v>
      </c>
      <c r="G294" s="4">
        <f t="shared" si="22"/>
        <v>0.44305263157894736</v>
      </c>
      <c r="H294" s="4">
        <f t="shared" si="23"/>
        <v>17715681</v>
      </c>
      <c r="I294" s="5">
        <f>SQRT(SUM('r-native-multi'!$D$3:D294)/COUNTIF($A$3:A294,"&lt;&gt;0"))</f>
        <v>73.425225220152626</v>
      </c>
    </row>
    <row r="295" spans="1:9">
      <c r="A295">
        <v>293</v>
      </c>
      <c r="B295">
        <v>5</v>
      </c>
      <c r="C295">
        <v>9500</v>
      </c>
      <c r="D295">
        <v>5194</v>
      </c>
      <c r="E295" s="4">
        <f t="shared" si="20"/>
        <v>0</v>
      </c>
      <c r="F295" s="4">
        <f t="shared" si="21"/>
        <v>4306</v>
      </c>
      <c r="G295" s="4">
        <f t="shared" si="22"/>
        <v>0.45326315789473687</v>
      </c>
      <c r="H295" s="4">
        <f t="shared" si="23"/>
        <v>18541636</v>
      </c>
      <c r="I295" s="5">
        <f>SQRT(SUM('r-native-multi'!$D$3:D295)/COUNTIF($A$3:A295,"&lt;&gt;0"))</f>
        <v>73.420640447261192</v>
      </c>
    </row>
    <row r="296" spans="1:9">
      <c r="A296">
        <v>294</v>
      </c>
      <c r="B296">
        <v>5</v>
      </c>
      <c r="C296">
        <v>9500</v>
      </c>
      <c r="D296">
        <v>5220</v>
      </c>
      <c r="E296" s="4">
        <f t="shared" si="20"/>
        <v>0</v>
      </c>
      <c r="F296" s="4">
        <f t="shared" si="21"/>
        <v>4280</v>
      </c>
      <c r="G296" s="4">
        <f t="shared" si="22"/>
        <v>0.45052631578947366</v>
      </c>
      <c r="H296" s="4">
        <f t="shared" si="23"/>
        <v>18318400</v>
      </c>
      <c r="I296" s="5">
        <f>SQRT(SUM('r-native-multi'!$D$3:D296)/COUNTIF($A$3:A296,"&lt;&gt;0"))</f>
        <v>73.416688866235532</v>
      </c>
    </row>
    <row r="297" spans="1:9">
      <c r="A297">
        <v>295</v>
      </c>
      <c r="B297">
        <v>5</v>
      </c>
      <c r="C297">
        <v>9500</v>
      </c>
      <c r="D297">
        <v>5308</v>
      </c>
      <c r="E297" s="4">
        <f t="shared" si="20"/>
        <v>0</v>
      </c>
      <c r="F297" s="4">
        <f t="shared" si="21"/>
        <v>4192</v>
      </c>
      <c r="G297" s="4">
        <f t="shared" si="22"/>
        <v>0.44126315789473686</v>
      </c>
      <c r="H297" s="4">
        <f t="shared" si="23"/>
        <v>17572864</v>
      </c>
      <c r="I297" s="5">
        <f>SQRT(SUM('r-native-multi'!$D$3:D297)/COUNTIF($A$3:A297,"&lt;&gt;0"))</f>
        <v>73.414795534618435</v>
      </c>
    </row>
    <row r="298" spans="1:9">
      <c r="A298">
        <v>296</v>
      </c>
      <c r="B298">
        <v>5</v>
      </c>
      <c r="C298">
        <v>9500</v>
      </c>
      <c r="D298">
        <v>5206</v>
      </c>
      <c r="E298" s="4">
        <f t="shared" si="20"/>
        <v>0</v>
      </c>
      <c r="F298" s="4">
        <f t="shared" si="21"/>
        <v>4294</v>
      </c>
      <c r="G298" s="4">
        <f t="shared" si="22"/>
        <v>0.45200000000000001</v>
      </c>
      <c r="H298" s="4">
        <f t="shared" si="23"/>
        <v>18438436</v>
      </c>
      <c r="I298" s="5">
        <f>SQRT(SUM('r-native-multi'!$D$3:D298)/COUNTIF($A$3:A298,"&lt;&gt;0"))</f>
        <v>73.410567948262639</v>
      </c>
    </row>
    <row r="299" spans="1:9">
      <c r="A299">
        <v>297</v>
      </c>
      <c r="B299">
        <v>5</v>
      </c>
      <c r="C299">
        <v>9500</v>
      </c>
      <c r="D299">
        <v>5216</v>
      </c>
      <c r="E299" s="4">
        <f t="shared" si="20"/>
        <v>0</v>
      </c>
      <c r="F299" s="4">
        <f t="shared" si="21"/>
        <v>4284</v>
      </c>
      <c r="G299" s="4">
        <f t="shared" si="22"/>
        <v>0.45094736842105265</v>
      </c>
      <c r="H299" s="4">
        <f t="shared" si="23"/>
        <v>18352656</v>
      </c>
      <c r="I299" s="5">
        <f>SQRT(SUM('r-native-multi'!$D$3:D299)/COUNTIF($A$3:A299,"&lt;&gt;0"))</f>
        <v>73.406597929127727</v>
      </c>
    </row>
    <row r="300" spans="1:9">
      <c r="A300">
        <v>298</v>
      </c>
      <c r="B300">
        <v>5</v>
      </c>
      <c r="C300">
        <v>9500</v>
      </c>
      <c r="D300">
        <v>5279</v>
      </c>
      <c r="E300" s="4">
        <f t="shared" si="20"/>
        <v>0</v>
      </c>
      <c r="F300" s="4">
        <f t="shared" si="21"/>
        <v>4221</v>
      </c>
      <c r="G300" s="4">
        <f t="shared" si="22"/>
        <v>0.44431578947368422</v>
      </c>
      <c r="H300" s="4">
        <f t="shared" si="23"/>
        <v>17816841</v>
      </c>
      <c r="I300" s="5">
        <f>SQRT(SUM('r-native-multi'!$D$3:D300)/COUNTIF($A$3:A300,"&lt;&gt;0"))</f>
        <v>73.4040943941515</v>
      </c>
    </row>
    <row r="301" spans="1:9">
      <c r="A301">
        <v>299</v>
      </c>
      <c r="B301">
        <v>5</v>
      </c>
      <c r="C301">
        <v>9500</v>
      </c>
      <c r="D301">
        <v>5290</v>
      </c>
      <c r="E301" s="4">
        <f t="shared" si="20"/>
        <v>0</v>
      </c>
      <c r="F301" s="4">
        <f t="shared" si="21"/>
        <v>4210</v>
      </c>
      <c r="G301" s="4">
        <f t="shared" si="22"/>
        <v>0.44315789473684208</v>
      </c>
      <c r="H301" s="4">
        <f t="shared" si="23"/>
        <v>17724100</v>
      </c>
      <c r="I301" s="5">
        <f>SQRT(SUM('r-native-multi'!$D$3:D301)/COUNTIF($A$3:A301,"&lt;&gt;0"))</f>
        <v>73.401858123072969</v>
      </c>
    </row>
    <row r="302" spans="1:9">
      <c r="A302">
        <v>300</v>
      </c>
      <c r="B302">
        <v>5</v>
      </c>
      <c r="C302">
        <v>9500</v>
      </c>
      <c r="D302">
        <v>5361</v>
      </c>
      <c r="E302" s="4">
        <f t="shared" si="20"/>
        <v>0</v>
      </c>
      <c r="F302" s="4">
        <f t="shared" si="21"/>
        <v>4139</v>
      </c>
      <c r="G302" s="4">
        <f t="shared" si="22"/>
        <v>0.43568421052631578</v>
      </c>
      <c r="H302" s="4">
        <f t="shared" si="23"/>
        <v>17131321</v>
      </c>
      <c r="I302" s="5">
        <f>SQRT(SUM('r-native-multi'!$D$3:D302)/COUNTIF($A$3:A302,"&lt;&gt;0"))</f>
        <v>73.401248854044255</v>
      </c>
    </row>
    <row r="303" spans="1:9">
      <c r="A303">
        <v>301</v>
      </c>
      <c r="B303">
        <v>5</v>
      </c>
      <c r="C303">
        <v>2600</v>
      </c>
      <c r="D303">
        <v>5302</v>
      </c>
      <c r="E303" s="4">
        <f t="shared" si="20"/>
        <v>0</v>
      </c>
      <c r="F303" s="4">
        <f t="shared" si="21"/>
        <v>2702</v>
      </c>
      <c r="G303" s="4">
        <f t="shared" si="22"/>
        <v>1.0392307692307692</v>
      </c>
      <c r="H303" s="4">
        <f t="shared" si="23"/>
        <v>7300804</v>
      </c>
      <c r="I303" s="5">
        <f>SQRT(SUM('r-native-multi'!$D$3:D303)/COUNTIF($A$3:A303,"&lt;&gt;0"))</f>
        <v>73.399308387482762</v>
      </c>
    </row>
    <row r="304" spans="1:9">
      <c r="A304">
        <v>302</v>
      </c>
      <c r="B304">
        <v>5</v>
      </c>
      <c r="C304">
        <v>2600</v>
      </c>
      <c r="D304">
        <v>5193</v>
      </c>
      <c r="E304" s="4">
        <f t="shared" si="20"/>
        <v>0</v>
      </c>
      <c r="F304" s="4">
        <f t="shared" si="21"/>
        <v>2593</v>
      </c>
      <c r="G304" s="4">
        <f t="shared" si="22"/>
        <v>0.99730769230769234</v>
      </c>
      <c r="H304" s="4">
        <f t="shared" si="23"/>
        <v>6723649</v>
      </c>
      <c r="I304" s="5">
        <f>SQRT(SUM('r-native-multi'!$D$3:D304)/COUNTIF($A$3:A304,"&lt;&gt;0"))</f>
        <v>73.394921960149418</v>
      </c>
    </row>
    <row r="305" spans="1:9">
      <c r="A305">
        <v>303</v>
      </c>
      <c r="B305">
        <v>5</v>
      </c>
      <c r="C305">
        <v>2600</v>
      </c>
      <c r="D305">
        <v>5310</v>
      </c>
      <c r="E305" s="4">
        <f t="shared" si="20"/>
        <v>0</v>
      </c>
      <c r="F305" s="4">
        <f t="shared" si="21"/>
        <v>2710</v>
      </c>
      <c r="G305" s="4">
        <f t="shared" si="22"/>
        <v>1.0423076923076924</v>
      </c>
      <c r="H305" s="4">
        <f t="shared" si="23"/>
        <v>7344100</v>
      </c>
      <c r="I305" s="5">
        <f>SQRT(SUM('r-native-multi'!$D$3:D305)/COUNTIF($A$3:A305,"&lt;&gt;0"))</f>
        <v>73.393194889619096</v>
      </c>
    </row>
    <row r="306" spans="1:9">
      <c r="A306">
        <v>304</v>
      </c>
      <c r="B306">
        <v>5</v>
      </c>
      <c r="C306">
        <v>2600</v>
      </c>
      <c r="D306">
        <v>5294</v>
      </c>
      <c r="E306" s="4">
        <f t="shared" si="20"/>
        <v>0</v>
      </c>
      <c r="F306" s="4">
        <f t="shared" si="21"/>
        <v>2694</v>
      </c>
      <c r="G306" s="4">
        <f t="shared" si="22"/>
        <v>1.0361538461538462</v>
      </c>
      <c r="H306" s="4">
        <f t="shared" si="23"/>
        <v>7257636</v>
      </c>
      <c r="I306" s="5">
        <f>SQRT(SUM('r-native-multi'!$D$3:D306)/COUNTIF($A$3:A306,"&lt;&gt;0"))</f>
        <v>73.391120572909699</v>
      </c>
    </row>
    <row r="307" spans="1:9">
      <c r="A307">
        <v>305</v>
      </c>
      <c r="B307">
        <v>5</v>
      </c>
      <c r="C307">
        <v>2600</v>
      </c>
      <c r="D307">
        <v>5241</v>
      </c>
      <c r="E307" s="4">
        <f t="shared" si="20"/>
        <v>0</v>
      </c>
      <c r="F307" s="4">
        <f t="shared" si="21"/>
        <v>2641</v>
      </c>
      <c r="G307" s="4">
        <f t="shared" si="22"/>
        <v>1.0157692307692308</v>
      </c>
      <c r="H307" s="4">
        <f t="shared" si="23"/>
        <v>6974881</v>
      </c>
      <c r="I307" s="5">
        <f>SQRT(SUM('r-native-multi'!$D$3:D307)/COUNTIF($A$3:A307,"&lt;&gt;0"))</f>
        <v>73.387875891518021</v>
      </c>
    </row>
    <row r="308" spans="1:9">
      <c r="A308">
        <v>306</v>
      </c>
      <c r="B308">
        <v>5</v>
      </c>
      <c r="C308">
        <v>2600</v>
      </c>
      <c r="D308">
        <v>5167</v>
      </c>
      <c r="E308" s="4">
        <f t="shared" si="20"/>
        <v>0</v>
      </c>
      <c r="F308" s="4">
        <f t="shared" si="21"/>
        <v>2567</v>
      </c>
      <c r="G308" s="4">
        <f t="shared" si="22"/>
        <v>0.98730769230769233</v>
      </c>
      <c r="H308" s="4">
        <f t="shared" si="23"/>
        <v>6589489</v>
      </c>
      <c r="I308" s="5">
        <f>SQRT(SUM('r-native-multi'!$D$3:D308)/COUNTIF($A$3:A308,"&lt;&gt;0"))</f>
        <v>73.38300456834078</v>
      </c>
    </row>
    <row r="309" spans="1:9">
      <c r="A309">
        <v>307</v>
      </c>
      <c r="B309">
        <v>5</v>
      </c>
      <c r="C309">
        <v>2600</v>
      </c>
      <c r="D309">
        <v>5233</v>
      </c>
      <c r="E309" s="4">
        <f t="shared" si="20"/>
        <v>0</v>
      </c>
      <c r="F309" s="4">
        <f t="shared" si="21"/>
        <v>2633</v>
      </c>
      <c r="G309" s="4">
        <f t="shared" si="22"/>
        <v>1.0126923076923078</v>
      </c>
      <c r="H309" s="4">
        <f t="shared" si="23"/>
        <v>6932689</v>
      </c>
      <c r="I309" s="5">
        <f>SQRT(SUM('r-native-multi'!$D$3:D309)/COUNTIF($A$3:A309,"&lt;&gt;0"))</f>
        <v>73.379629547806317</v>
      </c>
    </row>
    <row r="310" spans="1:9">
      <c r="A310">
        <v>308</v>
      </c>
      <c r="B310">
        <v>5</v>
      </c>
      <c r="C310">
        <v>2600</v>
      </c>
      <c r="D310">
        <v>5315</v>
      </c>
      <c r="E310" s="4">
        <f t="shared" si="20"/>
        <v>0</v>
      </c>
      <c r="F310" s="4">
        <f t="shared" si="21"/>
        <v>2715</v>
      </c>
      <c r="G310" s="4">
        <f t="shared" si="22"/>
        <v>1.0442307692307693</v>
      </c>
      <c r="H310" s="4">
        <f t="shared" si="23"/>
        <v>7371225</v>
      </c>
      <c r="I310" s="5">
        <f>SQRT(SUM('r-native-multi'!$D$3:D310)/COUNTIF($A$3:A310,"&lt;&gt;0"))</f>
        <v>73.378090434707801</v>
      </c>
    </row>
    <row r="311" spans="1:9">
      <c r="A311">
        <v>309</v>
      </c>
      <c r="B311">
        <v>5</v>
      </c>
      <c r="C311">
        <v>2600</v>
      </c>
      <c r="D311">
        <v>5271</v>
      </c>
      <c r="E311" s="4">
        <f t="shared" si="20"/>
        <v>0</v>
      </c>
      <c r="F311" s="4">
        <f t="shared" si="21"/>
        <v>2671</v>
      </c>
      <c r="G311" s="4">
        <f t="shared" si="22"/>
        <v>1.0273076923076923</v>
      </c>
      <c r="H311" s="4">
        <f t="shared" si="23"/>
        <v>7134241</v>
      </c>
      <c r="I311" s="5">
        <f>SQRT(SUM('r-native-multi'!$D$3:D311)/COUNTIF($A$3:A311,"&lt;&gt;0"))</f>
        <v>73.375590943298832</v>
      </c>
    </row>
    <row r="312" spans="1:9">
      <c r="A312">
        <v>310</v>
      </c>
      <c r="B312">
        <v>5</v>
      </c>
      <c r="C312">
        <v>2600</v>
      </c>
      <c r="D312">
        <v>5163</v>
      </c>
      <c r="E312" s="4">
        <f t="shared" si="20"/>
        <v>0</v>
      </c>
      <c r="F312" s="4">
        <f t="shared" si="21"/>
        <v>2563</v>
      </c>
      <c r="G312" s="4">
        <f t="shared" si="22"/>
        <v>0.98576923076923073</v>
      </c>
      <c r="H312" s="4">
        <f t="shared" si="23"/>
        <v>6568969</v>
      </c>
      <c r="I312" s="5">
        <f>SQRT(SUM('r-native-multi'!$D$3:D312)/COUNTIF($A$3:A312,"&lt;&gt;0"))</f>
        <v>73.370733375979228</v>
      </c>
    </row>
    <row r="313" spans="1:9">
      <c r="A313">
        <v>311</v>
      </c>
      <c r="B313">
        <v>5</v>
      </c>
      <c r="C313">
        <v>2600</v>
      </c>
      <c r="D313">
        <v>5234</v>
      </c>
      <c r="E313" s="4">
        <f t="shared" si="20"/>
        <v>0</v>
      </c>
      <c r="F313" s="4">
        <f t="shared" si="21"/>
        <v>2634</v>
      </c>
      <c r="G313" s="4">
        <f t="shared" si="22"/>
        <v>1.013076923076923</v>
      </c>
      <c r="H313" s="4">
        <f t="shared" si="23"/>
        <v>6937956</v>
      </c>
      <c r="I313" s="5">
        <f>SQRT(SUM('r-native-multi'!$D$3:D313)/COUNTIF($A$3:A313,"&lt;&gt;0"))</f>
        <v>73.367462583330479</v>
      </c>
    </row>
    <row r="314" spans="1:9">
      <c r="A314">
        <v>312</v>
      </c>
      <c r="B314">
        <v>5</v>
      </c>
      <c r="C314">
        <v>2600</v>
      </c>
      <c r="D314">
        <v>5274</v>
      </c>
      <c r="E314" s="4">
        <f t="shared" si="20"/>
        <v>0</v>
      </c>
      <c r="F314" s="4">
        <f t="shared" si="21"/>
        <v>2674</v>
      </c>
      <c r="G314" s="4">
        <f t="shared" si="22"/>
        <v>1.0284615384615385</v>
      </c>
      <c r="H314" s="4">
        <f t="shared" si="23"/>
        <v>7150276</v>
      </c>
      <c r="I314" s="5">
        <f>SQRT(SUM('r-native-multi'!$D$3:D314)/COUNTIF($A$3:A314,"&lt;&gt;0"))</f>
        <v>73.365086365626922</v>
      </c>
    </row>
    <row r="315" spans="1:9">
      <c r="A315">
        <v>313</v>
      </c>
      <c r="B315">
        <v>5</v>
      </c>
      <c r="C315">
        <v>2600</v>
      </c>
      <c r="D315">
        <v>5313</v>
      </c>
      <c r="E315" s="4">
        <f t="shared" si="20"/>
        <v>0</v>
      </c>
      <c r="F315" s="4">
        <f t="shared" si="21"/>
        <v>2713</v>
      </c>
      <c r="G315" s="4">
        <f t="shared" si="22"/>
        <v>1.0434615384615384</v>
      </c>
      <c r="H315" s="4">
        <f t="shared" si="23"/>
        <v>7360369</v>
      </c>
      <c r="I315" s="5">
        <f>SQRT(SUM('r-native-multi'!$D$3:D315)/COUNTIF($A$3:A315,"&lt;&gt;0"))</f>
        <v>73.363574459727545</v>
      </c>
    </row>
    <row r="316" spans="1:9">
      <c r="A316">
        <v>314</v>
      </c>
      <c r="B316">
        <v>5</v>
      </c>
      <c r="C316">
        <v>2600</v>
      </c>
      <c r="D316">
        <v>4930</v>
      </c>
      <c r="E316" s="4">
        <f t="shared" si="20"/>
        <v>0</v>
      </c>
      <c r="F316" s="4">
        <f t="shared" si="21"/>
        <v>2330</v>
      </c>
      <c r="G316" s="4">
        <f t="shared" si="22"/>
        <v>0.89615384615384619</v>
      </c>
      <c r="H316" s="4">
        <f t="shared" si="23"/>
        <v>5428900</v>
      </c>
      <c r="I316" s="5">
        <f>SQRT(SUM('r-native-multi'!$D$3:D316)/COUNTIF($A$3:A316,"&lt;&gt;0"))</f>
        <v>73.353758495051352</v>
      </c>
    </row>
    <row r="317" spans="1:9">
      <c r="A317">
        <v>315</v>
      </c>
      <c r="B317">
        <v>5</v>
      </c>
      <c r="C317">
        <v>2600</v>
      </c>
      <c r="D317">
        <v>4900</v>
      </c>
      <c r="E317" s="4">
        <f t="shared" si="20"/>
        <v>0</v>
      </c>
      <c r="F317" s="4">
        <f t="shared" si="21"/>
        <v>2300</v>
      </c>
      <c r="G317" s="4">
        <f t="shared" si="22"/>
        <v>0.88461538461538458</v>
      </c>
      <c r="H317" s="4">
        <f t="shared" si="23"/>
        <v>5290000</v>
      </c>
      <c r="I317" s="5">
        <f>SQRT(SUM('r-native-multi'!$D$3:D317)/COUNTIF($A$3:A317,"&lt;&gt;0"))</f>
        <v>73.343354293675574</v>
      </c>
    </row>
    <row r="318" spans="1:9">
      <c r="A318">
        <v>316</v>
      </c>
      <c r="B318">
        <v>5</v>
      </c>
      <c r="C318">
        <v>2600</v>
      </c>
      <c r="D318">
        <v>4887</v>
      </c>
      <c r="E318" s="4">
        <f t="shared" si="20"/>
        <v>0</v>
      </c>
      <c r="F318" s="4">
        <f t="shared" si="21"/>
        <v>2287</v>
      </c>
      <c r="G318" s="4">
        <f t="shared" si="22"/>
        <v>0.87961538461538458</v>
      </c>
      <c r="H318" s="4">
        <f t="shared" si="23"/>
        <v>5230369</v>
      </c>
      <c r="I318" s="5">
        <f>SQRT(SUM('r-native-multi'!$D$3:D318)/COUNTIF($A$3:A318,"&lt;&gt;0"))</f>
        <v>73.332733982974617</v>
      </c>
    </row>
    <row r="319" spans="1:9">
      <c r="A319">
        <v>317</v>
      </c>
      <c r="B319">
        <v>5</v>
      </c>
      <c r="C319">
        <v>2600</v>
      </c>
      <c r="D319">
        <v>5242</v>
      </c>
      <c r="E319" s="4">
        <f t="shared" si="20"/>
        <v>0</v>
      </c>
      <c r="F319" s="4">
        <f t="shared" si="21"/>
        <v>2642</v>
      </c>
      <c r="G319" s="4">
        <f t="shared" si="22"/>
        <v>1.0161538461538462</v>
      </c>
      <c r="H319" s="4">
        <f t="shared" si="23"/>
        <v>6980164</v>
      </c>
      <c r="I319" s="5">
        <f>SQRT(SUM('r-native-multi'!$D$3:D319)/COUNTIF($A$3:A319,"&lt;&gt;0"))</f>
        <v>73.329815420830002</v>
      </c>
    </row>
    <row r="320" spans="1:9">
      <c r="A320">
        <v>318</v>
      </c>
      <c r="B320">
        <v>5</v>
      </c>
      <c r="C320">
        <v>2600</v>
      </c>
      <c r="D320">
        <v>5264</v>
      </c>
      <c r="E320" s="4">
        <f t="shared" si="20"/>
        <v>0</v>
      </c>
      <c r="F320" s="4">
        <f t="shared" si="21"/>
        <v>2664</v>
      </c>
      <c r="G320" s="4">
        <f t="shared" si="22"/>
        <v>1.0246153846153847</v>
      </c>
      <c r="H320" s="4">
        <f t="shared" si="23"/>
        <v>7096896</v>
      </c>
      <c r="I320" s="5">
        <f>SQRT(SUM('r-native-multi'!$D$3:D320)/COUNTIF($A$3:A320,"&lt;&gt;0"))</f>
        <v>73.327386837234002</v>
      </c>
    </row>
    <row r="321" spans="1:9">
      <c r="A321">
        <v>319</v>
      </c>
      <c r="B321">
        <v>5</v>
      </c>
      <c r="C321">
        <v>2600</v>
      </c>
      <c r="D321">
        <v>5220</v>
      </c>
      <c r="E321" s="4">
        <f t="shared" si="20"/>
        <v>0</v>
      </c>
      <c r="F321" s="4">
        <f t="shared" si="21"/>
        <v>2620</v>
      </c>
      <c r="G321" s="4">
        <f t="shared" si="22"/>
        <v>1.0076923076923077</v>
      </c>
      <c r="H321" s="4">
        <f t="shared" si="23"/>
        <v>6864400</v>
      </c>
      <c r="I321" s="5">
        <f>SQRT(SUM('r-native-multi'!$D$3:D321)/COUNTIF($A$3:A321,"&lt;&gt;0"))</f>
        <v>73.324032848060455</v>
      </c>
    </row>
    <row r="322" spans="1:9">
      <c r="A322">
        <v>320</v>
      </c>
      <c r="B322">
        <v>5</v>
      </c>
      <c r="C322">
        <v>2600</v>
      </c>
      <c r="D322">
        <v>5214</v>
      </c>
      <c r="E322" s="4">
        <f t="shared" si="20"/>
        <v>0</v>
      </c>
      <c r="F322" s="4">
        <f t="shared" si="21"/>
        <v>2614</v>
      </c>
      <c r="G322" s="4">
        <f t="shared" si="22"/>
        <v>1.0053846153846153</v>
      </c>
      <c r="H322" s="4">
        <f t="shared" si="23"/>
        <v>6832996</v>
      </c>
      <c r="I322" s="5">
        <f>SQRT(SUM('r-native-multi'!$D$3:D322)/COUNTIF($A$3:A322,"&lt;&gt;0"))</f>
        <v>73.320571806280938</v>
      </c>
    </row>
    <row r="323" spans="1:9">
      <c r="A323">
        <v>321</v>
      </c>
      <c r="B323">
        <v>5</v>
      </c>
      <c r="C323">
        <v>2600</v>
      </c>
      <c r="D323">
        <v>5272</v>
      </c>
      <c r="E323" s="4">
        <f t="shared" si="20"/>
        <v>0</v>
      </c>
      <c r="F323" s="4">
        <f t="shared" si="21"/>
        <v>2672</v>
      </c>
      <c r="G323" s="4">
        <f t="shared" si="22"/>
        <v>1.0276923076923077</v>
      </c>
      <c r="H323" s="4">
        <f t="shared" si="23"/>
        <v>7139584</v>
      </c>
      <c r="I323" s="5">
        <f>SQRT(SUM('r-native-multi'!$D$3:D323)/COUNTIF($A$3:A323,"&lt;&gt;0"))</f>
        <v>73.318364374262558</v>
      </c>
    </row>
    <row r="324" spans="1:9">
      <c r="A324">
        <v>322</v>
      </c>
      <c r="B324">
        <v>5</v>
      </c>
      <c r="C324">
        <v>2600</v>
      </c>
      <c r="D324">
        <v>5182</v>
      </c>
      <c r="E324" s="4">
        <f t="shared" si="20"/>
        <v>0</v>
      </c>
      <c r="F324" s="4">
        <f t="shared" si="21"/>
        <v>2582</v>
      </c>
      <c r="G324" s="4">
        <f t="shared" si="22"/>
        <v>0.99307692307692308</v>
      </c>
      <c r="H324" s="4">
        <f t="shared" si="23"/>
        <v>6666724</v>
      </c>
      <c r="I324" s="5">
        <f>SQRT(SUM('r-native-multi'!$D$3:D324)/COUNTIF($A$3:A324,"&lt;&gt;0"))</f>
        <v>73.314264413275183</v>
      </c>
    </row>
    <row r="325" spans="1:9">
      <c r="A325">
        <v>323</v>
      </c>
      <c r="B325">
        <v>5</v>
      </c>
      <c r="C325">
        <v>2600</v>
      </c>
      <c r="D325">
        <v>5225</v>
      </c>
      <c r="E325" s="4">
        <f t="shared" si="20"/>
        <v>0</v>
      </c>
      <c r="F325" s="4">
        <f t="shared" si="21"/>
        <v>2625</v>
      </c>
      <c r="G325" s="4">
        <f t="shared" si="22"/>
        <v>1.0096153846153846</v>
      </c>
      <c r="H325" s="4">
        <f t="shared" si="23"/>
        <v>6890625</v>
      </c>
      <c r="I325" s="5">
        <f>SQRT(SUM('r-native-multi'!$D$3:D325)/COUNTIF($A$3:A325,"&lt;&gt;0"))</f>
        <v>73.311097576450024</v>
      </c>
    </row>
    <row r="326" spans="1:9">
      <c r="A326">
        <v>324</v>
      </c>
      <c r="B326">
        <v>5</v>
      </c>
      <c r="C326">
        <v>2600</v>
      </c>
      <c r="D326">
        <v>5333</v>
      </c>
      <c r="E326" s="4">
        <f t="shared" si="20"/>
        <v>0</v>
      </c>
      <c r="F326" s="4">
        <f t="shared" si="21"/>
        <v>2733</v>
      </c>
      <c r="G326" s="4">
        <f t="shared" si="22"/>
        <v>1.0511538461538461</v>
      </c>
      <c r="H326" s="4">
        <f t="shared" si="23"/>
        <v>7469289</v>
      </c>
      <c r="I326" s="5">
        <f>SQRT(SUM('r-native-multi'!$D$3:D326)/COUNTIF($A$3:A326,"&lt;&gt;0"))</f>
        <v>73.310223631420527</v>
      </c>
    </row>
    <row r="327" spans="1:9">
      <c r="A327">
        <v>325</v>
      </c>
      <c r="B327">
        <v>5</v>
      </c>
      <c r="C327">
        <v>2600</v>
      </c>
      <c r="D327">
        <v>5240</v>
      </c>
      <c r="E327" s="4">
        <f t="shared" si="20"/>
        <v>0</v>
      </c>
      <c r="F327" s="4">
        <f t="shared" si="21"/>
        <v>2640</v>
      </c>
      <c r="G327" s="4">
        <f t="shared" si="22"/>
        <v>1.0153846153846153</v>
      </c>
      <c r="H327" s="4">
        <f t="shared" si="23"/>
        <v>6969600</v>
      </c>
      <c r="I327" s="5">
        <f>SQRT(SUM('r-native-multi'!$D$3:D327)/COUNTIF($A$3:A327,"&lt;&gt;0"))</f>
        <v>73.307403341104532</v>
      </c>
    </row>
    <row r="328" spans="1:9">
      <c r="A328">
        <v>326</v>
      </c>
      <c r="B328">
        <v>5</v>
      </c>
      <c r="C328">
        <v>2600</v>
      </c>
      <c r="D328">
        <v>5351</v>
      </c>
      <c r="E328" s="4">
        <f t="shared" si="20"/>
        <v>0</v>
      </c>
      <c r="F328" s="4">
        <f t="shared" si="21"/>
        <v>2751</v>
      </c>
      <c r="G328" s="4">
        <f t="shared" si="22"/>
        <v>1.0580769230769231</v>
      </c>
      <c r="H328" s="4">
        <f t="shared" si="23"/>
        <v>7568001</v>
      </c>
      <c r="I328" s="5">
        <f>SQRT(SUM('r-native-multi'!$D$3:D328)/COUNTIF($A$3:A328,"&lt;&gt;0"))</f>
        <v>73.306922647015128</v>
      </c>
    </row>
    <row r="329" spans="1:9">
      <c r="A329">
        <v>327</v>
      </c>
      <c r="B329">
        <v>5</v>
      </c>
      <c r="C329">
        <v>2600</v>
      </c>
      <c r="D329">
        <v>5193</v>
      </c>
      <c r="E329" s="4">
        <f t="shared" si="20"/>
        <v>0</v>
      </c>
      <c r="F329" s="4">
        <f t="shared" si="21"/>
        <v>2593</v>
      </c>
      <c r="G329" s="4">
        <f t="shared" si="22"/>
        <v>0.99730769230769234</v>
      </c>
      <c r="H329" s="4">
        <f t="shared" si="23"/>
        <v>6723649</v>
      </c>
      <c r="I329" s="5">
        <f>SQRT(SUM('r-native-multi'!$D$3:D329)/COUNTIF($A$3:A329,"&lt;&gt;0"))</f>
        <v>73.303149195359865</v>
      </c>
    </row>
    <row r="330" spans="1:9">
      <c r="A330">
        <v>328</v>
      </c>
      <c r="B330">
        <v>5</v>
      </c>
      <c r="C330">
        <v>2600</v>
      </c>
      <c r="D330">
        <v>5305</v>
      </c>
      <c r="E330" s="4">
        <f t="shared" si="20"/>
        <v>0</v>
      </c>
      <c r="F330" s="4">
        <f t="shared" si="21"/>
        <v>2705</v>
      </c>
      <c r="G330" s="4">
        <f t="shared" si="22"/>
        <v>1.0403846153846155</v>
      </c>
      <c r="H330" s="4">
        <f t="shared" si="23"/>
        <v>7317025</v>
      </c>
      <c r="I330" s="5">
        <f>SQRT(SUM('r-native-multi'!$D$3:D330)/COUNTIF($A$3:A330,"&lt;&gt;0"))</f>
        <v>73.301727760557782</v>
      </c>
    </row>
    <row r="331" spans="1:9">
      <c r="A331">
        <v>329</v>
      </c>
      <c r="B331">
        <v>5</v>
      </c>
      <c r="C331">
        <v>2600</v>
      </c>
      <c r="D331">
        <v>5177</v>
      </c>
      <c r="E331" s="4">
        <f t="shared" si="20"/>
        <v>0</v>
      </c>
      <c r="F331" s="4">
        <f t="shared" si="21"/>
        <v>2577</v>
      </c>
      <c r="G331" s="4">
        <f t="shared" si="22"/>
        <v>0.99115384615384616</v>
      </c>
      <c r="H331" s="4">
        <f t="shared" si="23"/>
        <v>6640929</v>
      </c>
      <c r="I331" s="5">
        <f>SQRT(SUM('r-native-multi'!$D$3:D331)/COUNTIF($A$3:A331,"&lt;&gt;0"))</f>
        <v>73.297661029953787</v>
      </c>
    </row>
    <row r="332" spans="1:9">
      <c r="A332">
        <v>330</v>
      </c>
      <c r="B332">
        <v>5</v>
      </c>
      <c r="C332">
        <v>2600</v>
      </c>
      <c r="D332">
        <v>5367</v>
      </c>
      <c r="E332" s="4">
        <f t="shared" si="20"/>
        <v>0</v>
      </c>
      <c r="F332" s="4">
        <f t="shared" si="21"/>
        <v>2767</v>
      </c>
      <c r="G332" s="4">
        <f t="shared" si="22"/>
        <v>1.0642307692307693</v>
      </c>
      <c r="H332" s="4">
        <f t="shared" si="23"/>
        <v>7656289</v>
      </c>
      <c r="I332" s="5">
        <f>SQRT(SUM('r-native-multi'!$D$3:D332)/COUNTIF($A$3:A332,"&lt;&gt;0"))</f>
        <v>73.297546364324518</v>
      </c>
    </row>
    <row r="333" spans="1:9">
      <c r="A333">
        <v>331</v>
      </c>
      <c r="B333">
        <v>5</v>
      </c>
      <c r="C333">
        <v>2600</v>
      </c>
      <c r="D333">
        <v>5020</v>
      </c>
      <c r="E333" s="4">
        <f t="shared" si="20"/>
        <v>0</v>
      </c>
      <c r="F333" s="4">
        <f t="shared" si="21"/>
        <v>2420</v>
      </c>
      <c r="G333" s="4">
        <f t="shared" si="22"/>
        <v>0.93076923076923079</v>
      </c>
      <c r="H333" s="4">
        <f t="shared" si="23"/>
        <v>5856400</v>
      </c>
      <c r="I333" s="5">
        <f>SQRT(SUM('r-native-multi'!$D$3:D333)/COUNTIF($A$3:A333,"&lt;&gt;0"))</f>
        <v>73.290280779906851</v>
      </c>
    </row>
    <row r="334" spans="1:9">
      <c r="A334">
        <v>332</v>
      </c>
      <c r="B334">
        <v>5</v>
      </c>
      <c r="C334">
        <v>2600</v>
      </c>
      <c r="D334">
        <v>5324</v>
      </c>
      <c r="E334" s="4">
        <f t="shared" si="20"/>
        <v>0</v>
      </c>
      <c r="F334" s="4">
        <f t="shared" si="21"/>
        <v>2724</v>
      </c>
      <c r="G334" s="4">
        <f t="shared" si="22"/>
        <v>1.0476923076923077</v>
      </c>
      <c r="H334" s="4">
        <f t="shared" si="23"/>
        <v>7420176</v>
      </c>
      <c r="I334" s="5">
        <f>SQRT(SUM('r-native-multi'!$D$3:D334)/COUNTIF($A$3:A334,"&lt;&gt;0"))</f>
        <v>73.289305421436666</v>
      </c>
    </row>
    <row r="335" spans="1:9">
      <c r="A335">
        <v>333</v>
      </c>
      <c r="B335">
        <v>5</v>
      </c>
      <c r="C335">
        <v>2600</v>
      </c>
      <c r="D335">
        <v>5319</v>
      </c>
      <c r="E335" s="4">
        <f t="shared" si="20"/>
        <v>0</v>
      </c>
      <c r="F335" s="4">
        <f t="shared" si="21"/>
        <v>2719</v>
      </c>
      <c r="G335" s="4">
        <f t="shared" si="22"/>
        <v>1.0457692307692308</v>
      </c>
      <c r="H335" s="4">
        <f t="shared" si="23"/>
        <v>7392961</v>
      </c>
      <c r="I335" s="5">
        <f>SQRT(SUM('r-native-multi'!$D$3:D335)/COUNTIF($A$3:A335,"&lt;&gt;0"))</f>
        <v>73.288233470081437</v>
      </c>
    </row>
    <row r="336" spans="1:9">
      <c r="A336">
        <v>334</v>
      </c>
      <c r="B336">
        <v>5</v>
      </c>
      <c r="C336">
        <v>2600</v>
      </c>
      <c r="D336">
        <v>5226</v>
      </c>
      <c r="E336" s="4">
        <f t="shared" si="20"/>
        <v>0</v>
      </c>
      <c r="F336" s="4">
        <f t="shared" si="21"/>
        <v>2626</v>
      </c>
      <c r="G336" s="4">
        <f t="shared" si="22"/>
        <v>1.01</v>
      </c>
      <c r="H336" s="4">
        <f t="shared" si="23"/>
        <v>6895876</v>
      </c>
      <c r="I336" s="5">
        <f>SQRT(SUM('r-native-multi'!$D$3:D336)/COUNTIF($A$3:A336,"&lt;&gt;0"))</f>
        <v>73.285268225763872</v>
      </c>
    </row>
    <row r="337" spans="1:9">
      <c r="A337">
        <v>335</v>
      </c>
      <c r="B337">
        <v>5</v>
      </c>
      <c r="C337">
        <v>2600</v>
      </c>
      <c r="D337">
        <v>5319</v>
      </c>
      <c r="E337" s="4">
        <f t="shared" si="20"/>
        <v>0</v>
      </c>
      <c r="F337" s="4">
        <f t="shared" si="21"/>
        <v>2719</v>
      </c>
      <c r="G337" s="4">
        <f t="shared" si="22"/>
        <v>1.0457692307692308</v>
      </c>
      <c r="H337" s="4">
        <f t="shared" si="23"/>
        <v>7392961</v>
      </c>
      <c r="I337" s="5">
        <f>SQRT(SUM('r-native-multi'!$D$3:D337)/COUNTIF($A$3:A337,"&lt;&gt;0"))</f>
        <v>73.284214667300517</v>
      </c>
    </row>
    <row r="338" spans="1:9">
      <c r="A338">
        <v>336</v>
      </c>
      <c r="B338">
        <v>5</v>
      </c>
      <c r="C338">
        <v>2600</v>
      </c>
      <c r="D338">
        <v>5176</v>
      </c>
      <c r="E338" s="4">
        <f t="shared" si="20"/>
        <v>0</v>
      </c>
      <c r="F338" s="4">
        <f t="shared" si="21"/>
        <v>2576</v>
      </c>
      <c r="G338" s="4">
        <f t="shared" si="22"/>
        <v>0.99076923076923074</v>
      </c>
      <c r="H338" s="4">
        <f t="shared" si="23"/>
        <v>6635776</v>
      </c>
      <c r="I338" s="5">
        <f>SQRT(SUM('r-native-multi'!$D$3:D338)/COUNTIF($A$3:A338,"&lt;&gt;0"))</f>
        <v>73.280263535344389</v>
      </c>
    </row>
    <row r="339" spans="1:9">
      <c r="A339">
        <v>337</v>
      </c>
      <c r="B339">
        <v>5</v>
      </c>
      <c r="C339">
        <v>2600</v>
      </c>
      <c r="D339">
        <v>5304</v>
      </c>
      <c r="E339" s="4">
        <f t="shared" si="20"/>
        <v>0</v>
      </c>
      <c r="F339" s="4">
        <f t="shared" si="21"/>
        <v>2704</v>
      </c>
      <c r="G339" s="4">
        <f t="shared" si="22"/>
        <v>1.04</v>
      </c>
      <c r="H339" s="4">
        <f t="shared" si="23"/>
        <v>7311616</v>
      </c>
      <c r="I339" s="5">
        <f>SQRT(SUM('r-native-multi'!$D$3:D339)/COUNTIF($A$3:A339,"&lt;&gt;0"))</f>
        <v>73.27892730480994</v>
      </c>
    </row>
    <row r="340" spans="1:9">
      <c r="A340">
        <v>338</v>
      </c>
      <c r="B340">
        <v>5</v>
      </c>
      <c r="C340">
        <v>2600</v>
      </c>
      <c r="D340">
        <v>5194</v>
      </c>
      <c r="E340" s="4">
        <f t="shared" si="20"/>
        <v>0</v>
      </c>
      <c r="F340" s="4">
        <f t="shared" si="21"/>
        <v>2594</v>
      </c>
      <c r="G340" s="4">
        <f t="shared" si="22"/>
        <v>0.99769230769230766</v>
      </c>
      <c r="H340" s="4">
        <f t="shared" si="23"/>
        <v>6728836</v>
      </c>
      <c r="I340" s="5">
        <f>SQRT(SUM('r-native-multi'!$D$3:D340)/COUNTIF($A$3:A340,"&lt;&gt;0"))</f>
        <v>73.275378300550301</v>
      </c>
    </row>
    <row r="341" spans="1:9">
      <c r="A341">
        <v>339</v>
      </c>
      <c r="B341">
        <v>5</v>
      </c>
      <c r="C341">
        <v>2600</v>
      </c>
      <c r="D341">
        <v>5329</v>
      </c>
      <c r="E341" s="4">
        <f t="shared" si="20"/>
        <v>0</v>
      </c>
      <c r="F341" s="4">
        <f t="shared" si="21"/>
        <v>2729</v>
      </c>
      <c r="G341" s="4">
        <f t="shared" si="22"/>
        <v>1.0496153846153846</v>
      </c>
      <c r="H341" s="4">
        <f t="shared" si="23"/>
        <v>7447441</v>
      </c>
      <c r="I341" s="5">
        <f>SQRT(SUM('r-native-multi'!$D$3:D341)/COUNTIF($A$3:A341,"&lt;&gt;0"))</f>
        <v>73.27456749710575</v>
      </c>
    </row>
    <row r="342" spans="1:9">
      <c r="A342">
        <v>340</v>
      </c>
      <c r="B342">
        <v>5</v>
      </c>
      <c r="C342">
        <v>2600</v>
      </c>
      <c r="D342">
        <v>5228</v>
      </c>
      <c r="E342" s="4">
        <f t="shared" si="20"/>
        <v>0</v>
      </c>
      <c r="F342" s="4">
        <f t="shared" si="21"/>
        <v>2628</v>
      </c>
      <c r="G342" s="4">
        <f t="shared" si="22"/>
        <v>1.0107692307692309</v>
      </c>
      <c r="H342" s="4">
        <f t="shared" si="23"/>
        <v>6906384</v>
      </c>
      <c r="I342" s="5">
        <f>SQRT(SUM('r-native-multi'!$D$3:D342)/COUNTIF($A$3:A342,"&lt;&gt;0"))</f>
        <v>73.271734378432242</v>
      </c>
    </row>
    <row r="343" spans="1:9">
      <c r="A343">
        <v>341</v>
      </c>
      <c r="B343">
        <v>5</v>
      </c>
      <c r="C343">
        <v>2600</v>
      </c>
      <c r="D343">
        <v>5107</v>
      </c>
      <c r="E343" s="4">
        <f t="shared" si="20"/>
        <v>0</v>
      </c>
      <c r="F343" s="4">
        <f t="shared" si="21"/>
        <v>2507</v>
      </c>
      <c r="G343" s="4">
        <f t="shared" si="22"/>
        <v>0.96423076923076922</v>
      </c>
      <c r="H343" s="4">
        <f t="shared" si="23"/>
        <v>6285049</v>
      </c>
      <c r="I343" s="5">
        <f>SQRT(SUM('r-native-multi'!$D$3:D343)/COUNTIF($A$3:A343,"&lt;&gt;0"))</f>
        <v>73.266496245833693</v>
      </c>
    </row>
    <row r="344" spans="1:9">
      <c r="A344">
        <v>342</v>
      </c>
      <c r="B344">
        <v>5</v>
      </c>
      <c r="C344">
        <v>2600</v>
      </c>
      <c r="D344">
        <v>5223</v>
      </c>
      <c r="E344" s="4">
        <f t="shared" si="20"/>
        <v>0</v>
      </c>
      <c r="F344" s="4">
        <f t="shared" si="21"/>
        <v>2623</v>
      </c>
      <c r="G344" s="4">
        <f t="shared" si="22"/>
        <v>1.0088461538461539</v>
      </c>
      <c r="H344" s="4">
        <f t="shared" si="23"/>
        <v>6880129</v>
      </c>
      <c r="I344" s="5">
        <f>SQRT(SUM('r-native-multi'!$D$3:D344)/COUNTIF($A$3:A344,"&lt;&gt;0"))</f>
        <v>73.263603211659984</v>
      </c>
    </row>
    <row r="345" spans="1:9">
      <c r="A345">
        <v>343</v>
      </c>
      <c r="B345">
        <v>5</v>
      </c>
      <c r="C345">
        <v>2600</v>
      </c>
      <c r="D345">
        <v>5263</v>
      </c>
      <c r="E345" s="4">
        <f t="shared" ref="E345:E408" si="24">IF(AND(D345&lt;=C345*1.2,D345&gt;=C345*0.8),1,0)</f>
        <v>0</v>
      </c>
      <c r="F345" s="4">
        <f t="shared" ref="F345:F408" si="25">ABS(C345-D345)</f>
        <v>2663</v>
      </c>
      <c r="G345" s="4">
        <f t="shared" ref="G345:G408" si="26">ABS(C345-D345)/C345</f>
        <v>1.0242307692307693</v>
      </c>
      <c r="H345" s="4">
        <f t="shared" ref="H345:H408" si="27">POWER(F345,2)</f>
        <v>7091569</v>
      </c>
      <c r="I345" s="5">
        <f>SQRT(SUM('r-native-multi'!$D$3:D345)/COUNTIF($A$3:A345,"&lt;&gt;0"))</f>
        <v>73.261522840185179</v>
      </c>
    </row>
    <row r="346" spans="1:9">
      <c r="A346">
        <v>344</v>
      </c>
      <c r="B346">
        <v>5</v>
      </c>
      <c r="C346">
        <v>2600</v>
      </c>
      <c r="D346">
        <v>5192</v>
      </c>
      <c r="E346" s="4">
        <f t="shared" si="24"/>
        <v>0</v>
      </c>
      <c r="F346" s="4">
        <f t="shared" si="25"/>
        <v>2592</v>
      </c>
      <c r="G346" s="4">
        <f t="shared" si="26"/>
        <v>0.99692307692307691</v>
      </c>
      <c r="H346" s="4">
        <f t="shared" si="27"/>
        <v>6718464</v>
      </c>
      <c r="I346" s="5">
        <f>SQRT(SUM('r-native-multi'!$D$3:D346)/COUNTIF($A$3:A346,"&lt;&gt;0"))</f>
        <v>73.258045831633865</v>
      </c>
    </row>
    <row r="347" spans="1:9">
      <c r="A347">
        <v>345</v>
      </c>
      <c r="B347">
        <v>5</v>
      </c>
      <c r="C347">
        <v>2600</v>
      </c>
      <c r="D347">
        <v>5266</v>
      </c>
      <c r="E347" s="4">
        <f t="shared" si="24"/>
        <v>0</v>
      </c>
      <c r="F347" s="4">
        <f t="shared" si="25"/>
        <v>2666</v>
      </c>
      <c r="G347" s="4">
        <f t="shared" si="26"/>
        <v>1.0253846153846153</v>
      </c>
      <c r="H347" s="4">
        <f t="shared" si="27"/>
        <v>7107556</v>
      </c>
      <c r="I347" s="5">
        <f>SQRT(SUM('r-native-multi'!$D$3:D347)/COUNTIF($A$3:A347,"&lt;&gt;0"))</f>
        <v>73.256052824065804</v>
      </c>
    </row>
    <row r="348" spans="1:9">
      <c r="A348">
        <v>346</v>
      </c>
      <c r="B348">
        <v>5</v>
      </c>
      <c r="C348">
        <v>2600</v>
      </c>
      <c r="D348">
        <v>5274</v>
      </c>
      <c r="E348" s="4">
        <f t="shared" si="24"/>
        <v>0</v>
      </c>
      <c r="F348" s="4">
        <f t="shared" si="25"/>
        <v>2674</v>
      </c>
      <c r="G348" s="4">
        <f t="shared" si="26"/>
        <v>1.0284615384615385</v>
      </c>
      <c r="H348" s="4">
        <f t="shared" si="27"/>
        <v>7150276</v>
      </c>
      <c r="I348" s="5">
        <f>SQRT(SUM('r-native-multi'!$D$3:D348)/COUNTIF($A$3:A348,"&lt;&gt;0"))</f>
        <v>73.254229099246245</v>
      </c>
    </row>
    <row r="349" spans="1:9">
      <c r="A349">
        <v>347</v>
      </c>
      <c r="B349">
        <v>5</v>
      </c>
      <c r="C349">
        <v>2600</v>
      </c>
      <c r="D349">
        <v>5194</v>
      </c>
      <c r="E349" s="4">
        <f t="shared" si="24"/>
        <v>0</v>
      </c>
      <c r="F349" s="4">
        <f t="shared" si="25"/>
        <v>2594</v>
      </c>
      <c r="G349" s="4">
        <f t="shared" si="26"/>
        <v>0.99769230769230766</v>
      </c>
      <c r="H349" s="4">
        <f t="shared" si="27"/>
        <v>6728836</v>
      </c>
      <c r="I349" s="5">
        <f>SQRT(SUM('r-native-multi'!$D$3:D349)/COUNTIF($A$3:A349,"&lt;&gt;0"))</f>
        <v>73.250842172377347</v>
      </c>
    </row>
    <row r="350" spans="1:9">
      <c r="A350">
        <v>348</v>
      </c>
      <c r="B350">
        <v>5</v>
      </c>
      <c r="C350">
        <v>2600</v>
      </c>
      <c r="D350">
        <v>5208</v>
      </c>
      <c r="E350" s="4">
        <f t="shared" si="24"/>
        <v>0</v>
      </c>
      <c r="F350" s="4">
        <f t="shared" si="25"/>
        <v>2608</v>
      </c>
      <c r="G350" s="4">
        <f t="shared" si="26"/>
        <v>1.003076923076923</v>
      </c>
      <c r="H350" s="4">
        <f t="shared" si="27"/>
        <v>6801664</v>
      </c>
      <c r="I350" s="5">
        <f>SQRT(SUM('r-native-multi'!$D$3:D350)/COUNTIF($A$3:A350,"&lt;&gt;0"))</f>
        <v>73.247749171020189</v>
      </c>
    </row>
    <row r="351" spans="1:9">
      <c r="A351">
        <v>349</v>
      </c>
      <c r="B351">
        <v>5</v>
      </c>
      <c r="C351">
        <v>2600</v>
      </c>
      <c r="D351">
        <v>5104</v>
      </c>
      <c r="E351" s="4">
        <f t="shared" si="24"/>
        <v>0</v>
      </c>
      <c r="F351" s="4">
        <f t="shared" si="25"/>
        <v>2504</v>
      </c>
      <c r="G351" s="4">
        <f t="shared" si="26"/>
        <v>0.96307692307692305</v>
      </c>
      <c r="H351" s="4">
        <f t="shared" si="27"/>
        <v>6270016</v>
      </c>
      <c r="I351" s="5">
        <f>SQRT(SUM('r-native-multi'!$D$3:D351)/COUNTIF($A$3:A351,"&lt;&gt;0"))</f>
        <v>73.242639498366515</v>
      </c>
    </row>
    <row r="352" spans="1:9">
      <c r="A352">
        <v>350</v>
      </c>
      <c r="B352">
        <v>5</v>
      </c>
      <c r="C352">
        <v>2600</v>
      </c>
      <c r="D352">
        <v>5332</v>
      </c>
      <c r="E352" s="4">
        <f t="shared" si="24"/>
        <v>0</v>
      </c>
      <c r="F352" s="4">
        <f t="shared" si="25"/>
        <v>2732</v>
      </c>
      <c r="G352" s="4">
        <f t="shared" si="26"/>
        <v>1.0507692307692307</v>
      </c>
      <c r="H352" s="4">
        <f t="shared" si="27"/>
        <v>7463824</v>
      </c>
      <c r="I352" s="5">
        <f>SQRT(SUM('r-native-multi'!$D$3:D352)/COUNTIF($A$3:A352,"&lt;&gt;0"))</f>
        <v>73.242005902155825</v>
      </c>
    </row>
    <row r="353" spans="1:9">
      <c r="A353">
        <v>351</v>
      </c>
      <c r="B353">
        <v>5</v>
      </c>
      <c r="C353">
        <v>2600</v>
      </c>
      <c r="D353">
        <v>5272</v>
      </c>
      <c r="E353" s="4">
        <f t="shared" si="24"/>
        <v>0</v>
      </c>
      <c r="F353" s="4">
        <f t="shared" si="25"/>
        <v>2672</v>
      </c>
      <c r="G353" s="4">
        <f t="shared" si="26"/>
        <v>1.0276923076923077</v>
      </c>
      <c r="H353" s="4">
        <f t="shared" si="27"/>
        <v>7139584</v>
      </c>
      <c r="I353" s="5">
        <f>SQRT(SUM('r-native-multi'!$D$3:D353)/COUNTIF($A$3:A353,"&lt;&gt;0"))</f>
        <v>73.240208936950779</v>
      </c>
    </row>
    <row r="354" spans="1:9">
      <c r="A354">
        <v>352</v>
      </c>
      <c r="B354">
        <v>5</v>
      </c>
      <c r="C354">
        <v>2600</v>
      </c>
      <c r="D354">
        <v>5270</v>
      </c>
      <c r="E354" s="4">
        <f t="shared" si="24"/>
        <v>0</v>
      </c>
      <c r="F354" s="4">
        <f t="shared" si="25"/>
        <v>2670</v>
      </c>
      <c r="G354" s="4">
        <f t="shared" si="26"/>
        <v>1.0269230769230768</v>
      </c>
      <c r="H354" s="4">
        <f t="shared" si="27"/>
        <v>7128900</v>
      </c>
      <c r="I354" s="5">
        <f>SQRT(SUM('r-native-multi'!$D$3:D354)/COUNTIF($A$3:A354,"&lt;&gt;0"))</f>
        <v>73.238383348177109</v>
      </c>
    </row>
    <row r="355" spans="1:9">
      <c r="A355">
        <v>353</v>
      </c>
      <c r="B355">
        <v>5</v>
      </c>
      <c r="C355">
        <v>2600</v>
      </c>
      <c r="D355">
        <v>5259</v>
      </c>
      <c r="E355" s="4">
        <f t="shared" si="24"/>
        <v>0</v>
      </c>
      <c r="F355" s="4">
        <f t="shared" si="25"/>
        <v>2659</v>
      </c>
      <c r="G355" s="4">
        <f t="shared" si="26"/>
        <v>1.0226923076923078</v>
      </c>
      <c r="H355" s="4">
        <f t="shared" si="27"/>
        <v>7070281</v>
      </c>
      <c r="I355" s="5">
        <f>SQRT(SUM('r-native-multi'!$D$3:D355)/COUNTIF($A$3:A355,"&lt;&gt;0"))</f>
        <v>73.236355311940329</v>
      </c>
    </row>
    <row r="356" spans="1:9">
      <c r="A356">
        <v>354</v>
      </c>
      <c r="B356">
        <v>5</v>
      </c>
      <c r="C356">
        <v>2600</v>
      </c>
      <c r="D356">
        <v>5315</v>
      </c>
      <c r="E356" s="4">
        <f t="shared" si="24"/>
        <v>0</v>
      </c>
      <c r="F356" s="4">
        <f t="shared" si="25"/>
        <v>2715</v>
      </c>
      <c r="G356" s="4">
        <f t="shared" si="26"/>
        <v>1.0442307692307693</v>
      </c>
      <c r="H356" s="4">
        <f t="shared" si="27"/>
        <v>7371225</v>
      </c>
      <c r="I356" s="5">
        <f>SQRT(SUM('r-native-multi'!$D$3:D356)/COUNTIF($A$3:A356,"&lt;&gt;0"))</f>
        <v>73.235418710295605</v>
      </c>
    </row>
    <row r="357" spans="1:9">
      <c r="A357">
        <v>355</v>
      </c>
      <c r="B357">
        <v>5</v>
      </c>
      <c r="C357">
        <v>2600</v>
      </c>
      <c r="D357">
        <v>5190</v>
      </c>
      <c r="E357" s="4">
        <f t="shared" si="24"/>
        <v>0</v>
      </c>
      <c r="F357" s="4">
        <f t="shared" si="25"/>
        <v>2590</v>
      </c>
      <c r="G357" s="4">
        <f t="shared" si="26"/>
        <v>0.99615384615384617</v>
      </c>
      <c r="H357" s="4">
        <f t="shared" si="27"/>
        <v>6708100</v>
      </c>
      <c r="I357" s="5">
        <f>SQRT(SUM('r-native-multi'!$D$3:D357)/COUNTIF($A$3:A357,"&lt;&gt;0"))</f>
        <v>73.232083325336404</v>
      </c>
    </row>
    <row r="358" spans="1:9">
      <c r="A358">
        <v>356</v>
      </c>
      <c r="B358">
        <v>5</v>
      </c>
      <c r="C358">
        <v>2600</v>
      </c>
      <c r="D358">
        <v>5176</v>
      </c>
      <c r="E358" s="4">
        <f t="shared" si="24"/>
        <v>0</v>
      </c>
      <c r="F358" s="4">
        <f t="shared" si="25"/>
        <v>2576</v>
      </c>
      <c r="G358" s="4">
        <f t="shared" si="26"/>
        <v>0.99076923076923074</v>
      </c>
      <c r="H358" s="4">
        <f t="shared" si="27"/>
        <v>6635776</v>
      </c>
      <c r="I358" s="5">
        <f>SQRT(SUM('r-native-multi'!$D$3:D358)/COUNTIF($A$3:A358,"&lt;&gt;0"))</f>
        <v>73.228498013739937</v>
      </c>
    </row>
    <row r="359" spans="1:9">
      <c r="A359">
        <v>357</v>
      </c>
      <c r="B359">
        <v>5</v>
      </c>
      <c r="C359">
        <v>2600</v>
      </c>
      <c r="D359">
        <v>5289</v>
      </c>
      <c r="E359" s="4">
        <f t="shared" si="24"/>
        <v>0</v>
      </c>
      <c r="F359" s="4">
        <f t="shared" si="25"/>
        <v>2689</v>
      </c>
      <c r="G359" s="4">
        <f t="shared" si="26"/>
        <v>1.0342307692307693</v>
      </c>
      <c r="H359" s="4">
        <f t="shared" si="27"/>
        <v>7230721</v>
      </c>
      <c r="I359" s="5">
        <f>SQRT(SUM('r-native-multi'!$D$3:D359)/COUNTIF($A$3:A359,"&lt;&gt;0"))</f>
        <v>73.227093912794089</v>
      </c>
    </row>
    <row r="360" spans="1:9">
      <c r="A360">
        <v>358</v>
      </c>
      <c r="B360">
        <v>5</v>
      </c>
      <c r="C360">
        <v>2600</v>
      </c>
      <c r="D360">
        <v>5322</v>
      </c>
      <c r="E360" s="4">
        <f t="shared" si="24"/>
        <v>0</v>
      </c>
      <c r="F360" s="4">
        <f t="shared" si="25"/>
        <v>2722</v>
      </c>
      <c r="G360" s="4">
        <f t="shared" si="26"/>
        <v>1.0469230769230768</v>
      </c>
      <c r="H360" s="4">
        <f t="shared" si="27"/>
        <v>7409284</v>
      </c>
      <c r="I360" s="5">
        <f>SQRT(SUM('r-native-multi'!$D$3:D360)/COUNTIF($A$3:A360,"&lt;&gt;0"))</f>
        <v>73.226327042034811</v>
      </c>
    </row>
    <row r="361" spans="1:9">
      <c r="A361">
        <v>359</v>
      </c>
      <c r="B361">
        <v>5</v>
      </c>
      <c r="C361">
        <v>2600</v>
      </c>
      <c r="D361">
        <v>5281</v>
      </c>
      <c r="E361" s="4">
        <f t="shared" si="24"/>
        <v>0</v>
      </c>
      <c r="F361" s="4">
        <f t="shared" si="25"/>
        <v>2681</v>
      </c>
      <c r="G361" s="4">
        <f t="shared" si="26"/>
        <v>1.0311538461538461</v>
      </c>
      <c r="H361" s="4">
        <f t="shared" si="27"/>
        <v>7187761</v>
      </c>
      <c r="I361" s="5">
        <f>SQRT(SUM('r-native-multi'!$D$3:D361)/COUNTIF($A$3:A361,"&lt;&gt;0"))</f>
        <v>73.224784607262208</v>
      </c>
    </row>
    <row r="362" spans="1:9">
      <c r="A362">
        <v>360</v>
      </c>
      <c r="B362">
        <v>5</v>
      </c>
      <c r="C362">
        <v>2600</v>
      </c>
      <c r="D362">
        <v>5290</v>
      </c>
      <c r="E362" s="4">
        <f t="shared" si="24"/>
        <v>0</v>
      </c>
      <c r="F362" s="4">
        <f t="shared" si="25"/>
        <v>2690</v>
      </c>
      <c r="G362" s="4">
        <f t="shared" si="26"/>
        <v>1.0346153846153847</v>
      </c>
      <c r="H362" s="4">
        <f t="shared" si="27"/>
        <v>7236100</v>
      </c>
      <c r="I362" s="5">
        <f>SQRT(SUM('r-native-multi'!$D$3:D362)/COUNTIF($A$3:A362,"&lt;&gt;0"))</f>
        <v>73.223421419955812</v>
      </c>
    </row>
    <row r="363" spans="1:9">
      <c r="A363">
        <v>361</v>
      </c>
      <c r="B363">
        <v>5</v>
      </c>
      <c r="C363">
        <v>2600</v>
      </c>
      <c r="D363">
        <v>5241</v>
      </c>
      <c r="E363" s="4">
        <f t="shared" si="24"/>
        <v>0</v>
      </c>
      <c r="F363" s="4">
        <f t="shared" si="25"/>
        <v>2641</v>
      </c>
      <c r="G363" s="4">
        <f t="shared" si="26"/>
        <v>1.0157692307692308</v>
      </c>
      <c r="H363" s="4">
        <f t="shared" si="27"/>
        <v>6974881</v>
      </c>
      <c r="I363" s="5">
        <f>SQRT(SUM('r-native-multi'!$D$3:D363)/COUNTIF($A$3:A363,"&lt;&gt;0"))</f>
        <v>73.221138887997384</v>
      </c>
    </row>
    <row r="364" spans="1:9">
      <c r="A364">
        <v>362</v>
      </c>
      <c r="B364">
        <v>5</v>
      </c>
      <c r="C364">
        <v>2600</v>
      </c>
      <c r="D364">
        <v>5391</v>
      </c>
      <c r="E364" s="4">
        <f t="shared" si="24"/>
        <v>0</v>
      </c>
      <c r="F364" s="4">
        <f t="shared" si="25"/>
        <v>2791</v>
      </c>
      <c r="G364" s="4">
        <f t="shared" si="26"/>
        <v>1.0734615384615385</v>
      </c>
      <c r="H364" s="4">
        <f t="shared" si="27"/>
        <v>7789681</v>
      </c>
      <c r="I364" s="5">
        <f>SQRT(SUM('r-native-multi'!$D$3:D364)/COUNTIF($A$3:A364,"&lt;&gt;0"))</f>
        <v>73.22169847164038</v>
      </c>
    </row>
    <row r="365" spans="1:9">
      <c r="A365">
        <v>363</v>
      </c>
      <c r="B365">
        <v>5</v>
      </c>
      <c r="C365">
        <v>2600</v>
      </c>
      <c r="D365">
        <v>5288</v>
      </c>
      <c r="E365" s="4">
        <f t="shared" si="24"/>
        <v>0</v>
      </c>
      <c r="F365" s="4">
        <f t="shared" si="25"/>
        <v>2688</v>
      </c>
      <c r="G365" s="4">
        <f t="shared" si="26"/>
        <v>1.0338461538461539</v>
      </c>
      <c r="H365" s="4">
        <f t="shared" si="27"/>
        <v>7225344</v>
      </c>
      <c r="I365" s="5">
        <f>SQRT(SUM('r-native-multi'!$D$3:D365)/COUNTIF($A$3:A365,"&lt;&gt;0"))</f>
        <v>73.220317371840565</v>
      </c>
    </row>
    <row r="366" spans="1:9">
      <c r="A366">
        <v>364</v>
      </c>
      <c r="B366">
        <v>5</v>
      </c>
      <c r="C366">
        <v>2600</v>
      </c>
      <c r="D366">
        <v>5243</v>
      </c>
      <c r="E366" s="4">
        <f t="shared" si="24"/>
        <v>0</v>
      </c>
      <c r="F366" s="4">
        <f t="shared" si="25"/>
        <v>2643</v>
      </c>
      <c r="G366" s="4">
        <f t="shared" si="26"/>
        <v>1.0165384615384616</v>
      </c>
      <c r="H366" s="4">
        <f t="shared" si="27"/>
        <v>6985449</v>
      </c>
      <c r="I366" s="5">
        <f>SQRT(SUM('r-native-multi'!$D$3:D366)/COUNTIF($A$3:A366,"&lt;&gt;0"))</f>
        <v>73.218099605835917</v>
      </c>
    </row>
    <row r="367" spans="1:9">
      <c r="A367">
        <v>365</v>
      </c>
      <c r="B367">
        <v>5</v>
      </c>
      <c r="C367">
        <v>2600</v>
      </c>
      <c r="D367">
        <v>5182</v>
      </c>
      <c r="E367" s="4">
        <f t="shared" si="24"/>
        <v>0</v>
      </c>
      <c r="F367" s="4">
        <f t="shared" si="25"/>
        <v>2582</v>
      </c>
      <c r="G367" s="4">
        <f t="shared" si="26"/>
        <v>0.99307692307692308</v>
      </c>
      <c r="H367" s="4">
        <f t="shared" si="27"/>
        <v>6666724</v>
      </c>
      <c r="I367" s="5">
        <f>SQRT(SUM('r-native-multi'!$D$3:D367)/COUNTIF($A$3:A367,"&lt;&gt;0"))</f>
        <v>73.214752611751678</v>
      </c>
    </row>
    <row r="368" spans="1:9">
      <c r="A368">
        <v>366</v>
      </c>
      <c r="B368">
        <v>5</v>
      </c>
      <c r="C368">
        <v>2600</v>
      </c>
      <c r="D368">
        <v>5173</v>
      </c>
      <c r="E368" s="4">
        <f t="shared" si="24"/>
        <v>0</v>
      </c>
      <c r="F368" s="4">
        <f t="shared" si="25"/>
        <v>2573</v>
      </c>
      <c r="G368" s="4">
        <f t="shared" si="26"/>
        <v>0.98961538461538456</v>
      </c>
      <c r="H368" s="4">
        <f t="shared" si="27"/>
        <v>6620329</v>
      </c>
      <c r="I368" s="5">
        <f>SQRT(SUM('r-native-multi'!$D$3:D368)/COUNTIF($A$3:A368,"&lt;&gt;0"))</f>
        <v>73.211255815906313</v>
      </c>
    </row>
    <row r="369" spans="1:9">
      <c r="A369">
        <v>367</v>
      </c>
      <c r="B369">
        <v>5</v>
      </c>
      <c r="C369">
        <v>2600</v>
      </c>
      <c r="D369">
        <v>5242</v>
      </c>
      <c r="E369" s="4">
        <f t="shared" si="24"/>
        <v>0</v>
      </c>
      <c r="F369" s="4">
        <f t="shared" si="25"/>
        <v>2642</v>
      </c>
      <c r="G369" s="4">
        <f t="shared" si="26"/>
        <v>1.0161538461538462</v>
      </c>
      <c r="H369" s="4">
        <f t="shared" si="27"/>
        <v>6980164</v>
      </c>
      <c r="I369" s="5">
        <f>SQRT(SUM('r-native-multi'!$D$3:D369)/COUNTIF($A$3:A369,"&lt;&gt;0"))</f>
        <v>73.209061990256288</v>
      </c>
    </row>
    <row r="370" spans="1:9">
      <c r="A370">
        <v>368</v>
      </c>
      <c r="B370">
        <v>5</v>
      </c>
      <c r="C370">
        <v>2600</v>
      </c>
      <c r="D370">
        <v>5322</v>
      </c>
      <c r="E370" s="4">
        <f t="shared" si="24"/>
        <v>0</v>
      </c>
      <c r="F370" s="4">
        <f t="shared" si="25"/>
        <v>2722</v>
      </c>
      <c r="G370" s="4">
        <f t="shared" si="26"/>
        <v>1.0469230769230768</v>
      </c>
      <c r="H370" s="4">
        <f t="shared" si="27"/>
        <v>7409284</v>
      </c>
      <c r="I370" s="5">
        <f>SQRT(SUM('r-native-multi'!$D$3:D370)/COUNTIF($A$3:A370,"&lt;&gt;0"))</f>
        <v>73.208364781034703</v>
      </c>
    </row>
    <row r="371" spans="1:9">
      <c r="A371">
        <v>369</v>
      </c>
      <c r="B371">
        <v>5</v>
      </c>
      <c r="C371">
        <v>2600</v>
      </c>
      <c r="D371">
        <v>5331</v>
      </c>
      <c r="E371" s="4">
        <f t="shared" si="24"/>
        <v>0</v>
      </c>
      <c r="F371" s="4">
        <f t="shared" si="25"/>
        <v>2731</v>
      </c>
      <c r="G371" s="4">
        <f t="shared" si="26"/>
        <v>1.0503846153846155</v>
      </c>
      <c r="H371" s="4">
        <f t="shared" si="27"/>
        <v>7458361</v>
      </c>
      <c r="I371" s="5">
        <f>SQRT(SUM('r-native-multi'!$D$3:D371)/COUNTIF($A$3:A371,"&lt;&gt;0"))</f>
        <v>73.207837926518081</v>
      </c>
    </row>
    <row r="372" spans="1:9">
      <c r="A372">
        <v>370</v>
      </c>
      <c r="B372">
        <v>5</v>
      </c>
      <c r="C372">
        <v>2600</v>
      </c>
      <c r="D372">
        <v>5300</v>
      </c>
      <c r="E372" s="4">
        <f t="shared" si="24"/>
        <v>0</v>
      </c>
      <c r="F372" s="4">
        <f t="shared" si="25"/>
        <v>2700</v>
      </c>
      <c r="G372" s="4">
        <f t="shared" si="26"/>
        <v>1.0384615384615385</v>
      </c>
      <c r="H372" s="4">
        <f t="shared" si="27"/>
        <v>7290000</v>
      </c>
      <c r="I372" s="5">
        <f>SQRT(SUM('r-native-multi'!$D$3:D372)/COUNTIF($A$3:A372,"&lt;&gt;0"))</f>
        <v>73.20674167743725</v>
      </c>
    </row>
    <row r="373" spans="1:9">
      <c r="A373">
        <v>371</v>
      </c>
      <c r="B373">
        <v>5</v>
      </c>
      <c r="C373">
        <v>2600</v>
      </c>
      <c r="D373">
        <v>5344</v>
      </c>
      <c r="E373" s="4">
        <f t="shared" si="24"/>
        <v>0</v>
      </c>
      <c r="F373" s="4">
        <f t="shared" si="25"/>
        <v>2744</v>
      </c>
      <c r="G373" s="4">
        <f t="shared" si="26"/>
        <v>1.0553846153846154</v>
      </c>
      <c r="H373" s="4">
        <f t="shared" si="27"/>
        <v>7529536</v>
      </c>
      <c r="I373" s="5">
        <f>SQRT(SUM('r-native-multi'!$D$3:D373)/COUNTIF($A$3:A373,"&lt;&gt;0"))</f>
        <v>73.206461352994609</v>
      </c>
    </row>
    <row r="374" spans="1:9">
      <c r="A374">
        <v>372</v>
      </c>
      <c r="B374">
        <v>5</v>
      </c>
      <c r="C374">
        <v>2600</v>
      </c>
      <c r="D374">
        <v>5272</v>
      </c>
      <c r="E374" s="4">
        <f t="shared" si="24"/>
        <v>0</v>
      </c>
      <c r="F374" s="4">
        <f t="shared" si="25"/>
        <v>2672</v>
      </c>
      <c r="G374" s="4">
        <f t="shared" si="26"/>
        <v>1.0276923076923077</v>
      </c>
      <c r="H374" s="4">
        <f t="shared" si="27"/>
        <v>7139584</v>
      </c>
      <c r="I374" s="5">
        <f>SQRT(SUM('r-native-multi'!$D$3:D374)/COUNTIF($A$3:A374,"&lt;&gt;0"))</f>
        <v>73.204860582499748</v>
      </c>
    </row>
    <row r="375" spans="1:9">
      <c r="A375">
        <v>373</v>
      </c>
      <c r="B375">
        <v>5</v>
      </c>
      <c r="C375">
        <v>2600</v>
      </c>
      <c r="D375">
        <v>5272</v>
      </c>
      <c r="E375" s="4">
        <f t="shared" si="24"/>
        <v>0</v>
      </c>
      <c r="F375" s="4">
        <f t="shared" si="25"/>
        <v>2672</v>
      </c>
      <c r="G375" s="4">
        <f t="shared" si="26"/>
        <v>1.0276923076923077</v>
      </c>
      <c r="H375" s="4">
        <f t="shared" si="27"/>
        <v>7139584</v>
      </c>
      <c r="I375" s="5">
        <f>SQRT(SUM('r-native-multi'!$D$3:D375)/COUNTIF($A$3:A375,"&lt;&gt;0"))</f>
        <v>73.203268360500942</v>
      </c>
    </row>
    <row r="376" spans="1:9">
      <c r="A376">
        <v>374</v>
      </c>
      <c r="B376">
        <v>5</v>
      </c>
      <c r="C376">
        <v>2600</v>
      </c>
      <c r="D376">
        <v>5149</v>
      </c>
      <c r="E376" s="4">
        <f t="shared" si="24"/>
        <v>0</v>
      </c>
      <c r="F376" s="4">
        <f t="shared" si="25"/>
        <v>2549</v>
      </c>
      <c r="G376" s="4">
        <f t="shared" si="26"/>
        <v>0.98038461538461541</v>
      </c>
      <c r="H376" s="4">
        <f t="shared" si="27"/>
        <v>6497401</v>
      </c>
      <c r="I376" s="5">
        <f>SQRT(SUM('r-native-multi'!$D$3:D376)/COUNTIF($A$3:A376,"&lt;&gt;0"))</f>
        <v>73.199438208299767</v>
      </c>
    </row>
    <row r="377" spans="1:9">
      <c r="A377">
        <v>375</v>
      </c>
      <c r="B377">
        <v>5</v>
      </c>
      <c r="C377">
        <v>2600</v>
      </c>
      <c r="D377">
        <v>5278</v>
      </c>
      <c r="E377" s="4">
        <f t="shared" si="24"/>
        <v>0</v>
      </c>
      <c r="F377" s="4">
        <f t="shared" si="25"/>
        <v>2678</v>
      </c>
      <c r="G377" s="4">
        <f t="shared" si="26"/>
        <v>1.03</v>
      </c>
      <c r="H377" s="4">
        <f t="shared" si="27"/>
        <v>7171684</v>
      </c>
      <c r="I377" s="5">
        <f>SQRT(SUM('r-native-multi'!$D$3:D377)/COUNTIF($A$3:A377,"&lt;&gt;0"))</f>
        <v>73.19797811415286</v>
      </c>
    </row>
    <row r="378" spans="1:9">
      <c r="A378">
        <v>376</v>
      </c>
      <c r="B378">
        <v>5</v>
      </c>
      <c r="C378">
        <v>2600</v>
      </c>
      <c r="D378">
        <v>5159</v>
      </c>
      <c r="E378" s="4">
        <f t="shared" si="24"/>
        <v>0</v>
      </c>
      <c r="F378" s="4">
        <f t="shared" si="25"/>
        <v>2559</v>
      </c>
      <c r="G378" s="4">
        <f t="shared" si="26"/>
        <v>0.98423076923076924</v>
      </c>
      <c r="H378" s="4">
        <f t="shared" si="27"/>
        <v>6548481</v>
      </c>
      <c r="I378" s="5">
        <f>SQRT(SUM('r-native-multi'!$D$3:D378)/COUNTIF($A$3:A378,"&lt;&gt;0"))</f>
        <v>73.194363810453481</v>
      </c>
    </row>
    <row r="379" spans="1:9">
      <c r="A379">
        <v>377</v>
      </c>
      <c r="B379">
        <v>5</v>
      </c>
      <c r="C379">
        <v>2600</v>
      </c>
      <c r="D379">
        <v>5214</v>
      </c>
      <c r="E379" s="4">
        <f t="shared" si="24"/>
        <v>0</v>
      </c>
      <c r="F379" s="4">
        <f t="shared" si="25"/>
        <v>2614</v>
      </c>
      <c r="G379" s="4">
        <f t="shared" si="26"/>
        <v>1.0053846153846153</v>
      </c>
      <c r="H379" s="4">
        <f t="shared" si="27"/>
        <v>6832996</v>
      </c>
      <c r="I379" s="5">
        <f>SQRT(SUM('r-native-multi'!$D$3:D379)/COUNTIF($A$3:A379,"&lt;&gt;0"))</f>
        <v>73.191765129409333</v>
      </c>
    </row>
    <row r="380" spans="1:9">
      <c r="A380">
        <v>378</v>
      </c>
      <c r="B380">
        <v>5</v>
      </c>
      <c r="C380">
        <v>2600</v>
      </c>
      <c r="D380">
        <v>5175</v>
      </c>
      <c r="E380" s="4">
        <f t="shared" si="24"/>
        <v>0</v>
      </c>
      <c r="F380" s="4">
        <f t="shared" si="25"/>
        <v>2575</v>
      </c>
      <c r="G380" s="4">
        <f t="shared" si="26"/>
        <v>0.99038461538461542</v>
      </c>
      <c r="H380" s="4">
        <f t="shared" si="27"/>
        <v>6630625</v>
      </c>
      <c r="I380" s="5">
        <f>SQRT(SUM('r-native-multi'!$D$3:D380)/COUNTIF($A$3:A380,"&lt;&gt;0"))</f>
        <v>73.188475254324771</v>
      </c>
    </row>
    <row r="381" spans="1:9">
      <c r="A381">
        <v>379</v>
      </c>
      <c r="B381">
        <v>5</v>
      </c>
      <c r="C381">
        <v>2600</v>
      </c>
      <c r="D381">
        <v>5275</v>
      </c>
      <c r="E381" s="4">
        <f t="shared" si="24"/>
        <v>0</v>
      </c>
      <c r="F381" s="4">
        <f t="shared" si="25"/>
        <v>2675</v>
      </c>
      <c r="G381" s="4">
        <f t="shared" si="26"/>
        <v>1.0288461538461537</v>
      </c>
      <c r="H381" s="4">
        <f t="shared" si="27"/>
        <v>7155625</v>
      </c>
      <c r="I381" s="5">
        <f>SQRT(SUM('r-native-multi'!$D$3:D381)/COUNTIF($A$3:A381,"&lt;&gt;0"))</f>
        <v>73.187005204959107</v>
      </c>
    </row>
    <row r="382" spans="1:9">
      <c r="A382">
        <v>380</v>
      </c>
      <c r="B382">
        <v>5</v>
      </c>
      <c r="C382">
        <v>2600</v>
      </c>
      <c r="D382">
        <v>5186</v>
      </c>
      <c r="E382" s="4">
        <f t="shared" si="24"/>
        <v>0</v>
      </c>
      <c r="F382" s="4">
        <f t="shared" si="25"/>
        <v>2586</v>
      </c>
      <c r="G382" s="4">
        <f t="shared" si="26"/>
        <v>0.99461538461538457</v>
      </c>
      <c r="H382" s="4">
        <f t="shared" si="27"/>
        <v>6687396</v>
      </c>
      <c r="I382" s="5">
        <f>SQRT(SUM('r-native-multi'!$D$3:D382)/COUNTIF($A$3:A382,"&lt;&gt;0"))</f>
        <v>73.183942731204439</v>
      </c>
    </row>
    <row r="383" spans="1:9">
      <c r="A383">
        <v>381</v>
      </c>
      <c r="B383">
        <v>5</v>
      </c>
      <c r="C383">
        <v>2600</v>
      </c>
      <c r="D383">
        <v>5299</v>
      </c>
      <c r="E383" s="4">
        <f t="shared" si="24"/>
        <v>0</v>
      </c>
      <c r="F383" s="4">
        <f t="shared" si="25"/>
        <v>2699</v>
      </c>
      <c r="G383" s="4">
        <f t="shared" si="26"/>
        <v>1.0380769230769231</v>
      </c>
      <c r="H383" s="4">
        <f t="shared" si="27"/>
        <v>7284601</v>
      </c>
      <c r="I383" s="5">
        <f>SQRT(SUM('r-native-multi'!$D$3:D383)/COUNTIF($A$3:A383,"&lt;&gt;0"))</f>
        <v>73.182922580888473</v>
      </c>
    </row>
    <row r="384" spans="1:9">
      <c r="A384">
        <v>382</v>
      </c>
      <c r="B384">
        <v>5</v>
      </c>
      <c r="C384">
        <v>2600</v>
      </c>
      <c r="D384">
        <v>5351</v>
      </c>
      <c r="E384" s="4">
        <f t="shared" si="24"/>
        <v>0</v>
      </c>
      <c r="F384" s="4">
        <f t="shared" si="25"/>
        <v>2751</v>
      </c>
      <c r="G384" s="4">
        <f t="shared" si="26"/>
        <v>1.0580769230769231</v>
      </c>
      <c r="H384" s="4">
        <f t="shared" si="27"/>
        <v>7568001</v>
      </c>
      <c r="I384" s="5">
        <f>SQRT(SUM('r-native-multi'!$D$3:D384)/COUNTIF($A$3:A384,"&lt;&gt;0"))</f>
        <v>73.182837801571338</v>
      </c>
    </row>
    <row r="385" spans="1:9">
      <c r="A385">
        <v>383</v>
      </c>
      <c r="B385">
        <v>5</v>
      </c>
      <c r="C385">
        <v>2600</v>
      </c>
      <c r="D385">
        <v>5255</v>
      </c>
      <c r="E385" s="4">
        <f t="shared" si="24"/>
        <v>0</v>
      </c>
      <c r="F385" s="4">
        <f t="shared" si="25"/>
        <v>2655</v>
      </c>
      <c r="G385" s="4">
        <f t="shared" si="26"/>
        <v>1.0211538461538461</v>
      </c>
      <c r="H385" s="4">
        <f t="shared" si="27"/>
        <v>7049025</v>
      </c>
      <c r="I385" s="5">
        <f>SQRT(SUM('r-native-multi'!$D$3:D385)/COUNTIF($A$3:A385,"&lt;&gt;0"))</f>
        <v>73.181040932458899</v>
      </c>
    </row>
    <row r="386" spans="1:9">
      <c r="A386">
        <v>384</v>
      </c>
      <c r="B386">
        <v>5</v>
      </c>
      <c r="C386">
        <v>2600</v>
      </c>
      <c r="D386">
        <v>5240</v>
      </c>
      <c r="E386" s="4">
        <f t="shared" si="24"/>
        <v>0</v>
      </c>
      <c r="F386" s="4">
        <f t="shared" si="25"/>
        <v>2640</v>
      </c>
      <c r="G386" s="4">
        <f t="shared" si="26"/>
        <v>1.0153846153846153</v>
      </c>
      <c r="H386" s="4">
        <f t="shared" si="27"/>
        <v>6969600</v>
      </c>
      <c r="I386" s="5">
        <f>SQRT(SUM('r-native-multi'!$D$3:D386)/COUNTIF($A$3:A386,"&lt;&gt;0"))</f>
        <v>73.178986481776306</v>
      </c>
    </row>
    <row r="387" spans="1:9">
      <c r="A387">
        <v>385</v>
      </c>
      <c r="B387">
        <v>5</v>
      </c>
      <c r="C387">
        <v>2600</v>
      </c>
      <c r="D387">
        <v>5238</v>
      </c>
      <c r="E387" s="4">
        <f t="shared" si="24"/>
        <v>0</v>
      </c>
      <c r="F387" s="4">
        <f t="shared" si="25"/>
        <v>2638</v>
      </c>
      <c r="G387" s="4">
        <f t="shared" si="26"/>
        <v>1.0146153846153847</v>
      </c>
      <c r="H387" s="4">
        <f t="shared" si="27"/>
        <v>6959044</v>
      </c>
      <c r="I387" s="5">
        <f>SQRT(SUM('r-native-multi'!$D$3:D387)/COUNTIF($A$3:A387,"&lt;&gt;0"))</f>
        <v>73.176907151503343</v>
      </c>
    </row>
    <row r="388" spans="1:9">
      <c r="A388">
        <v>386</v>
      </c>
      <c r="B388">
        <v>5</v>
      </c>
      <c r="C388">
        <v>2600</v>
      </c>
      <c r="D388">
        <v>5366</v>
      </c>
      <c r="E388" s="4">
        <f t="shared" si="24"/>
        <v>0</v>
      </c>
      <c r="F388" s="4">
        <f t="shared" si="25"/>
        <v>2766</v>
      </c>
      <c r="G388" s="4">
        <f t="shared" si="26"/>
        <v>1.0638461538461539</v>
      </c>
      <c r="H388" s="4">
        <f t="shared" si="27"/>
        <v>7650756</v>
      </c>
      <c r="I388" s="5">
        <f>SQRT(SUM('r-native-multi'!$D$3:D388)/COUNTIF($A$3:A388,"&lt;&gt;0"))</f>
        <v>73.177104349900787</v>
      </c>
    </row>
    <row r="389" spans="1:9">
      <c r="A389">
        <v>387</v>
      </c>
      <c r="B389">
        <v>5</v>
      </c>
      <c r="C389">
        <v>2600</v>
      </c>
      <c r="D389">
        <v>5281</v>
      </c>
      <c r="E389" s="4">
        <f t="shared" si="24"/>
        <v>0</v>
      </c>
      <c r="F389" s="4">
        <f t="shared" si="25"/>
        <v>2681</v>
      </c>
      <c r="G389" s="4">
        <f t="shared" si="26"/>
        <v>1.0311538461538461</v>
      </c>
      <c r="H389" s="4">
        <f t="shared" si="27"/>
        <v>7187761</v>
      </c>
      <c r="I389" s="5">
        <f>SQRT(SUM('r-native-multi'!$D$3:D389)/COUNTIF($A$3:A389,"&lt;&gt;0"))</f>
        <v>73.175799786668577</v>
      </c>
    </row>
    <row r="390" spans="1:9">
      <c r="A390">
        <v>388</v>
      </c>
      <c r="B390">
        <v>5</v>
      </c>
      <c r="C390">
        <v>2600</v>
      </c>
      <c r="D390">
        <v>5285</v>
      </c>
      <c r="E390" s="4">
        <f t="shared" si="24"/>
        <v>0</v>
      </c>
      <c r="F390" s="4">
        <f t="shared" si="25"/>
        <v>2685</v>
      </c>
      <c r="G390" s="4">
        <f t="shared" si="26"/>
        <v>1.0326923076923078</v>
      </c>
      <c r="H390" s="4">
        <f t="shared" si="27"/>
        <v>7209225</v>
      </c>
      <c r="I390" s="5">
        <f>SQRT(SUM('r-native-multi'!$D$3:D390)/COUNTIF($A$3:A390,"&lt;&gt;0"))</f>
        <v>73.174572367982535</v>
      </c>
    </row>
    <row r="391" spans="1:9">
      <c r="A391">
        <v>389</v>
      </c>
      <c r="B391">
        <v>5</v>
      </c>
      <c r="C391">
        <v>2600</v>
      </c>
      <c r="D391">
        <v>5180</v>
      </c>
      <c r="E391" s="4">
        <f t="shared" si="24"/>
        <v>0</v>
      </c>
      <c r="F391" s="4">
        <f t="shared" si="25"/>
        <v>2580</v>
      </c>
      <c r="G391" s="4">
        <f t="shared" si="26"/>
        <v>0.99230769230769234</v>
      </c>
      <c r="H391" s="4">
        <f t="shared" si="27"/>
        <v>6656400</v>
      </c>
      <c r="I391" s="5">
        <f>SQRT(SUM('r-native-multi'!$D$3:D391)/COUNTIF($A$3:A391,"&lt;&gt;0"))</f>
        <v>73.171506809278981</v>
      </c>
    </row>
    <row r="392" spans="1:9">
      <c r="A392">
        <v>390</v>
      </c>
      <c r="B392">
        <v>5</v>
      </c>
      <c r="C392">
        <v>2600</v>
      </c>
      <c r="D392">
        <v>5223</v>
      </c>
      <c r="E392" s="4">
        <f t="shared" si="24"/>
        <v>0</v>
      </c>
      <c r="F392" s="4">
        <f t="shared" si="25"/>
        <v>2623</v>
      </c>
      <c r="G392" s="4">
        <f t="shared" si="26"/>
        <v>1.0088461538461539</v>
      </c>
      <c r="H392" s="4">
        <f t="shared" si="27"/>
        <v>6880129</v>
      </c>
      <c r="I392" s="5">
        <f>SQRT(SUM('r-native-multi'!$D$3:D392)/COUNTIF($A$3:A392,"&lt;&gt;0"))</f>
        <v>73.169210282285633</v>
      </c>
    </row>
    <row r="393" spans="1:9">
      <c r="A393">
        <v>391</v>
      </c>
      <c r="B393">
        <v>5</v>
      </c>
      <c r="C393">
        <v>2600</v>
      </c>
      <c r="D393">
        <v>5119</v>
      </c>
      <c r="E393" s="4">
        <f t="shared" si="24"/>
        <v>0</v>
      </c>
      <c r="F393" s="4">
        <f t="shared" si="25"/>
        <v>2519</v>
      </c>
      <c r="G393" s="4">
        <f t="shared" si="26"/>
        <v>0.9688461538461538</v>
      </c>
      <c r="H393" s="4">
        <f t="shared" si="27"/>
        <v>6345361</v>
      </c>
      <c r="I393" s="5">
        <f>SQRT(SUM('r-native-multi'!$D$3:D393)/COUNTIF($A$3:A393,"&lt;&gt;0"))</f>
        <v>73.165107751764879</v>
      </c>
    </row>
    <row r="394" spans="1:9">
      <c r="A394">
        <v>392</v>
      </c>
      <c r="B394">
        <v>5</v>
      </c>
      <c r="C394">
        <v>2600</v>
      </c>
      <c r="D394">
        <v>5245</v>
      </c>
      <c r="E394" s="4">
        <f t="shared" si="24"/>
        <v>0</v>
      </c>
      <c r="F394" s="4">
        <f t="shared" si="25"/>
        <v>2645</v>
      </c>
      <c r="G394" s="4">
        <f t="shared" si="26"/>
        <v>1.0173076923076922</v>
      </c>
      <c r="H394" s="4">
        <f t="shared" si="27"/>
        <v>6996025</v>
      </c>
      <c r="I394" s="5">
        <f>SQRT(SUM('r-native-multi'!$D$3:D394)/COUNTIF($A$3:A394,"&lt;&gt;0"))</f>
        <v>73.163222611207772</v>
      </c>
    </row>
    <row r="395" spans="1:9">
      <c r="A395">
        <v>393</v>
      </c>
      <c r="B395">
        <v>5</v>
      </c>
      <c r="C395">
        <v>2600</v>
      </c>
      <c r="D395">
        <v>5227</v>
      </c>
      <c r="E395" s="4">
        <f t="shared" si="24"/>
        <v>0</v>
      </c>
      <c r="F395" s="4">
        <f t="shared" si="25"/>
        <v>2627</v>
      </c>
      <c r="G395" s="4">
        <f t="shared" si="26"/>
        <v>1.0103846153846154</v>
      </c>
      <c r="H395" s="4">
        <f t="shared" si="27"/>
        <v>6901129</v>
      </c>
      <c r="I395" s="5">
        <f>SQRT(SUM('r-native-multi'!$D$3:D395)/COUNTIF($A$3:A395,"&lt;&gt;0"))</f>
        <v>73.161033998121567</v>
      </c>
    </row>
    <row r="396" spans="1:9">
      <c r="A396">
        <v>394</v>
      </c>
      <c r="B396">
        <v>5</v>
      </c>
      <c r="C396">
        <v>2600</v>
      </c>
      <c r="D396">
        <v>5170</v>
      </c>
      <c r="E396" s="4">
        <f t="shared" si="24"/>
        <v>0</v>
      </c>
      <c r="F396" s="4">
        <f t="shared" si="25"/>
        <v>2570</v>
      </c>
      <c r="G396" s="4">
        <f t="shared" si="26"/>
        <v>0.9884615384615385</v>
      </c>
      <c r="H396" s="4">
        <f t="shared" si="27"/>
        <v>6604900</v>
      </c>
      <c r="I396" s="5">
        <f>SQRT(SUM('r-native-multi'!$D$3:D396)/COUNTIF($A$3:A396,"&lt;&gt;0"))</f>
        <v>73.157867683940282</v>
      </c>
    </row>
    <row r="397" spans="1:9">
      <c r="A397">
        <v>395</v>
      </c>
      <c r="B397">
        <v>5</v>
      </c>
      <c r="C397">
        <v>2600</v>
      </c>
      <c r="D397">
        <v>5081</v>
      </c>
      <c r="E397" s="4">
        <f t="shared" si="24"/>
        <v>0</v>
      </c>
      <c r="F397" s="4">
        <f t="shared" si="25"/>
        <v>2481</v>
      </c>
      <c r="G397" s="4">
        <f t="shared" si="26"/>
        <v>0.95423076923076922</v>
      </c>
      <c r="H397" s="4">
        <f t="shared" si="27"/>
        <v>6155361</v>
      </c>
      <c r="I397" s="5">
        <f>SQRT(SUM('r-native-multi'!$D$3:D397)/COUNTIF($A$3:A397,"&lt;&gt;0"))</f>
        <v>73.153177250015275</v>
      </c>
    </row>
    <row r="398" spans="1:9">
      <c r="A398">
        <v>396</v>
      </c>
      <c r="B398">
        <v>5</v>
      </c>
      <c r="C398">
        <v>2600</v>
      </c>
      <c r="D398">
        <v>5205</v>
      </c>
      <c r="E398" s="4">
        <f t="shared" si="24"/>
        <v>0</v>
      </c>
      <c r="F398" s="4">
        <f t="shared" si="25"/>
        <v>2605</v>
      </c>
      <c r="G398" s="4">
        <f t="shared" si="26"/>
        <v>1.0019230769230769</v>
      </c>
      <c r="H398" s="4">
        <f t="shared" si="27"/>
        <v>6786025</v>
      </c>
      <c r="I398" s="5">
        <f>SQRT(SUM('r-native-multi'!$D$3:D398)/COUNTIF($A$3:A398,"&lt;&gt;0"))</f>
        <v>73.1506505560113</v>
      </c>
    </row>
    <row r="399" spans="1:9">
      <c r="A399">
        <v>397</v>
      </c>
      <c r="B399">
        <v>5</v>
      </c>
      <c r="C399">
        <v>2600</v>
      </c>
      <c r="D399">
        <v>5329</v>
      </c>
      <c r="E399" s="4">
        <f t="shared" si="24"/>
        <v>0</v>
      </c>
      <c r="F399" s="4">
        <f t="shared" si="25"/>
        <v>2729</v>
      </c>
      <c r="G399" s="4">
        <f t="shared" si="26"/>
        <v>1.0496153846153846</v>
      </c>
      <c r="H399" s="4">
        <f t="shared" si="27"/>
        <v>7447441</v>
      </c>
      <c r="I399" s="5">
        <f>SQRT(SUM('r-native-multi'!$D$3:D399)/COUNTIF($A$3:A399,"&lt;&gt;0"))</f>
        <v>73.150271473349193</v>
      </c>
    </row>
    <row r="400" spans="1:9">
      <c r="A400">
        <v>398</v>
      </c>
      <c r="B400">
        <v>5</v>
      </c>
      <c r="C400">
        <v>2600</v>
      </c>
      <c r="D400">
        <v>5282</v>
      </c>
      <c r="E400" s="4">
        <f t="shared" si="24"/>
        <v>0</v>
      </c>
      <c r="F400" s="4">
        <f t="shared" si="25"/>
        <v>2682</v>
      </c>
      <c r="G400" s="4">
        <f t="shared" si="26"/>
        <v>1.0315384615384615</v>
      </c>
      <c r="H400" s="4">
        <f t="shared" si="27"/>
        <v>7193124</v>
      </c>
      <c r="I400" s="5">
        <f>SQRT(SUM('r-native-multi'!$D$3:D400)/COUNTIF($A$3:A400,"&lt;&gt;0"))</f>
        <v>73.149087107930598</v>
      </c>
    </row>
    <row r="401" spans="1:9">
      <c r="A401">
        <v>399</v>
      </c>
      <c r="B401">
        <v>5</v>
      </c>
      <c r="C401">
        <v>2600</v>
      </c>
      <c r="D401">
        <v>5272</v>
      </c>
      <c r="E401" s="4">
        <f t="shared" si="24"/>
        <v>0</v>
      </c>
      <c r="F401" s="4">
        <f t="shared" si="25"/>
        <v>2672</v>
      </c>
      <c r="G401" s="4">
        <f t="shared" si="26"/>
        <v>1.0276923076923077</v>
      </c>
      <c r="H401" s="4">
        <f t="shared" si="27"/>
        <v>7139584</v>
      </c>
      <c r="I401" s="5">
        <f>SQRT(SUM('r-native-multi'!$D$3:D401)/COUNTIF($A$3:A401,"&lt;&gt;0"))</f>
        <v>73.147737345024836</v>
      </c>
    </row>
    <row r="402" spans="1:9">
      <c r="A402">
        <v>400</v>
      </c>
      <c r="B402">
        <v>5</v>
      </c>
      <c r="C402">
        <v>2600</v>
      </c>
      <c r="D402">
        <v>5191</v>
      </c>
      <c r="E402" s="4">
        <f t="shared" si="24"/>
        <v>0</v>
      </c>
      <c r="F402" s="4">
        <f t="shared" si="25"/>
        <v>2591</v>
      </c>
      <c r="G402" s="4">
        <f t="shared" si="26"/>
        <v>0.99653846153846148</v>
      </c>
      <c r="H402" s="4">
        <f t="shared" si="27"/>
        <v>6713281</v>
      </c>
      <c r="I402" s="5">
        <f>SQRT(SUM('r-native-multi'!$D$3:D402)/COUNTIF($A$3:A402,"&lt;&gt;0"))</f>
        <v>73.145010082711721</v>
      </c>
    </row>
    <row r="403" spans="1:9">
      <c r="A403">
        <v>401</v>
      </c>
      <c r="B403">
        <v>5</v>
      </c>
      <c r="C403">
        <v>2600</v>
      </c>
      <c r="D403">
        <v>5100</v>
      </c>
      <c r="E403" s="4">
        <f t="shared" si="24"/>
        <v>0</v>
      </c>
      <c r="F403" s="4">
        <f t="shared" si="25"/>
        <v>2500</v>
      </c>
      <c r="G403" s="4">
        <f t="shared" si="26"/>
        <v>0.96153846153846156</v>
      </c>
      <c r="H403" s="4">
        <f t="shared" si="27"/>
        <v>6250000</v>
      </c>
      <c r="I403" s="5">
        <f>SQRT(SUM('r-native-multi'!$D$3:D403)/COUNTIF($A$3:A403,"&lt;&gt;0"))</f>
        <v>73.140744995888682</v>
      </c>
    </row>
    <row r="404" spans="1:9">
      <c r="A404">
        <v>402</v>
      </c>
      <c r="B404">
        <v>5</v>
      </c>
      <c r="C404">
        <v>2600</v>
      </c>
      <c r="D404">
        <v>5242</v>
      </c>
      <c r="E404" s="4">
        <f t="shared" si="24"/>
        <v>0</v>
      </c>
      <c r="F404" s="4">
        <f t="shared" si="25"/>
        <v>2642</v>
      </c>
      <c r="G404" s="4">
        <f t="shared" si="26"/>
        <v>1.0161538461538462</v>
      </c>
      <c r="H404" s="4">
        <f t="shared" si="27"/>
        <v>6980164</v>
      </c>
      <c r="I404" s="5">
        <f>SQRT(SUM('r-native-multi'!$D$3:D404)/COUNTIF($A$3:A404,"&lt;&gt;0"))</f>
        <v>73.138915735912263</v>
      </c>
    </row>
    <row r="405" spans="1:9">
      <c r="A405">
        <v>403</v>
      </c>
      <c r="B405">
        <v>5</v>
      </c>
      <c r="C405">
        <v>2600</v>
      </c>
      <c r="D405">
        <v>5186</v>
      </c>
      <c r="E405" s="4">
        <f t="shared" si="24"/>
        <v>0</v>
      </c>
      <c r="F405" s="4">
        <f t="shared" si="25"/>
        <v>2586</v>
      </c>
      <c r="G405" s="4">
        <f t="shared" si="26"/>
        <v>0.99461538461538457</v>
      </c>
      <c r="H405" s="4">
        <f t="shared" si="27"/>
        <v>6687396</v>
      </c>
      <c r="I405" s="5">
        <f>SQRT(SUM('r-native-multi'!$D$3:D405)/COUNTIF($A$3:A405,"&lt;&gt;0"))</f>
        <v>73.136145520786897</v>
      </c>
    </row>
    <row r="406" spans="1:9">
      <c r="A406">
        <v>404</v>
      </c>
      <c r="B406">
        <v>5</v>
      </c>
      <c r="C406">
        <v>2600</v>
      </c>
      <c r="D406">
        <v>5213</v>
      </c>
      <c r="E406" s="4">
        <f t="shared" si="24"/>
        <v>0</v>
      </c>
      <c r="F406" s="4">
        <f t="shared" si="25"/>
        <v>2613</v>
      </c>
      <c r="G406" s="4">
        <f t="shared" si="26"/>
        <v>1.0049999999999999</v>
      </c>
      <c r="H406" s="4">
        <f t="shared" si="27"/>
        <v>6827769</v>
      </c>
      <c r="I406" s="5">
        <f>SQRT(SUM('r-native-multi'!$D$3:D406)/COUNTIF($A$3:A406,"&lt;&gt;0"))</f>
        <v>73.133845830371826</v>
      </c>
    </row>
    <row r="407" spans="1:9">
      <c r="A407">
        <v>405</v>
      </c>
      <c r="B407">
        <v>5</v>
      </c>
      <c r="C407">
        <v>2600</v>
      </c>
      <c r="D407">
        <v>5315</v>
      </c>
      <c r="E407" s="4">
        <f t="shared" si="24"/>
        <v>0</v>
      </c>
      <c r="F407" s="4">
        <f t="shared" si="25"/>
        <v>2715</v>
      </c>
      <c r="G407" s="4">
        <f t="shared" si="26"/>
        <v>1.0442307692307693</v>
      </c>
      <c r="H407" s="4">
        <f t="shared" si="27"/>
        <v>7371225</v>
      </c>
      <c r="I407" s="5">
        <f>SQRT(SUM('r-native-multi'!$D$3:D407)/COUNTIF($A$3:A407,"&lt;&gt;0"))</f>
        <v>73.133279313933926</v>
      </c>
    </row>
    <row r="408" spans="1:9">
      <c r="A408">
        <v>406</v>
      </c>
      <c r="B408">
        <v>5</v>
      </c>
      <c r="C408">
        <v>2600</v>
      </c>
      <c r="D408">
        <v>5389</v>
      </c>
      <c r="E408" s="4">
        <f t="shared" si="24"/>
        <v>0</v>
      </c>
      <c r="F408" s="4">
        <f t="shared" si="25"/>
        <v>2789</v>
      </c>
      <c r="G408" s="4">
        <f t="shared" si="26"/>
        <v>1.0726923076923076</v>
      </c>
      <c r="H408" s="4">
        <f t="shared" si="27"/>
        <v>7778521</v>
      </c>
      <c r="I408" s="5">
        <f>SQRT(SUM('r-native-multi'!$D$3:D408)/COUNTIF($A$3:A408,"&lt;&gt;0"))</f>
        <v>73.133961705077908</v>
      </c>
    </row>
    <row r="409" spans="1:9">
      <c r="A409">
        <v>407</v>
      </c>
      <c r="B409">
        <v>5</v>
      </c>
      <c r="C409">
        <v>2600</v>
      </c>
      <c r="D409">
        <v>5364</v>
      </c>
      <c r="E409" s="4">
        <f t="shared" ref="E409:E472" si="28">IF(AND(D409&lt;=C409*1.2,D409&gt;=C409*0.8),1,0)</f>
        <v>0</v>
      </c>
      <c r="F409" s="4">
        <f t="shared" ref="F409:F472" si="29">ABS(C409-D409)</f>
        <v>2764</v>
      </c>
      <c r="G409" s="4">
        <f t="shared" ref="G409:G472" si="30">ABS(C409-D409)/C409</f>
        <v>1.063076923076923</v>
      </c>
      <c r="H409" s="4">
        <f t="shared" ref="H409:H472" si="31">POWER(F409,2)</f>
        <v>7639696</v>
      </c>
      <c r="I409" s="5">
        <f>SQRT(SUM('r-native-multi'!$D$3:D409)/COUNTIF($A$3:A409,"&lt;&gt;0"))</f>
        <v>73.134220790367692</v>
      </c>
    </row>
    <row r="410" spans="1:9">
      <c r="A410">
        <v>408</v>
      </c>
      <c r="B410">
        <v>5</v>
      </c>
      <c r="C410">
        <v>2600</v>
      </c>
      <c r="D410">
        <v>5192</v>
      </c>
      <c r="E410" s="4">
        <f t="shared" si="28"/>
        <v>0</v>
      </c>
      <c r="F410" s="4">
        <f t="shared" si="29"/>
        <v>2592</v>
      </c>
      <c r="G410" s="4">
        <f t="shared" si="30"/>
        <v>0.99692307692307691</v>
      </c>
      <c r="H410" s="4">
        <f t="shared" si="31"/>
        <v>6718464</v>
      </c>
      <c r="I410" s="5">
        <f>SQRT(SUM('r-native-multi'!$D$3:D410)/COUNTIF($A$3:A410,"&lt;&gt;0"))</f>
        <v>73.13159640098705</v>
      </c>
    </row>
    <row r="411" spans="1:9">
      <c r="A411">
        <v>409</v>
      </c>
      <c r="B411">
        <v>5</v>
      </c>
      <c r="C411">
        <v>2600</v>
      </c>
      <c r="D411">
        <v>5343</v>
      </c>
      <c r="E411" s="4">
        <f t="shared" si="28"/>
        <v>0</v>
      </c>
      <c r="F411" s="4">
        <f t="shared" si="29"/>
        <v>2743</v>
      </c>
      <c r="G411" s="4">
        <f t="shared" si="30"/>
        <v>1.0549999999999999</v>
      </c>
      <c r="H411" s="4">
        <f t="shared" si="31"/>
        <v>7524049</v>
      </c>
      <c r="I411" s="5">
        <f>SQRT(SUM('r-native-multi'!$D$3:D411)/COUNTIF($A$3:A411,"&lt;&gt;0"))</f>
        <v>73.131508967831238</v>
      </c>
    </row>
    <row r="412" spans="1:9">
      <c r="A412">
        <v>410</v>
      </c>
      <c r="B412">
        <v>5</v>
      </c>
      <c r="C412">
        <v>2600</v>
      </c>
      <c r="D412">
        <v>5226</v>
      </c>
      <c r="E412" s="4">
        <f t="shared" si="28"/>
        <v>0</v>
      </c>
      <c r="F412" s="4">
        <f t="shared" si="29"/>
        <v>2626</v>
      </c>
      <c r="G412" s="4">
        <f t="shared" si="30"/>
        <v>1.01</v>
      </c>
      <c r="H412" s="4">
        <f t="shared" si="31"/>
        <v>6895876</v>
      </c>
      <c r="I412" s="5">
        <f>SQRT(SUM('r-native-multi'!$D$3:D412)/COUNTIF($A$3:A412,"&lt;&gt;0"))</f>
        <v>73.129470886880625</v>
      </c>
    </row>
    <row r="413" spans="1:9">
      <c r="A413">
        <v>411</v>
      </c>
      <c r="B413">
        <v>5</v>
      </c>
      <c r="C413">
        <v>2600</v>
      </c>
      <c r="D413">
        <v>5227</v>
      </c>
      <c r="E413" s="4">
        <f t="shared" si="28"/>
        <v>0</v>
      </c>
      <c r="F413" s="4">
        <f t="shared" si="29"/>
        <v>2627</v>
      </c>
      <c r="G413" s="4">
        <f t="shared" si="30"/>
        <v>1.0103846153846154</v>
      </c>
      <c r="H413" s="4">
        <f t="shared" si="31"/>
        <v>6901129</v>
      </c>
      <c r="I413" s="5">
        <f>SQRT(SUM('r-native-multi'!$D$3:D413)/COUNTIF($A$3:A413,"&lt;&gt;0"))</f>
        <v>73.127459303166361</v>
      </c>
    </row>
    <row r="414" spans="1:9">
      <c r="A414">
        <v>412</v>
      </c>
      <c r="B414">
        <v>5</v>
      </c>
      <c r="C414">
        <v>2600</v>
      </c>
      <c r="D414">
        <v>5288</v>
      </c>
      <c r="E414" s="4">
        <f t="shared" si="28"/>
        <v>0</v>
      </c>
      <c r="F414" s="4">
        <f t="shared" si="29"/>
        <v>2688</v>
      </c>
      <c r="G414" s="4">
        <f t="shared" si="30"/>
        <v>1.0338461538461539</v>
      </c>
      <c r="H414" s="4">
        <f t="shared" si="31"/>
        <v>7225344</v>
      </c>
      <c r="I414" s="5">
        <f>SQRT(SUM('r-native-multi'!$D$3:D414)/COUNTIF($A$3:A414,"&lt;&gt;0"))</f>
        <v>73.126469780266788</v>
      </c>
    </row>
    <row r="415" spans="1:9">
      <c r="A415">
        <v>413</v>
      </c>
      <c r="B415">
        <v>5</v>
      </c>
      <c r="C415">
        <v>2600</v>
      </c>
      <c r="D415">
        <v>5262</v>
      </c>
      <c r="E415" s="4">
        <f t="shared" si="28"/>
        <v>0</v>
      </c>
      <c r="F415" s="4">
        <f t="shared" si="29"/>
        <v>2662</v>
      </c>
      <c r="G415" s="4">
        <f t="shared" si="30"/>
        <v>1.0238461538461539</v>
      </c>
      <c r="H415" s="4">
        <f t="shared" si="31"/>
        <v>7086244</v>
      </c>
      <c r="I415" s="5">
        <f>SQRT(SUM('r-native-multi'!$D$3:D415)/COUNTIF($A$3:A415,"&lt;&gt;0"))</f>
        <v>73.12505458287319</v>
      </c>
    </row>
    <row r="416" spans="1:9">
      <c r="A416">
        <v>414</v>
      </c>
      <c r="B416">
        <v>5</v>
      </c>
      <c r="C416">
        <v>2600</v>
      </c>
      <c r="D416">
        <v>5142</v>
      </c>
      <c r="E416" s="4">
        <f t="shared" si="28"/>
        <v>0</v>
      </c>
      <c r="F416" s="4">
        <f t="shared" si="29"/>
        <v>2542</v>
      </c>
      <c r="G416" s="4">
        <f t="shared" si="30"/>
        <v>0.97769230769230764</v>
      </c>
      <c r="H416" s="4">
        <f t="shared" si="31"/>
        <v>6461764</v>
      </c>
      <c r="I416" s="5">
        <f>SQRT(SUM('r-native-multi'!$D$3:D416)/COUNTIF($A$3:A416,"&lt;&gt;0"))</f>
        <v>73.121664216412483</v>
      </c>
    </row>
    <row r="417" spans="1:9">
      <c r="A417">
        <v>415</v>
      </c>
      <c r="B417">
        <v>5</v>
      </c>
      <c r="C417">
        <v>2600</v>
      </c>
      <c r="D417">
        <v>5106</v>
      </c>
      <c r="E417" s="4">
        <f t="shared" si="28"/>
        <v>0</v>
      </c>
      <c r="F417" s="4">
        <f t="shared" si="29"/>
        <v>2506</v>
      </c>
      <c r="G417" s="4">
        <f t="shared" si="30"/>
        <v>0.9638461538461538</v>
      </c>
      <c r="H417" s="4">
        <f t="shared" si="31"/>
        <v>6280036</v>
      </c>
      <c r="I417" s="5">
        <f>SQRT(SUM('r-native-multi'!$D$3:D417)/COUNTIF($A$3:A417,"&lt;&gt;0"))</f>
        <v>73.117696834360459</v>
      </c>
    </row>
    <row r="418" spans="1:9">
      <c r="A418">
        <v>416</v>
      </c>
      <c r="B418">
        <v>5</v>
      </c>
      <c r="C418">
        <v>2600</v>
      </c>
      <c r="D418">
        <v>5167</v>
      </c>
      <c r="E418" s="4">
        <f t="shared" si="28"/>
        <v>0</v>
      </c>
      <c r="F418" s="4">
        <f t="shared" si="29"/>
        <v>2567</v>
      </c>
      <c r="G418" s="4">
        <f t="shared" si="30"/>
        <v>0.98730769230769233</v>
      </c>
      <c r="H418" s="4">
        <f t="shared" si="31"/>
        <v>6589489</v>
      </c>
      <c r="I418" s="5">
        <f>SQRT(SUM('r-native-multi'!$D$3:D418)/COUNTIF($A$3:A418,"&lt;&gt;0"))</f>
        <v>73.114751089797721</v>
      </c>
    </row>
    <row r="419" spans="1:9">
      <c r="A419">
        <v>417</v>
      </c>
      <c r="B419">
        <v>5</v>
      </c>
      <c r="C419">
        <v>2600</v>
      </c>
      <c r="D419">
        <v>4616</v>
      </c>
      <c r="E419" s="4">
        <f t="shared" si="28"/>
        <v>0</v>
      </c>
      <c r="F419" s="4">
        <f t="shared" si="29"/>
        <v>2016</v>
      </c>
      <c r="G419" s="4">
        <f t="shared" si="30"/>
        <v>0.77538461538461534</v>
      </c>
      <c r="H419" s="4">
        <f t="shared" si="31"/>
        <v>4064256</v>
      </c>
      <c r="I419" s="5">
        <f>SQRT(SUM('r-native-multi'!$D$3:D419)/COUNTIF($A$3:A419,"&lt;&gt;0"))</f>
        <v>73.102782344933658</v>
      </c>
    </row>
    <row r="420" spans="1:9">
      <c r="A420">
        <v>418</v>
      </c>
      <c r="B420">
        <v>5</v>
      </c>
      <c r="C420">
        <v>2600</v>
      </c>
      <c r="D420">
        <v>4944</v>
      </c>
      <c r="E420" s="4">
        <f t="shared" si="28"/>
        <v>0</v>
      </c>
      <c r="F420" s="4">
        <f t="shared" si="29"/>
        <v>2344</v>
      </c>
      <c r="G420" s="4">
        <f t="shared" si="30"/>
        <v>0.90153846153846151</v>
      </c>
      <c r="H420" s="4">
        <f t="shared" si="31"/>
        <v>5494336</v>
      </c>
      <c r="I420" s="5">
        <f>SQRT(SUM('r-native-multi'!$D$3:D420)/COUNTIF($A$3:A420,"&lt;&gt;0"))</f>
        <v>73.096236624141198</v>
      </c>
    </row>
    <row r="421" spans="1:9">
      <c r="A421">
        <v>419</v>
      </c>
      <c r="B421">
        <v>5</v>
      </c>
      <c r="C421">
        <v>2600</v>
      </c>
      <c r="D421">
        <v>4956</v>
      </c>
      <c r="E421" s="4">
        <f t="shared" si="28"/>
        <v>0</v>
      </c>
      <c r="F421" s="4">
        <f t="shared" si="29"/>
        <v>2356</v>
      </c>
      <c r="G421" s="4">
        <f t="shared" si="30"/>
        <v>0.9061538461538462</v>
      </c>
      <c r="H421" s="4">
        <f t="shared" si="31"/>
        <v>5550736</v>
      </c>
      <c r="I421" s="5">
        <f>SQRT(SUM('r-native-multi'!$D$3:D421)/COUNTIF($A$3:A421,"&lt;&gt;0"))</f>
        <v>73.089917486519013</v>
      </c>
    </row>
    <row r="422" spans="1:9">
      <c r="A422">
        <v>420</v>
      </c>
      <c r="B422">
        <v>5</v>
      </c>
      <c r="C422">
        <v>2600</v>
      </c>
      <c r="D422">
        <v>5269</v>
      </c>
      <c r="E422" s="4">
        <f t="shared" si="28"/>
        <v>0</v>
      </c>
      <c r="F422" s="4">
        <f t="shared" si="29"/>
        <v>2669</v>
      </c>
      <c r="G422" s="4">
        <f t="shared" si="30"/>
        <v>1.0265384615384616</v>
      </c>
      <c r="H422" s="4">
        <f t="shared" si="31"/>
        <v>7123561</v>
      </c>
      <c r="I422" s="5">
        <f>SQRT(SUM('r-native-multi'!$D$3:D422)/COUNTIF($A$3:A422,"&lt;&gt;0"))</f>
        <v>73.088726249414862</v>
      </c>
    </row>
    <row r="423" spans="1:9">
      <c r="A423">
        <v>421</v>
      </c>
      <c r="B423">
        <v>5</v>
      </c>
      <c r="C423">
        <v>2600</v>
      </c>
      <c r="D423">
        <v>5196</v>
      </c>
      <c r="E423" s="4">
        <f t="shared" si="28"/>
        <v>0</v>
      </c>
      <c r="F423" s="4">
        <f t="shared" si="29"/>
        <v>2596</v>
      </c>
      <c r="G423" s="4">
        <f t="shared" si="30"/>
        <v>0.99846153846153851</v>
      </c>
      <c r="H423" s="4">
        <f t="shared" si="31"/>
        <v>6739216</v>
      </c>
      <c r="I423" s="5">
        <f>SQRT(SUM('r-native-multi'!$D$3:D423)/COUNTIF($A$3:A423,"&lt;&gt;0"))</f>
        <v>73.086354416540971</v>
      </c>
    </row>
    <row r="424" spans="1:9">
      <c r="A424">
        <v>422</v>
      </c>
      <c r="B424">
        <v>5</v>
      </c>
      <c r="C424">
        <v>2600</v>
      </c>
      <c r="D424">
        <v>5035</v>
      </c>
      <c r="E424" s="4">
        <f t="shared" si="28"/>
        <v>0</v>
      </c>
      <c r="F424" s="4">
        <f t="shared" si="29"/>
        <v>2435</v>
      </c>
      <c r="G424" s="4">
        <f t="shared" si="30"/>
        <v>0.93653846153846154</v>
      </c>
      <c r="H424" s="4">
        <f t="shared" si="31"/>
        <v>5929225</v>
      </c>
      <c r="I424" s="5">
        <f>SQRT(SUM('r-native-multi'!$D$3:D424)/COUNTIF($A$3:A424,"&lt;&gt;0"))</f>
        <v>73.081383577436583</v>
      </c>
    </row>
    <row r="425" spans="1:9">
      <c r="A425">
        <v>423</v>
      </c>
      <c r="B425">
        <v>5</v>
      </c>
      <c r="C425">
        <v>2600</v>
      </c>
      <c r="D425">
        <v>5074</v>
      </c>
      <c r="E425" s="4">
        <f t="shared" si="28"/>
        <v>0</v>
      </c>
      <c r="F425" s="4">
        <f t="shared" si="29"/>
        <v>2474</v>
      </c>
      <c r="G425" s="4">
        <f t="shared" si="30"/>
        <v>0.95153846153846156</v>
      </c>
      <c r="H425" s="4">
        <f t="shared" si="31"/>
        <v>6120676</v>
      </c>
      <c r="I425" s="5">
        <f>SQRT(SUM('r-native-multi'!$D$3:D425)/COUNTIF($A$3:A425,"&lt;&gt;0"))</f>
        <v>73.077066739265945</v>
      </c>
    </row>
    <row r="426" spans="1:9">
      <c r="A426">
        <v>424</v>
      </c>
      <c r="B426">
        <v>5</v>
      </c>
      <c r="C426">
        <v>2600</v>
      </c>
      <c r="D426">
        <v>5297</v>
      </c>
      <c r="E426" s="4">
        <f t="shared" si="28"/>
        <v>0</v>
      </c>
      <c r="F426" s="4">
        <f t="shared" si="29"/>
        <v>2697</v>
      </c>
      <c r="G426" s="4">
        <f t="shared" si="30"/>
        <v>1.0373076923076923</v>
      </c>
      <c r="H426" s="4">
        <f t="shared" si="31"/>
        <v>7273809</v>
      </c>
      <c r="I426" s="5">
        <f>SQRT(SUM('r-native-multi'!$D$3:D426)/COUNTIF($A$3:A426,"&lt;&gt;0"))</f>
        <v>73.076368686308967</v>
      </c>
    </row>
    <row r="427" spans="1:9">
      <c r="A427">
        <v>425</v>
      </c>
      <c r="B427">
        <v>5</v>
      </c>
      <c r="C427">
        <v>2600</v>
      </c>
      <c r="D427">
        <v>5255</v>
      </c>
      <c r="E427" s="4">
        <f t="shared" si="28"/>
        <v>0</v>
      </c>
      <c r="F427" s="4">
        <f t="shared" si="29"/>
        <v>2655</v>
      </c>
      <c r="G427" s="4">
        <f t="shared" si="30"/>
        <v>1.0211538461538461</v>
      </c>
      <c r="H427" s="4">
        <f t="shared" si="31"/>
        <v>7049025</v>
      </c>
      <c r="I427" s="5">
        <f>SQRT(SUM('r-native-multi'!$D$3:D427)/COUNTIF($A$3:A427,"&lt;&gt;0"))</f>
        <v>73.074997736008498</v>
      </c>
    </row>
    <row r="428" spans="1:9">
      <c r="A428">
        <v>426</v>
      </c>
      <c r="B428">
        <v>5</v>
      </c>
      <c r="C428">
        <v>2600</v>
      </c>
      <c r="D428">
        <v>5269</v>
      </c>
      <c r="E428" s="4">
        <f t="shared" si="28"/>
        <v>0</v>
      </c>
      <c r="F428" s="4">
        <f t="shared" si="29"/>
        <v>2669</v>
      </c>
      <c r="G428" s="4">
        <f t="shared" si="30"/>
        <v>1.0265384615384616</v>
      </c>
      <c r="H428" s="4">
        <f t="shared" si="31"/>
        <v>7123561</v>
      </c>
      <c r="I428" s="5">
        <f>SQRT(SUM('r-native-multi'!$D$3:D428)/COUNTIF($A$3:A428,"&lt;&gt;0"))</f>
        <v>73.073858064251439</v>
      </c>
    </row>
    <row r="429" spans="1:9">
      <c r="A429">
        <v>427</v>
      </c>
      <c r="B429">
        <v>5</v>
      </c>
      <c r="C429">
        <v>2600</v>
      </c>
      <c r="D429">
        <v>5277</v>
      </c>
      <c r="E429" s="4">
        <f t="shared" si="28"/>
        <v>0</v>
      </c>
      <c r="F429" s="4">
        <f t="shared" si="29"/>
        <v>2677</v>
      </c>
      <c r="G429" s="4">
        <f t="shared" si="30"/>
        <v>1.0296153846153846</v>
      </c>
      <c r="H429" s="4">
        <f t="shared" si="31"/>
        <v>7166329</v>
      </c>
      <c r="I429" s="5">
        <f>SQRT(SUM('r-native-multi'!$D$3:D429)/COUNTIF($A$3:A429,"&lt;&gt;0"))</f>
        <v>73.072851909465456</v>
      </c>
    </row>
    <row r="430" spans="1:9">
      <c r="A430">
        <v>428</v>
      </c>
      <c r="B430">
        <v>5</v>
      </c>
      <c r="C430">
        <v>2600</v>
      </c>
      <c r="D430">
        <v>5198</v>
      </c>
      <c r="E430" s="4">
        <f t="shared" si="28"/>
        <v>0</v>
      </c>
      <c r="F430" s="4">
        <f t="shared" si="29"/>
        <v>2598</v>
      </c>
      <c r="G430" s="4">
        <f t="shared" si="30"/>
        <v>0.99923076923076926</v>
      </c>
      <c r="H430" s="4">
        <f t="shared" si="31"/>
        <v>6749604</v>
      </c>
      <c r="I430" s="5">
        <f>SQRT(SUM('r-native-multi'!$D$3:D430)/COUNTIF($A$3:A430,"&lt;&gt;0"))</f>
        <v>73.070587432041023</v>
      </c>
    </row>
    <row r="431" spans="1:9">
      <c r="A431">
        <v>429</v>
      </c>
      <c r="B431">
        <v>5</v>
      </c>
      <c r="C431">
        <v>2600</v>
      </c>
      <c r="D431">
        <v>5291</v>
      </c>
      <c r="E431" s="4">
        <f t="shared" si="28"/>
        <v>0</v>
      </c>
      <c r="F431" s="4">
        <f t="shared" si="29"/>
        <v>2691</v>
      </c>
      <c r="G431" s="4">
        <f t="shared" si="30"/>
        <v>1.0349999999999999</v>
      </c>
      <c r="H431" s="4">
        <f t="shared" si="31"/>
        <v>7241481</v>
      </c>
      <c r="I431" s="5">
        <f>SQRT(SUM('r-native-multi'!$D$3:D431)/COUNTIF($A$3:A431,"&lt;&gt;0"))</f>
        <v>73.069816854828204</v>
      </c>
    </row>
    <row r="432" spans="1:9">
      <c r="A432">
        <v>430</v>
      </c>
      <c r="B432">
        <v>5</v>
      </c>
      <c r="C432">
        <v>2600</v>
      </c>
      <c r="D432">
        <v>5296</v>
      </c>
      <c r="E432" s="4">
        <f t="shared" si="28"/>
        <v>0</v>
      </c>
      <c r="F432" s="4">
        <f t="shared" si="29"/>
        <v>2696</v>
      </c>
      <c r="G432" s="4">
        <f t="shared" si="30"/>
        <v>1.0369230769230768</v>
      </c>
      <c r="H432" s="4">
        <f t="shared" si="31"/>
        <v>7268416</v>
      </c>
      <c r="I432" s="5">
        <f>SQRT(SUM('r-native-multi'!$D$3:D432)/COUNTIF($A$3:A432,"&lt;&gt;0"))</f>
        <v>73.069129421518397</v>
      </c>
    </row>
    <row r="433" spans="1:9">
      <c r="A433">
        <v>431</v>
      </c>
      <c r="B433">
        <v>5</v>
      </c>
      <c r="C433">
        <v>2600</v>
      </c>
      <c r="D433">
        <v>5278</v>
      </c>
      <c r="E433" s="4">
        <f t="shared" si="28"/>
        <v>0</v>
      </c>
      <c r="F433" s="4">
        <f t="shared" si="29"/>
        <v>2678</v>
      </c>
      <c r="G433" s="4">
        <f t="shared" si="30"/>
        <v>1.03</v>
      </c>
      <c r="H433" s="4">
        <f t="shared" si="31"/>
        <v>7171684</v>
      </c>
      <c r="I433" s="5">
        <f>SQRT(SUM('r-native-multi'!$D$3:D433)/COUNTIF($A$3:A433,"&lt;&gt;0"))</f>
        <v>73.068159388842673</v>
      </c>
    </row>
    <row r="434" spans="1:9">
      <c r="A434">
        <v>432</v>
      </c>
      <c r="B434">
        <v>5</v>
      </c>
      <c r="C434">
        <v>2600</v>
      </c>
      <c r="D434">
        <v>5198</v>
      </c>
      <c r="E434" s="4">
        <f t="shared" si="28"/>
        <v>0</v>
      </c>
      <c r="F434" s="4">
        <f t="shared" si="29"/>
        <v>2598</v>
      </c>
      <c r="G434" s="4">
        <f t="shared" si="30"/>
        <v>0.99923076923076926</v>
      </c>
      <c r="H434" s="4">
        <f t="shared" si="31"/>
        <v>6749604</v>
      </c>
      <c r="I434" s="5">
        <f>SQRT(SUM('r-native-multi'!$D$3:D434)/COUNTIF($A$3:A434,"&lt;&gt;0"))</f>
        <v>73.065926598036313</v>
      </c>
    </row>
    <row r="435" spans="1:9">
      <c r="A435">
        <v>433</v>
      </c>
      <c r="B435">
        <v>5</v>
      </c>
      <c r="C435">
        <v>2600</v>
      </c>
      <c r="D435">
        <v>5237</v>
      </c>
      <c r="E435" s="4">
        <f t="shared" si="28"/>
        <v>0</v>
      </c>
      <c r="F435" s="4">
        <f t="shared" si="29"/>
        <v>2637</v>
      </c>
      <c r="G435" s="4">
        <f t="shared" si="30"/>
        <v>1.0142307692307693</v>
      </c>
      <c r="H435" s="4">
        <f t="shared" si="31"/>
        <v>6953769</v>
      </c>
      <c r="I435" s="5">
        <f>SQRT(SUM('r-native-multi'!$D$3:D435)/COUNTIF($A$3:A435,"&lt;&gt;0"))</f>
        <v>73.064320425010393</v>
      </c>
    </row>
    <row r="436" spans="1:9">
      <c r="A436">
        <v>434</v>
      </c>
      <c r="B436">
        <v>5</v>
      </c>
      <c r="C436">
        <v>2600</v>
      </c>
      <c r="D436">
        <v>5163</v>
      </c>
      <c r="E436" s="4">
        <f t="shared" si="28"/>
        <v>0</v>
      </c>
      <c r="F436" s="4">
        <f t="shared" si="29"/>
        <v>2563</v>
      </c>
      <c r="G436" s="4">
        <f t="shared" si="30"/>
        <v>0.98576923076923073</v>
      </c>
      <c r="H436" s="4">
        <f t="shared" si="31"/>
        <v>6568969</v>
      </c>
      <c r="I436" s="5">
        <f>SQRT(SUM('r-native-multi'!$D$3:D436)/COUNTIF($A$3:A436,"&lt;&gt;0"))</f>
        <v>73.061554756315843</v>
      </c>
    </row>
    <row r="437" spans="1:9">
      <c r="A437">
        <v>435</v>
      </c>
      <c r="B437">
        <v>5</v>
      </c>
      <c r="C437">
        <v>2600</v>
      </c>
      <c r="D437">
        <v>5326</v>
      </c>
      <c r="E437" s="4">
        <f t="shared" si="28"/>
        <v>0</v>
      </c>
      <c r="F437" s="4">
        <f t="shared" si="29"/>
        <v>2726</v>
      </c>
      <c r="G437" s="4">
        <f t="shared" si="30"/>
        <v>1.0484615384615386</v>
      </c>
      <c r="H437" s="4">
        <f t="shared" si="31"/>
        <v>7431076</v>
      </c>
      <c r="I437" s="5">
        <f>SQRT(SUM('r-native-multi'!$D$3:D437)/COUNTIF($A$3:A437,"&lt;&gt;0"))</f>
        <v>73.061366113636311</v>
      </c>
    </row>
    <row r="438" spans="1:9">
      <c r="A438">
        <v>436</v>
      </c>
      <c r="B438">
        <v>5</v>
      </c>
      <c r="C438">
        <v>2600</v>
      </c>
      <c r="D438">
        <v>5203</v>
      </c>
      <c r="E438" s="4">
        <f t="shared" si="28"/>
        <v>0</v>
      </c>
      <c r="F438" s="4">
        <f t="shared" si="29"/>
        <v>2603</v>
      </c>
      <c r="G438" s="4">
        <f t="shared" si="30"/>
        <v>1.0011538461538461</v>
      </c>
      <c r="H438" s="4">
        <f t="shared" si="31"/>
        <v>6775609</v>
      </c>
      <c r="I438" s="5">
        <f>SQRT(SUM('r-native-multi'!$D$3:D438)/COUNTIF($A$3:A438,"&lt;&gt;0"))</f>
        <v>73.05924766738822</v>
      </c>
    </row>
    <row r="439" spans="1:9">
      <c r="A439">
        <v>437</v>
      </c>
      <c r="B439">
        <v>5</v>
      </c>
      <c r="C439">
        <v>2600</v>
      </c>
      <c r="D439">
        <v>5338</v>
      </c>
      <c r="E439" s="4">
        <f t="shared" si="28"/>
        <v>0</v>
      </c>
      <c r="F439" s="4">
        <f t="shared" si="29"/>
        <v>2738</v>
      </c>
      <c r="G439" s="4">
        <f t="shared" si="30"/>
        <v>1.053076923076923</v>
      </c>
      <c r="H439" s="4">
        <f t="shared" si="31"/>
        <v>7496644</v>
      </c>
      <c r="I439" s="5">
        <f>SQRT(SUM('r-native-multi'!$D$3:D439)/COUNTIF($A$3:A439,"&lt;&gt;0"))</f>
        <v>73.059253091190044</v>
      </c>
    </row>
    <row r="440" spans="1:9">
      <c r="A440">
        <v>438</v>
      </c>
      <c r="B440">
        <v>5</v>
      </c>
      <c r="C440">
        <v>2600</v>
      </c>
      <c r="D440">
        <v>5281</v>
      </c>
      <c r="E440" s="4">
        <f t="shared" si="28"/>
        <v>0</v>
      </c>
      <c r="F440" s="4">
        <f t="shared" si="29"/>
        <v>2681</v>
      </c>
      <c r="G440" s="4">
        <f t="shared" si="30"/>
        <v>1.0311538461538461</v>
      </c>
      <c r="H440" s="4">
        <f t="shared" si="31"/>
        <v>7187761</v>
      </c>
      <c r="I440" s="5">
        <f>SQRT(SUM('r-native-multi'!$D$3:D440)/COUNTIF($A$3:A440,"&lt;&gt;0"))</f>
        <v>73.05836785855027</v>
      </c>
    </row>
    <row r="441" spans="1:9">
      <c r="A441">
        <v>439</v>
      </c>
      <c r="B441">
        <v>5</v>
      </c>
      <c r="C441">
        <v>2600</v>
      </c>
      <c r="D441">
        <v>5152</v>
      </c>
      <c r="E441" s="4">
        <f t="shared" si="28"/>
        <v>0</v>
      </c>
      <c r="F441" s="4">
        <f t="shared" si="29"/>
        <v>2552</v>
      </c>
      <c r="G441" s="4">
        <f t="shared" si="30"/>
        <v>0.98153846153846158</v>
      </c>
      <c r="H441" s="4">
        <f t="shared" si="31"/>
        <v>6512704</v>
      </c>
      <c r="I441" s="5">
        <f>SQRT(SUM('r-native-multi'!$D$3:D441)/COUNTIF($A$3:A441,"&lt;&gt;0"))</f>
        <v>73.055475535340676</v>
      </c>
    </row>
    <row r="442" spans="1:9">
      <c r="A442">
        <v>440</v>
      </c>
      <c r="B442">
        <v>5</v>
      </c>
      <c r="C442">
        <v>2600</v>
      </c>
      <c r="D442">
        <v>5041</v>
      </c>
      <c r="E442" s="4">
        <f t="shared" si="28"/>
        <v>0</v>
      </c>
      <c r="F442" s="4">
        <f t="shared" si="29"/>
        <v>2441</v>
      </c>
      <c r="G442" s="4">
        <f t="shared" si="30"/>
        <v>0.93884615384615389</v>
      </c>
      <c r="H442" s="4">
        <f t="shared" si="31"/>
        <v>5958481</v>
      </c>
      <c r="I442" s="5">
        <f>SQRT(SUM('r-native-multi'!$D$3:D442)/COUNTIF($A$3:A442,"&lt;&gt;0"))</f>
        <v>73.050869573568704</v>
      </c>
    </row>
    <row r="443" spans="1:9">
      <c r="A443">
        <v>441</v>
      </c>
      <c r="B443">
        <v>5</v>
      </c>
      <c r="C443">
        <v>2600</v>
      </c>
      <c r="D443">
        <v>5181</v>
      </c>
      <c r="E443" s="4">
        <f t="shared" si="28"/>
        <v>0</v>
      </c>
      <c r="F443" s="4">
        <f t="shared" si="29"/>
        <v>2581</v>
      </c>
      <c r="G443" s="4">
        <f t="shared" si="30"/>
        <v>0.99269230769230765</v>
      </c>
      <c r="H443" s="4">
        <f t="shared" si="31"/>
        <v>6661561</v>
      </c>
      <c r="I443" s="5">
        <f>SQRT(SUM('r-native-multi'!$D$3:D443)/COUNTIF($A$3:A443,"&lt;&gt;0"))</f>
        <v>73.048457187716636</v>
      </c>
    </row>
    <row r="444" spans="1:9">
      <c r="A444">
        <v>442</v>
      </c>
      <c r="B444">
        <v>5</v>
      </c>
      <c r="C444">
        <v>2600</v>
      </c>
      <c r="D444">
        <v>5299</v>
      </c>
      <c r="E444" s="4">
        <f t="shared" si="28"/>
        <v>0</v>
      </c>
      <c r="F444" s="4">
        <f t="shared" si="29"/>
        <v>2699</v>
      </c>
      <c r="G444" s="4">
        <f t="shared" si="30"/>
        <v>1.0380769230769231</v>
      </c>
      <c r="H444" s="4">
        <f t="shared" si="31"/>
        <v>7284601</v>
      </c>
      <c r="I444" s="5">
        <f>SQRT(SUM('r-native-multi'!$D$3:D444)/COUNTIF($A$3:A444,"&lt;&gt;0"))</f>
        <v>73.047883012922995</v>
      </c>
    </row>
    <row r="445" spans="1:9">
      <c r="A445">
        <v>443</v>
      </c>
      <c r="B445">
        <v>5</v>
      </c>
      <c r="C445">
        <v>2600</v>
      </c>
      <c r="D445">
        <v>5337</v>
      </c>
      <c r="E445" s="4">
        <f t="shared" si="28"/>
        <v>0</v>
      </c>
      <c r="F445" s="4">
        <f t="shared" si="29"/>
        <v>2737</v>
      </c>
      <c r="G445" s="4">
        <f t="shared" si="30"/>
        <v>1.0526923076923076</v>
      </c>
      <c r="H445" s="4">
        <f t="shared" si="31"/>
        <v>7491169</v>
      </c>
      <c r="I445" s="5">
        <f>SQRT(SUM('r-native-multi'!$D$3:D445)/COUNTIF($A$3:A445,"&lt;&gt;0"))</f>
        <v>73.047898568865847</v>
      </c>
    </row>
    <row r="446" spans="1:9">
      <c r="A446">
        <v>444</v>
      </c>
      <c r="B446">
        <v>5</v>
      </c>
      <c r="C446">
        <v>2600</v>
      </c>
      <c r="D446">
        <v>5255</v>
      </c>
      <c r="E446" s="4">
        <f t="shared" si="28"/>
        <v>0</v>
      </c>
      <c r="F446" s="4">
        <f t="shared" si="29"/>
        <v>2655</v>
      </c>
      <c r="G446" s="4">
        <f t="shared" si="30"/>
        <v>1.0211538461538461</v>
      </c>
      <c r="H446" s="4">
        <f t="shared" si="31"/>
        <v>7049025</v>
      </c>
      <c r="I446" s="5">
        <f>SQRT(SUM('r-native-multi'!$D$3:D446)/COUNTIF($A$3:A446,"&lt;&gt;0"))</f>
        <v>73.046649909924426</v>
      </c>
    </row>
    <row r="447" spans="1:9">
      <c r="A447">
        <v>445</v>
      </c>
      <c r="B447">
        <v>5</v>
      </c>
      <c r="C447">
        <v>2600</v>
      </c>
      <c r="D447">
        <v>5221</v>
      </c>
      <c r="E447" s="4">
        <f t="shared" si="28"/>
        <v>0</v>
      </c>
      <c r="F447" s="4">
        <f t="shared" si="29"/>
        <v>2621</v>
      </c>
      <c r="G447" s="4">
        <f t="shared" si="30"/>
        <v>1.0080769230769231</v>
      </c>
      <c r="H447" s="4">
        <f t="shared" si="31"/>
        <v>6869641</v>
      </c>
      <c r="I447" s="5">
        <f>SQRT(SUM('r-native-multi'!$D$3:D447)/COUNTIF($A$3:A447,"&lt;&gt;0"))</f>
        <v>73.044883846712878</v>
      </c>
    </row>
    <row r="448" spans="1:9">
      <c r="A448">
        <v>446</v>
      </c>
      <c r="B448">
        <v>5</v>
      </c>
      <c r="C448">
        <v>2600</v>
      </c>
      <c r="D448">
        <v>5383</v>
      </c>
      <c r="E448" s="4">
        <f t="shared" si="28"/>
        <v>0</v>
      </c>
      <c r="F448" s="4">
        <f t="shared" si="29"/>
        <v>2783</v>
      </c>
      <c r="G448" s="4">
        <f t="shared" si="30"/>
        <v>1.0703846153846155</v>
      </c>
      <c r="H448" s="4">
        <f t="shared" si="31"/>
        <v>7745089</v>
      </c>
      <c r="I448" s="5">
        <f>SQRT(SUM('r-native-multi'!$D$3:D448)/COUNTIF($A$3:A448,"&lt;&gt;0"))</f>
        <v>73.045612017270258</v>
      </c>
    </row>
    <row r="449" spans="1:9">
      <c r="A449">
        <v>447</v>
      </c>
      <c r="B449">
        <v>5</v>
      </c>
      <c r="C449">
        <v>2600</v>
      </c>
      <c r="D449">
        <v>5199</v>
      </c>
      <c r="E449" s="4">
        <f t="shared" si="28"/>
        <v>0</v>
      </c>
      <c r="F449" s="4">
        <f t="shared" si="29"/>
        <v>2599</v>
      </c>
      <c r="G449" s="4">
        <f t="shared" si="30"/>
        <v>0.99961538461538457</v>
      </c>
      <c r="H449" s="4">
        <f t="shared" si="31"/>
        <v>6754801</v>
      </c>
      <c r="I449" s="5">
        <f>SQRT(SUM('r-native-multi'!$D$3:D449)/COUNTIF($A$3:A449,"&lt;&gt;0"))</f>
        <v>73.043519251867835</v>
      </c>
    </row>
    <row r="450" spans="1:9">
      <c r="A450">
        <v>448</v>
      </c>
      <c r="B450">
        <v>5</v>
      </c>
      <c r="C450">
        <v>2600</v>
      </c>
      <c r="D450">
        <v>5194</v>
      </c>
      <c r="E450" s="4">
        <f t="shared" si="28"/>
        <v>0</v>
      </c>
      <c r="F450" s="4">
        <f t="shared" si="29"/>
        <v>2594</v>
      </c>
      <c r="G450" s="4">
        <f t="shared" si="30"/>
        <v>0.99769230769230766</v>
      </c>
      <c r="H450" s="4">
        <f t="shared" si="31"/>
        <v>6728836</v>
      </c>
      <c r="I450" s="5">
        <f>SQRT(SUM('r-native-multi'!$D$3:D450)/COUNTIF($A$3:A450,"&lt;&gt;0"))</f>
        <v>73.041359369684713</v>
      </c>
    </row>
    <row r="451" spans="1:9">
      <c r="A451">
        <v>449</v>
      </c>
      <c r="B451">
        <v>5</v>
      </c>
      <c r="C451">
        <v>2600</v>
      </c>
      <c r="D451">
        <v>5321</v>
      </c>
      <c r="E451" s="4">
        <f t="shared" si="28"/>
        <v>0</v>
      </c>
      <c r="F451" s="4">
        <f t="shared" si="29"/>
        <v>2721</v>
      </c>
      <c r="G451" s="4">
        <f t="shared" si="30"/>
        <v>1.0465384615384616</v>
      </c>
      <c r="H451" s="4">
        <f t="shared" si="31"/>
        <v>7403841</v>
      </c>
      <c r="I451" s="5">
        <f>SQRT(SUM('r-native-multi'!$D$3:D451)/COUNTIF($A$3:A451,"&lt;&gt;0"))</f>
        <v>73.041145313350398</v>
      </c>
    </row>
    <row r="452" spans="1:9">
      <c r="A452">
        <v>450</v>
      </c>
      <c r="B452">
        <v>5</v>
      </c>
      <c r="C452">
        <v>2600</v>
      </c>
      <c r="D452">
        <v>5268</v>
      </c>
      <c r="E452" s="4">
        <f t="shared" si="28"/>
        <v>0</v>
      </c>
      <c r="F452" s="4">
        <f t="shared" si="29"/>
        <v>2668</v>
      </c>
      <c r="G452" s="4">
        <f t="shared" si="30"/>
        <v>1.0261538461538462</v>
      </c>
      <c r="H452" s="4">
        <f t="shared" si="31"/>
        <v>7118224</v>
      </c>
      <c r="I452" s="5">
        <f>SQRT(SUM('r-native-multi'!$D$3:D452)/COUNTIF($A$3:A452,"&lt;&gt;0"))</f>
        <v>73.040125958270366</v>
      </c>
    </row>
    <row r="453" spans="1:9">
      <c r="A453">
        <v>451</v>
      </c>
      <c r="B453">
        <v>5</v>
      </c>
      <c r="C453">
        <v>8110</v>
      </c>
      <c r="D453">
        <v>5142</v>
      </c>
      <c r="E453" s="4">
        <f t="shared" si="28"/>
        <v>0</v>
      </c>
      <c r="F453" s="4">
        <f t="shared" si="29"/>
        <v>2968</v>
      </c>
      <c r="G453" s="4">
        <f t="shared" si="30"/>
        <v>0.36596794081381012</v>
      </c>
      <c r="H453" s="4">
        <f t="shared" si="31"/>
        <v>8809024</v>
      </c>
      <c r="I453" s="5">
        <f>SQRT(SUM('r-native-multi'!$D$3:D453)/COUNTIF($A$3:A453,"&lt;&gt;0"))</f>
        <v>73.037198553240955</v>
      </c>
    </row>
    <row r="454" spans="1:9">
      <c r="A454">
        <v>452</v>
      </c>
      <c r="B454">
        <v>5</v>
      </c>
      <c r="C454">
        <v>8110</v>
      </c>
      <c r="D454">
        <v>5324</v>
      </c>
      <c r="E454" s="4">
        <f t="shared" si="28"/>
        <v>0</v>
      </c>
      <c r="F454" s="4">
        <f t="shared" si="29"/>
        <v>2786</v>
      </c>
      <c r="G454" s="4">
        <f t="shared" si="30"/>
        <v>0.34352651048088778</v>
      </c>
      <c r="H454" s="4">
        <f t="shared" si="31"/>
        <v>7761796</v>
      </c>
      <c r="I454" s="5">
        <f>SQRT(SUM('r-native-multi'!$D$3:D454)/COUNTIF($A$3:A454,"&lt;&gt;0"))</f>
        <v>73.037040548172527</v>
      </c>
    </row>
    <row r="455" spans="1:9">
      <c r="A455">
        <v>453</v>
      </c>
      <c r="B455">
        <v>5</v>
      </c>
      <c r="C455">
        <v>8110</v>
      </c>
      <c r="D455">
        <v>5306</v>
      </c>
      <c r="E455" s="4">
        <f t="shared" si="28"/>
        <v>0</v>
      </c>
      <c r="F455" s="4">
        <f t="shared" si="29"/>
        <v>2804</v>
      </c>
      <c r="G455" s="4">
        <f t="shared" si="30"/>
        <v>0.34574599260172628</v>
      </c>
      <c r="H455" s="4">
        <f t="shared" si="31"/>
        <v>7862416</v>
      </c>
      <c r="I455" s="5">
        <f>SQRT(SUM('r-native-multi'!$D$3:D455)/COUNTIF($A$3:A455,"&lt;&gt;0"))</f>
        <v>73.036611219075922</v>
      </c>
    </row>
    <row r="456" spans="1:9">
      <c r="A456">
        <v>454</v>
      </c>
      <c r="B456">
        <v>5</v>
      </c>
      <c r="C456">
        <v>8110</v>
      </c>
      <c r="D456">
        <v>5162</v>
      </c>
      <c r="E456" s="4">
        <f t="shared" si="28"/>
        <v>0</v>
      </c>
      <c r="F456" s="4">
        <f t="shared" si="29"/>
        <v>2948</v>
      </c>
      <c r="G456" s="4">
        <f t="shared" si="30"/>
        <v>0.36350184956843401</v>
      </c>
      <c r="H456" s="4">
        <f t="shared" si="31"/>
        <v>8690704</v>
      </c>
      <c r="I456" s="5">
        <f>SQRT(SUM('r-native-multi'!$D$3:D456)/COUNTIF($A$3:A456,"&lt;&gt;0"))</f>
        <v>73.034012352823822</v>
      </c>
    </row>
    <row r="457" spans="1:9">
      <c r="A457">
        <v>455</v>
      </c>
      <c r="B457">
        <v>5</v>
      </c>
      <c r="C457">
        <v>8110</v>
      </c>
      <c r="D457">
        <v>5296</v>
      </c>
      <c r="E457" s="4">
        <f t="shared" si="28"/>
        <v>0</v>
      </c>
      <c r="F457" s="4">
        <f t="shared" si="29"/>
        <v>2814</v>
      </c>
      <c r="G457" s="4">
        <f t="shared" si="30"/>
        <v>0.34697903822441428</v>
      </c>
      <c r="H457" s="4">
        <f t="shared" si="31"/>
        <v>7918596</v>
      </c>
      <c r="I457" s="5">
        <f>SQRT(SUM('r-native-multi'!$D$3:D457)/COUNTIF($A$3:A457,"&lt;&gt;0"))</f>
        <v>73.03344108340724</v>
      </c>
    </row>
    <row r="458" spans="1:9">
      <c r="A458">
        <v>456</v>
      </c>
      <c r="B458">
        <v>5</v>
      </c>
      <c r="C458">
        <v>8110</v>
      </c>
      <c r="D458">
        <v>5254</v>
      </c>
      <c r="E458" s="4">
        <f t="shared" si="28"/>
        <v>0</v>
      </c>
      <c r="F458" s="4">
        <f t="shared" si="29"/>
        <v>2856</v>
      </c>
      <c r="G458" s="4">
        <f t="shared" si="30"/>
        <v>0.35215782983970406</v>
      </c>
      <c r="H458" s="4">
        <f t="shared" si="31"/>
        <v>8156736</v>
      </c>
      <c r="I458" s="5">
        <f>SQRT(SUM('r-native-multi'!$D$3:D458)/COUNTIF($A$3:A458,"&lt;&gt;0"))</f>
        <v>73.032241738381089</v>
      </c>
    </row>
    <row r="459" spans="1:9">
      <c r="A459">
        <v>457</v>
      </c>
      <c r="B459">
        <v>5</v>
      </c>
      <c r="C459">
        <v>8110</v>
      </c>
      <c r="D459">
        <v>5195</v>
      </c>
      <c r="E459" s="4">
        <f t="shared" si="28"/>
        <v>0</v>
      </c>
      <c r="F459" s="4">
        <f t="shared" si="29"/>
        <v>2915</v>
      </c>
      <c r="G459" s="4">
        <f t="shared" si="30"/>
        <v>0.35943279901356351</v>
      </c>
      <c r="H459" s="4">
        <f t="shared" si="31"/>
        <v>8497225</v>
      </c>
      <c r="I459" s="5">
        <f>SQRT(SUM('r-native-multi'!$D$3:D459)/COUNTIF($A$3:A459,"&lt;&gt;0"))</f>
        <v>73.030163727081813</v>
      </c>
    </row>
    <row r="460" spans="1:9">
      <c r="A460">
        <v>458</v>
      </c>
      <c r="B460">
        <v>5</v>
      </c>
      <c r="C460">
        <v>8110</v>
      </c>
      <c r="D460">
        <v>5078</v>
      </c>
      <c r="E460" s="4">
        <f t="shared" si="28"/>
        <v>0</v>
      </c>
      <c r="F460" s="4">
        <f t="shared" si="29"/>
        <v>3032</v>
      </c>
      <c r="G460" s="4">
        <f t="shared" si="30"/>
        <v>0.37385943279901357</v>
      </c>
      <c r="H460" s="4">
        <f t="shared" si="31"/>
        <v>9193024</v>
      </c>
      <c r="I460" s="5">
        <f>SQRT(SUM('r-native-multi'!$D$3:D460)/COUNTIF($A$3:A460,"&lt;&gt;0"))</f>
        <v>73.0263456676565</v>
      </c>
    </row>
    <row r="461" spans="1:9">
      <c r="A461">
        <v>459</v>
      </c>
      <c r="B461">
        <v>5</v>
      </c>
      <c r="C461">
        <v>8110</v>
      </c>
      <c r="D461">
        <v>5342</v>
      </c>
      <c r="E461" s="4">
        <f t="shared" si="28"/>
        <v>0</v>
      </c>
      <c r="F461" s="4">
        <f t="shared" si="29"/>
        <v>2768</v>
      </c>
      <c r="G461" s="4">
        <f t="shared" si="30"/>
        <v>0.34130702836004934</v>
      </c>
      <c r="H461" s="4">
        <f t="shared" si="31"/>
        <v>7661824</v>
      </c>
      <c r="I461" s="5">
        <f>SQRT(SUM('r-native-multi'!$D$3:D461)/COUNTIF($A$3:A461,"&lt;&gt;0"))</f>
        <v>73.0264821992441</v>
      </c>
    </row>
    <row r="462" spans="1:9">
      <c r="A462">
        <v>460</v>
      </c>
      <c r="B462">
        <v>5</v>
      </c>
      <c r="C462">
        <v>8110</v>
      </c>
      <c r="D462">
        <v>5337</v>
      </c>
      <c r="E462" s="4">
        <f t="shared" si="28"/>
        <v>0</v>
      </c>
      <c r="F462" s="4">
        <f t="shared" si="29"/>
        <v>2773</v>
      </c>
      <c r="G462" s="4">
        <f t="shared" si="30"/>
        <v>0.34192355117139334</v>
      </c>
      <c r="H462" s="4">
        <f t="shared" si="31"/>
        <v>7689529</v>
      </c>
      <c r="I462" s="5">
        <f>SQRT(SUM('r-native-multi'!$D$3:D462)/COUNTIF($A$3:A462,"&lt;&gt;0"))</f>
        <v>73.026543714984356</v>
      </c>
    </row>
    <row r="463" spans="1:9">
      <c r="A463">
        <v>461</v>
      </c>
      <c r="B463">
        <v>5</v>
      </c>
      <c r="C463">
        <v>8110</v>
      </c>
      <c r="D463">
        <v>5292</v>
      </c>
      <c r="E463" s="4">
        <f t="shared" si="28"/>
        <v>0</v>
      </c>
      <c r="F463" s="4">
        <f t="shared" si="29"/>
        <v>2818</v>
      </c>
      <c r="G463" s="4">
        <f t="shared" si="30"/>
        <v>0.3474722564734895</v>
      </c>
      <c r="H463" s="4">
        <f t="shared" si="31"/>
        <v>7941124</v>
      </c>
      <c r="I463" s="5">
        <f>SQRT(SUM('r-native-multi'!$D$3:D463)/COUNTIF($A$3:A463,"&lt;&gt;0"))</f>
        <v>73.025936616075654</v>
      </c>
    </row>
    <row r="464" spans="1:9">
      <c r="A464">
        <v>462</v>
      </c>
      <c r="B464">
        <v>5</v>
      </c>
      <c r="C464">
        <v>8110</v>
      </c>
      <c r="D464">
        <v>5164</v>
      </c>
      <c r="E464" s="4">
        <f t="shared" si="28"/>
        <v>0</v>
      </c>
      <c r="F464" s="4">
        <f t="shared" si="29"/>
        <v>2946</v>
      </c>
      <c r="G464" s="4">
        <f t="shared" si="30"/>
        <v>0.3632552404438964</v>
      </c>
      <c r="H464" s="4">
        <f t="shared" si="31"/>
        <v>8678916</v>
      </c>
      <c r="I464" s="5">
        <f>SQRT(SUM('r-native-multi'!$D$3:D464)/COUNTIF($A$3:A464,"&lt;&gt;0"))</f>
        <v>73.023435128197562</v>
      </c>
    </row>
    <row r="465" spans="1:9">
      <c r="A465">
        <v>463</v>
      </c>
      <c r="B465">
        <v>5</v>
      </c>
      <c r="C465">
        <v>8110</v>
      </c>
      <c r="D465">
        <v>5258</v>
      </c>
      <c r="E465" s="4">
        <f t="shared" si="28"/>
        <v>0</v>
      </c>
      <c r="F465" s="4">
        <f t="shared" si="29"/>
        <v>2852</v>
      </c>
      <c r="G465" s="4">
        <f t="shared" si="30"/>
        <v>0.35166461159062884</v>
      </c>
      <c r="H465" s="4">
        <f t="shared" si="31"/>
        <v>8133904</v>
      </c>
      <c r="I465" s="5">
        <f>SQRT(SUM('r-native-multi'!$D$3:D465)/COUNTIF($A$3:A465,"&lt;&gt;0"))</f>
        <v>73.022334522342362</v>
      </c>
    </row>
    <row r="466" spans="1:9">
      <c r="A466">
        <v>464</v>
      </c>
      <c r="B466">
        <v>5</v>
      </c>
      <c r="C466">
        <v>8110</v>
      </c>
      <c r="D466">
        <v>5283</v>
      </c>
      <c r="E466" s="4">
        <f t="shared" si="28"/>
        <v>0</v>
      </c>
      <c r="F466" s="4">
        <f t="shared" si="29"/>
        <v>2827</v>
      </c>
      <c r="G466" s="4">
        <f t="shared" si="30"/>
        <v>0.34858199753390873</v>
      </c>
      <c r="H466" s="4">
        <f t="shared" si="31"/>
        <v>7991929</v>
      </c>
      <c r="I466" s="5">
        <f>SQRT(SUM('r-native-multi'!$D$3:D466)/COUNTIF($A$3:A466,"&lt;&gt;0"))</f>
        <v>73.021607572100152</v>
      </c>
    </row>
    <row r="467" spans="1:9">
      <c r="A467">
        <v>465</v>
      </c>
      <c r="B467">
        <v>5</v>
      </c>
      <c r="C467">
        <v>8110</v>
      </c>
      <c r="D467">
        <v>5320</v>
      </c>
      <c r="E467" s="4">
        <f t="shared" si="28"/>
        <v>0</v>
      </c>
      <c r="F467" s="4">
        <f t="shared" si="29"/>
        <v>2790</v>
      </c>
      <c r="G467" s="4">
        <f t="shared" si="30"/>
        <v>0.344019728729963</v>
      </c>
      <c r="H467" s="4">
        <f t="shared" si="31"/>
        <v>7784100</v>
      </c>
      <c r="I467" s="5">
        <f>SQRT(SUM('r-native-multi'!$D$3:D467)/COUNTIF($A$3:A467,"&lt;&gt;0"))</f>
        <v>73.021428582697993</v>
      </c>
    </row>
    <row r="468" spans="1:9">
      <c r="A468">
        <v>466</v>
      </c>
      <c r="B468">
        <v>5</v>
      </c>
      <c r="C468">
        <v>8110</v>
      </c>
      <c r="D468">
        <v>5245</v>
      </c>
      <c r="E468" s="4">
        <f t="shared" si="28"/>
        <v>0</v>
      </c>
      <c r="F468" s="4">
        <f t="shared" si="29"/>
        <v>2865</v>
      </c>
      <c r="G468" s="4">
        <f t="shared" si="30"/>
        <v>0.35326757090012328</v>
      </c>
      <c r="H468" s="4">
        <f t="shared" si="31"/>
        <v>8208225</v>
      </c>
      <c r="I468" s="5">
        <f>SQRT(SUM('r-native-multi'!$D$3:D468)/COUNTIF($A$3:A468,"&lt;&gt;0"))</f>
        <v>73.02014831596712</v>
      </c>
    </row>
    <row r="469" spans="1:9">
      <c r="A469">
        <v>467</v>
      </c>
      <c r="B469">
        <v>5</v>
      </c>
      <c r="C469">
        <v>8110</v>
      </c>
      <c r="D469">
        <v>5151</v>
      </c>
      <c r="E469" s="4">
        <f t="shared" si="28"/>
        <v>0</v>
      </c>
      <c r="F469" s="4">
        <f t="shared" si="29"/>
        <v>2959</v>
      </c>
      <c r="G469" s="4">
        <f t="shared" si="30"/>
        <v>0.3648581997533909</v>
      </c>
      <c r="H469" s="4">
        <f t="shared" si="31"/>
        <v>8755681</v>
      </c>
      <c r="I469" s="5">
        <f>SQRT(SUM('r-native-multi'!$D$3:D469)/COUNTIF($A$3:A469,"&lt;&gt;0"))</f>
        <v>73.017495190224039</v>
      </c>
    </row>
    <row r="470" spans="1:9">
      <c r="A470">
        <v>468</v>
      </c>
      <c r="B470">
        <v>5</v>
      </c>
      <c r="C470">
        <v>8110</v>
      </c>
      <c r="D470">
        <v>5194</v>
      </c>
      <c r="E470" s="4">
        <f t="shared" si="28"/>
        <v>0</v>
      </c>
      <c r="F470" s="4">
        <f t="shared" si="29"/>
        <v>2916</v>
      </c>
      <c r="G470" s="4">
        <f t="shared" si="30"/>
        <v>0.35955610357583229</v>
      </c>
      <c r="H470" s="4">
        <f t="shared" si="31"/>
        <v>8503056</v>
      </c>
      <c r="I470" s="5">
        <f>SQRT(SUM('r-native-multi'!$D$3:D470)/COUNTIF($A$3:A470,"&lt;&gt;0"))</f>
        <v>73.015482493514227</v>
      </c>
    </row>
    <row r="471" spans="1:9">
      <c r="A471">
        <v>469</v>
      </c>
      <c r="B471">
        <v>5</v>
      </c>
      <c r="C471">
        <v>8110</v>
      </c>
      <c r="D471">
        <v>5057</v>
      </c>
      <c r="E471" s="4">
        <f t="shared" si="28"/>
        <v>0</v>
      </c>
      <c r="F471" s="4">
        <f t="shared" si="29"/>
        <v>3053</v>
      </c>
      <c r="G471" s="4">
        <f t="shared" si="30"/>
        <v>0.37644882860665846</v>
      </c>
      <c r="H471" s="4">
        <f t="shared" si="31"/>
        <v>9320809</v>
      </c>
      <c r="I471" s="5">
        <f>SQRT(SUM('r-native-multi'!$D$3:D471)/COUNTIF($A$3:A471,"&lt;&gt;0"))</f>
        <v>73.011477907130256</v>
      </c>
    </row>
    <row r="472" spans="1:9">
      <c r="A472">
        <v>470</v>
      </c>
      <c r="B472">
        <v>5</v>
      </c>
      <c r="C472">
        <v>8110</v>
      </c>
      <c r="D472">
        <v>4793</v>
      </c>
      <c r="E472" s="4">
        <f t="shared" si="28"/>
        <v>0</v>
      </c>
      <c r="F472" s="4">
        <f t="shared" si="29"/>
        <v>3317</v>
      </c>
      <c r="G472" s="4">
        <f t="shared" si="30"/>
        <v>0.40900123304562269</v>
      </c>
      <c r="H472" s="4">
        <f t="shared" si="31"/>
        <v>11002489</v>
      </c>
      <c r="I472" s="5">
        <f>SQRT(SUM('r-native-multi'!$D$3:D472)/COUNTIF($A$3:A472,"&lt;&gt;0"))</f>
        <v>73.003643161787593</v>
      </c>
    </row>
    <row r="473" spans="1:9">
      <c r="A473">
        <v>471</v>
      </c>
      <c r="B473">
        <v>5</v>
      </c>
      <c r="C473">
        <v>8110</v>
      </c>
      <c r="D473">
        <v>5175</v>
      </c>
      <c r="E473" s="4">
        <f t="shared" ref="E473:E536" si="32">IF(AND(D473&lt;=C473*1.2,D473&gt;=C473*0.8),1,0)</f>
        <v>0</v>
      </c>
      <c r="F473" s="4">
        <f t="shared" ref="F473:F536" si="33">ABS(C473-D473)</f>
        <v>2935</v>
      </c>
      <c r="G473" s="4">
        <f t="shared" ref="G473:G536" si="34">ABS(C473-D473)/C473</f>
        <v>0.36189889025893957</v>
      </c>
      <c r="H473" s="4">
        <f t="shared" ref="H473:H536" si="35">POWER(F473,2)</f>
        <v>8614225</v>
      </c>
      <c r="I473" s="5">
        <f>SQRT(SUM('r-native-multi'!$D$3:D473)/COUNTIF($A$3:A473,"&lt;&gt;0"))</f>
        <v>73.001396025391543</v>
      </c>
    </row>
    <row r="474" spans="1:9">
      <c r="A474">
        <v>472</v>
      </c>
      <c r="B474">
        <v>5</v>
      </c>
      <c r="C474">
        <v>8110</v>
      </c>
      <c r="D474">
        <v>5231</v>
      </c>
      <c r="E474" s="4">
        <f t="shared" si="32"/>
        <v>0</v>
      </c>
      <c r="F474" s="4">
        <f t="shared" si="33"/>
        <v>2879</v>
      </c>
      <c r="G474" s="4">
        <f t="shared" si="34"/>
        <v>0.35499383477188656</v>
      </c>
      <c r="H474" s="4">
        <f t="shared" si="35"/>
        <v>8288641</v>
      </c>
      <c r="I474" s="5">
        <f>SQRT(SUM('r-native-multi'!$D$3:D474)/COUNTIF($A$3:A474,"&lt;&gt;0"))</f>
        <v>72.999970977472756</v>
      </c>
    </row>
    <row r="475" spans="1:9">
      <c r="A475">
        <v>473</v>
      </c>
      <c r="B475">
        <v>5</v>
      </c>
      <c r="C475">
        <v>8110</v>
      </c>
      <c r="D475">
        <v>5222</v>
      </c>
      <c r="E475" s="4">
        <f t="shared" si="32"/>
        <v>0</v>
      </c>
      <c r="F475" s="4">
        <f t="shared" si="33"/>
        <v>2888</v>
      </c>
      <c r="G475" s="4">
        <f t="shared" si="34"/>
        <v>0.35610357583230579</v>
      </c>
      <c r="H475" s="4">
        <f t="shared" si="35"/>
        <v>8340544</v>
      </c>
      <c r="I475" s="5">
        <f>SQRT(SUM('r-native-multi'!$D$3:D475)/COUNTIF($A$3:A475,"&lt;&gt;0"))</f>
        <v>72.998421599548095</v>
      </c>
    </row>
    <row r="476" spans="1:9">
      <c r="A476">
        <v>474</v>
      </c>
      <c r="B476">
        <v>5</v>
      </c>
      <c r="C476">
        <v>8110</v>
      </c>
      <c r="D476">
        <v>5248</v>
      </c>
      <c r="E476" s="4">
        <f t="shared" si="32"/>
        <v>0</v>
      </c>
      <c r="F476" s="4">
        <f t="shared" si="33"/>
        <v>2862</v>
      </c>
      <c r="G476" s="4">
        <f t="shared" si="34"/>
        <v>0.3528976572133169</v>
      </c>
      <c r="H476" s="4">
        <f t="shared" si="35"/>
        <v>8191044</v>
      </c>
      <c r="I476" s="5">
        <f>SQRT(SUM('r-native-multi'!$D$3:D476)/COUNTIF($A$3:A476,"&lt;&gt;0"))</f>
        <v>72.997254442329151</v>
      </c>
    </row>
    <row r="477" spans="1:9">
      <c r="A477">
        <v>475</v>
      </c>
      <c r="B477">
        <v>5</v>
      </c>
      <c r="C477">
        <v>8110</v>
      </c>
      <c r="D477">
        <v>5071</v>
      </c>
      <c r="E477" s="4">
        <f t="shared" si="32"/>
        <v>0</v>
      </c>
      <c r="F477" s="4">
        <f t="shared" si="33"/>
        <v>3039</v>
      </c>
      <c r="G477" s="4">
        <f t="shared" si="34"/>
        <v>0.37472256473489518</v>
      </c>
      <c r="H477" s="4">
        <f t="shared" si="35"/>
        <v>9235521</v>
      </c>
      <c r="I477" s="5">
        <f>SQRT(SUM('r-native-multi'!$D$3:D477)/COUNTIF($A$3:A477,"&lt;&gt;0"))</f>
        <v>72.993539728562709</v>
      </c>
    </row>
    <row r="478" spans="1:9">
      <c r="A478">
        <v>476</v>
      </c>
      <c r="B478">
        <v>5</v>
      </c>
      <c r="C478">
        <v>8110</v>
      </c>
      <c r="D478">
        <v>5244</v>
      </c>
      <c r="E478" s="4">
        <f t="shared" si="32"/>
        <v>0</v>
      </c>
      <c r="F478" s="4">
        <f t="shared" si="33"/>
        <v>2866</v>
      </c>
      <c r="G478" s="4">
        <f t="shared" si="34"/>
        <v>0.35339087546239212</v>
      </c>
      <c r="H478" s="4">
        <f t="shared" si="35"/>
        <v>8213956</v>
      </c>
      <c r="I478" s="5">
        <f>SQRT(SUM('r-native-multi'!$D$3:D478)/COUNTIF($A$3:A478,"&lt;&gt;0"))</f>
        <v>72.992330090913256</v>
      </c>
    </row>
    <row r="479" spans="1:9">
      <c r="A479">
        <v>477</v>
      </c>
      <c r="B479">
        <v>5</v>
      </c>
      <c r="C479">
        <v>8110</v>
      </c>
      <c r="D479">
        <v>5301</v>
      </c>
      <c r="E479" s="4">
        <f t="shared" si="32"/>
        <v>0</v>
      </c>
      <c r="F479" s="4">
        <f t="shared" si="33"/>
        <v>2809</v>
      </c>
      <c r="G479" s="4">
        <f t="shared" si="34"/>
        <v>0.34636251541307028</v>
      </c>
      <c r="H479" s="4">
        <f t="shared" si="35"/>
        <v>7890481</v>
      </c>
      <c r="I479" s="5">
        <f>SQRT(SUM('r-native-multi'!$D$3:D479)/COUNTIF($A$3:A479,"&lt;&gt;0"))</f>
        <v>72.991944071733485</v>
      </c>
    </row>
    <row r="480" spans="1:9">
      <c r="A480">
        <v>478</v>
      </c>
      <c r="B480">
        <v>5</v>
      </c>
      <c r="C480">
        <v>8110</v>
      </c>
      <c r="D480">
        <v>5186</v>
      </c>
      <c r="E480" s="4">
        <f t="shared" si="32"/>
        <v>0</v>
      </c>
      <c r="F480" s="4">
        <f t="shared" si="33"/>
        <v>2924</v>
      </c>
      <c r="G480" s="4">
        <f t="shared" si="34"/>
        <v>0.36054254007398273</v>
      </c>
      <c r="H480" s="4">
        <f t="shared" si="35"/>
        <v>8549776</v>
      </c>
      <c r="I480" s="5">
        <f>SQRT(SUM('r-native-multi'!$D$3:D480)/COUNTIF($A$3:A480,"&lt;&gt;0"))</f>
        <v>72.989911608747136</v>
      </c>
    </row>
    <row r="481" spans="1:9">
      <c r="A481">
        <v>479</v>
      </c>
      <c r="B481">
        <v>5</v>
      </c>
      <c r="C481">
        <v>8110</v>
      </c>
      <c r="D481">
        <v>5255</v>
      </c>
      <c r="E481" s="4">
        <f t="shared" si="32"/>
        <v>0</v>
      </c>
      <c r="F481" s="4">
        <f t="shared" si="33"/>
        <v>2855</v>
      </c>
      <c r="G481" s="4">
        <f t="shared" si="34"/>
        <v>0.35203452527743528</v>
      </c>
      <c r="H481" s="4">
        <f t="shared" si="35"/>
        <v>8151025</v>
      </c>
      <c r="I481" s="5">
        <f>SQRT(SUM('r-native-multi'!$D$3:D481)/COUNTIF($A$3:A481,"&lt;&gt;0"))</f>
        <v>72.988874377407697</v>
      </c>
    </row>
    <row r="482" spans="1:9">
      <c r="A482">
        <v>480</v>
      </c>
      <c r="B482">
        <v>5</v>
      </c>
      <c r="C482">
        <v>8110</v>
      </c>
      <c r="D482">
        <v>5250</v>
      </c>
      <c r="E482" s="4">
        <f t="shared" si="32"/>
        <v>0</v>
      </c>
      <c r="F482" s="4">
        <f t="shared" si="33"/>
        <v>2860</v>
      </c>
      <c r="G482" s="4">
        <f t="shared" si="34"/>
        <v>0.35265104808877928</v>
      </c>
      <c r="H482" s="4">
        <f t="shared" si="35"/>
        <v>8179600</v>
      </c>
      <c r="I482" s="5">
        <f>SQRT(SUM('r-native-multi'!$D$3:D482)/COUNTIF($A$3:A482,"&lt;&gt;0"))</f>
        <v>72.987770094265343</v>
      </c>
    </row>
    <row r="483" spans="1:9">
      <c r="A483">
        <v>481</v>
      </c>
      <c r="B483">
        <v>5</v>
      </c>
      <c r="C483">
        <v>8110</v>
      </c>
      <c r="D483">
        <v>5199</v>
      </c>
      <c r="E483" s="4">
        <f t="shared" si="32"/>
        <v>0</v>
      </c>
      <c r="F483" s="4">
        <f t="shared" si="33"/>
        <v>2911</v>
      </c>
      <c r="G483" s="4">
        <f t="shared" si="34"/>
        <v>0.35893958076448829</v>
      </c>
      <c r="H483" s="4">
        <f t="shared" si="35"/>
        <v>8473921</v>
      </c>
      <c r="I483" s="5">
        <f>SQRT(SUM('r-native-multi'!$D$3:D483)/COUNTIF($A$3:A483,"&lt;&gt;0"))</f>
        <v>72.985944023133825</v>
      </c>
    </row>
    <row r="484" spans="1:9">
      <c r="A484">
        <v>482</v>
      </c>
      <c r="B484">
        <v>5</v>
      </c>
      <c r="C484">
        <v>8110</v>
      </c>
      <c r="D484">
        <v>5429</v>
      </c>
      <c r="E484" s="4">
        <f t="shared" si="32"/>
        <v>0</v>
      </c>
      <c r="F484" s="4">
        <f t="shared" si="33"/>
        <v>2681</v>
      </c>
      <c r="G484" s="4">
        <f t="shared" si="34"/>
        <v>0.33057953144266339</v>
      </c>
      <c r="H484" s="4">
        <f t="shared" si="35"/>
        <v>7187761</v>
      </c>
      <c r="I484" s="5">
        <f>SQRT(SUM('r-native-multi'!$D$3:D484)/COUNTIF($A$3:A484,"&lt;&gt;0"))</f>
        <v>72.987394466697765</v>
      </c>
    </row>
    <row r="485" spans="1:9">
      <c r="A485">
        <v>483</v>
      </c>
      <c r="B485">
        <v>5</v>
      </c>
      <c r="C485">
        <v>8110</v>
      </c>
      <c r="D485">
        <v>5244</v>
      </c>
      <c r="E485" s="4">
        <f t="shared" si="32"/>
        <v>0</v>
      </c>
      <c r="F485" s="4">
        <f t="shared" si="33"/>
        <v>2866</v>
      </c>
      <c r="G485" s="4">
        <f t="shared" si="34"/>
        <v>0.35339087546239212</v>
      </c>
      <c r="H485" s="4">
        <f t="shared" si="35"/>
        <v>8213956</v>
      </c>
      <c r="I485" s="5">
        <f>SQRT(SUM('r-native-multi'!$D$3:D485)/COUNTIF($A$3:A485,"&lt;&gt;0"))</f>
        <v>72.986214983651195</v>
      </c>
    </row>
    <row r="486" spans="1:9">
      <c r="A486">
        <v>484</v>
      </c>
      <c r="B486">
        <v>5</v>
      </c>
      <c r="C486">
        <v>8110</v>
      </c>
      <c r="D486">
        <v>5318</v>
      </c>
      <c r="E486" s="4">
        <f t="shared" si="32"/>
        <v>0</v>
      </c>
      <c r="F486" s="4">
        <f t="shared" si="33"/>
        <v>2792</v>
      </c>
      <c r="G486" s="4">
        <f t="shared" si="34"/>
        <v>0.34426633785450061</v>
      </c>
      <c r="H486" s="4">
        <f t="shared" si="35"/>
        <v>7795264</v>
      </c>
      <c r="I486" s="5">
        <f>SQRT(SUM('r-native-multi'!$D$3:D486)/COUNTIF($A$3:A486,"&lt;&gt;0"))</f>
        <v>72.986087772016276</v>
      </c>
    </row>
    <row r="487" spans="1:9">
      <c r="A487">
        <v>485</v>
      </c>
      <c r="B487">
        <v>5</v>
      </c>
      <c r="C487">
        <v>8110</v>
      </c>
      <c r="D487">
        <v>4902</v>
      </c>
      <c r="E487" s="4">
        <f t="shared" si="32"/>
        <v>0</v>
      </c>
      <c r="F487" s="4">
        <f t="shared" si="33"/>
        <v>3208</v>
      </c>
      <c r="G487" s="4">
        <f t="shared" si="34"/>
        <v>0.39556103575832308</v>
      </c>
      <c r="H487" s="4">
        <f t="shared" si="35"/>
        <v>10291264</v>
      </c>
      <c r="I487" s="5">
        <f>SQRT(SUM('r-native-multi'!$D$3:D487)/COUNTIF($A$3:A487,"&lt;&gt;0"))</f>
        <v>72.980084841723453</v>
      </c>
    </row>
    <row r="488" spans="1:9">
      <c r="A488">
        <v>486</v>
      </c>
      <c r="B488">
        <v>5</v>
      </c>
      <c r="C488">
        <v>8110</v>
      </c>
      <c r="D488">
        <v>5077</v>
      </c>
      <c r="E488" s="4">
        <f t="shared" si="32"/>
        <v>0</v>
      </c>
      <c r="F488" s="4">
        <f t="shared" si="33"/>
        <v>3033</v>
      </c>
      <c r="G488" s="4">
        <f t="shared" si="34"/>
        <v>0.37398273736128235</v>
      </c>
      <c r="H488" s="4">
        <f t="shared" si="35"/>
        <v>9199089</v>
      </c>
      <c r="I488" s="5">
        <f>SQRT(SUM('r-native-multi'!$D$3:D488)/COUNTIF($A$3:A488,"&lt;&gt;0"))</f>
        <v>72.976573274672063</v>
      </c>
    </row>
    <row r="489" spans="1:9">
      <c r="A489">
        <v>487</v>
      </c>
      <c r="B489">
        <v>5</v>
      </c>
      <c r="C489">
        <v>8110</v>
      </c>
      <c r="D489">
        <v>5233</v>
      </c>
      <c r="E489" s="4">
        <f t="shared" si="32"/>
        <v>0</v>
      </c>
      <c r="F489" s="4">
        <f t="shared" si="33"/>
        <v>2877</v>
      </c>
      <c r="G489" s="4">
        <f t="shared" si="34"/>
        <v>0.35474722564734895</v>
      </c>
      <c r="H489" s="4">
        <f t="shared" si="35"/>
        <v>8277129</v>
      </c>
      <c r="I489" s="5">
        <f>SQRT(SUM('r-native-multi'!$D$3:D489)/COUNTIF($A$3:A489,"&lt;&gt;0"))</f>
        <v>72.975270768508736</v>
      </c>
    </row>
    <row r="490" spans="1:9">
      <c r="A490">
        <v>488</v>
      </c>
      <c r="B490">
        <v>5</v>
      </c>
      <c r="C490">
        <v>8110</v>
      </c>
      <c r="D490">
        <v>5154</v>
      </c>
      <c r="E490" s="4">
        <f t="shared" si="32"/>
        <v>0</v>
      </c>
      <c r="F490" s="4">
        <f t="shared" si="33"/>
        <v>2956</v>
      </c>
      <c r="G490" s="4">
        <f t="shared" si="34"/>
        <v>0.36448828606658445</v>
      </c>
      <c r="H490" s="4">
        <f t="shared" si="35"/>
        <v>8737936</v>
      </c>
      <c r="I490" s="5">
        <f>SQRT(SUM('r-native-multi'!$D$3:D490)/COUNTIF($A$3:A490,"&lt;&gt;0"))</f>
        <v>72.97286437043725</v>
      </c>
    </row>
    <row r="491" spans="1:9">
      <c r="A491">
        <v>489</v>
      </c>
      <c r="B491">
        <v>5</v>
      </c>
      <c r="C491">
        <v>8110</v>
      </c>
      <c r="D491">
        <v>5159</v>
      </c>
      <c r="E491" s="4">
        <f t="shared" si="32"/>
        <v>0</v>
      </c>
      <c r="F491" s="4">
        <f t="shared" si="33"/>
        <v>2951</v>
      </c>
      <c r="G491" s="4">
        <f t="shared" si="34"/>
        <v>0.36387176325524045</v>
      </c>
      <c r="H491" s="4">
        <f t="shared" si="35"/>
        <v>8708401</v>
      </c>
      <c r="I491" s="5">
        <f>SQRT(SUM('r-native-multi'!$D$3:D491)/COUNTIF($A$3:A491,"&lt;&gt;0"))</f>
        <v>72.970537797819929</v>
      </c>
    </row>
    <row r="492" spans="1:9">
      <c r="A492">
        <v>490</v>
      </c>
      <c r="B492">
        <v>5</v>
      </c>
      <c r="C492">
        <v>8110</v>
      </c>
      <c r="D492">
        <v>4454</v>
      </c>
      <c r="E492" s="4">
        <f t="shared" si="32"/>
        <v>0</v>
      </c>
      <c r="F492" s="4">
        <f t="shared" si="33"/>
        <v>3656</v>
      </c>
      <c r="G492" s="4">
        <f t="shared" si="34"/>
        <v>0.45080147965474721</v>
      </c>
      <c r="H492" s="4">
        <f t="shared" si="35"/>
        <v>13366336</v>
      </c>
      <c r="I492" s="5">
        <f>SQRT(SUM('r-native-multi'!$D$3:D492)/COUNTIF($A$3:A492,"&lt;&gt;0"))</f>
        <v>72.958361062866473</v>
      </c>
    </row>
    <row r="493" spans="1:9">
      <c r="A493">
        <v>491</v>
      </c>
      <c r="B493">
        <v>5</v>
      </c>
      <c r="C493">
        <v>8110</v>
      </c>
      <c r="D493">
        <v>5247</v>
      </c>
      <c r="E493" s="4">
        <f t="shared" si="32"/>
        <v>0</v>
      </c>
      <c r="F493" s="4">
        <f t="shared" si="33"/>
        <v>2863</v>
      </c>
      <c r="G493" s="4">
        <f t="shared" si="34"/>
        <v>0.35302096177558567</v>
      </c>
      <c r="H493" s="4">
        <f t="shared" si="35"/>
        <v>8196769</v>
      </c>
      <c r="I493" s="5">
        <f>SQRT(SUM('r-native-multi'!$D$3:D493)/COUNTIF($A$3:A493,"&lt;&gt;0"))</f>
        <v>72.957301353421315</v>
      </c>
    </row>
    <row r="494" spans="1:9">
      <c r="A494">
        <v>492</v>
      </c>
      <c r="B494">
        <v>5</v>
      </c>
      <c r="C494">
        <v>8110</v>
      </c>
      <c r="D494">
        <v>5172</v>
      </c>
      <c r="E494" s="4">
        <f t="shared" si="32"/>
        <v>0</v>
      </c>
      <c r="F494" s="4">
        <f t="shared" si="33"/>
        <v>2938</v>
      </c>
      <c r="G494" s="4">
        <f t="shared" si="34"/>
        <v>0.36226880394574601</v>
      </c>
      <c r="H494" s="4">
        <f t="shared" si="35"/>
        <v>8631844</v>
      </c>
      <c r="I494" s="5">
        <f>SQRT(SUM('r-native-multi'!$D$3:D494)/COUNTIF($A$3:A494,"&lt;&gt;0"))</f>
        <v>72.955201199872107</v>
      </c>
    </row>
    <row r="495" spans="1:9">
      <c r="A495">
        <v>493</v>
      </c>
      <c r="B495">
        <v>5</v>
      </c>
      <c r="C495">
        <v>8110</v>
      </c>
      <c r="D495">
        <v>5363</v>
      </c>
      <c r="E495" s="4">
        <f t="shared" si="32"/>
        <v>0</v>
      </c>
      <c r="F495" s="4">
        <f t="shared" si="33"/>
        <v>2747</v>
      </c>
      <c r="G495" s="4">
        <f t="shared" si="34"/>
        <v>0.33871763255240445</v>
      </c>
      <c r="H495" s="4">
        <f t="shared" si="35"/>
        <v>7546009</v>
      </c>
      <c r="I495" s="5">
        <f>SQRT(SUM('r-native-multi'!$D$3:D495)/COUNTIF($A$3:A495,"&lt;&gt;0"))</f>
        <v>72.955764751989733</v>
      </c>
    </row>
    <row r="496" spans="1:9">
      <c r="A496">
        <v>494</v>
      </c>
      <c r="B496">
        <v>5</v>
      </c>
      <c r="C496">
        <v>8110</v>
      </c>
      <c r="D496">
        <v>5138</v>
      </c>
      <c r="E496" s="4">
        <f t="shared" si="32"/>
        <v>0</v>
      </c>
      <c r="F496" s="4">
        <f t="shared" si="33"/>
        <v>2972</v>
      </c>
      <c r="G496" s="4">
        <f t="shared" si="34"/>
        <v>0.36646115906288534</v>
      </c>
      <c r="H496" s="4">
        <f t="shared" si="35"/>
        <v>8832784</v>
      </c>
      <c r="I496" s="5">
        <f>SQRT(SUM('r-native-multi'!$D$3:D496)/COUNTIF($A$3:A496,"&lt;&gt;0"))</f>
        <v>72.953204456595529</v>
      </c>
    </row>
    <row r="497" spans="1:9">
      <c r="A497">
        <v>495</v>
      </c>
      <c r="B497">
        <v>5</v>
      </c>
      <c r="C497">
        <v>8110</v>
      </c>
      <c r="D497">
        <v>5215</v>
      </c>
      <c r="E497" s="4">
        <f t="shared" si="32"/>
        <v>0</v>
      </c>
      <c r="F497" s="4">
        <f t="shared" si="33"/>
        <v>2895</v>
      </c>
      <c r="G497" s="4">
        <f t="shared" si="34"/>
        <v>0.3569667077681874</v>
      </c>
      <c r="H497" s="4">
        <f t="shared" si="35"/>
        <v>8381025</v>
      </c>
      <c r="I497" s="5">
        <f>SQRT(SUM('r-native-multi'!$D$3:D497)/COUNTIF($A$3:A497,"&lt;&gt;0"))</f>
        <v>72.951720578431434</v>
      </c>
    </row>
    <row r="498" spans="1:9">
      <c r="A498">
        <v>496</v>
      </c>
      <c r="B498">
        <v>5</v>
      </c>
      <c r="C498">
        <v>8110</v>
      </c>
      <c r="D498">
        <v>5198</v>
      </c>
      <c r="E498" s="4">
        <f t="shared" si="32"/>
        <v>0</v>
      </c>
      <c r="F498" s="4">
        <f t="shared" si="33"/>
        <v>2912</v>
      </c>
      <c r="G498" s="4">
        <f t="shared" si="34"/>
        <v>0.35906288532675706</v>
      </c>
      <c r="H498" s="4">
        <f t="shared" si="35"/>
        <v>8479744</v>
      </c>
      <c r="I498" s="5">
        <f>SQRT(SUM('r-native-multi'!$D$3:D498)/COUNTIF($A$3:A498,"&lt;&gt;0"))</f>
        <v>72.950007738397517</v>
      </c>
    </row>
    <row r="499" spans="1:9">
      <c r="A499">
        <v>497</v>
      </c>
      <c r="B499">
        <v>5</v>
      </c>
      <c r="C499">
        <v>8110</v>
      </c>
      <c r="D499">
        <v>5042</v>
      </c>
      <c r="E499" s="4">
        <f t="shared" si="32"/>
        <v>0</v>
      </c>
      <c r="F499" s="4">
        <f t="shared" si="33"/>
        <v>3068</v>
      </c>
      <c r="G499" s="4">
        <f t="shared" si="34"/>
        <v>0.37829839704069051</v>
      </c>
      <c r="H499" s="4">
        <f t="shared" si="35"/>
        <v>9412624</v>
      </c>
      <c r="I499" s="5">
        <f>SQRT(SUM('r-native-multi'!$D$3:D499)/COUNTIF($A$3:A499,"&lt;&gt;0"))</f>
        <v>72.946150310146066</v>
      </c>
    </row>
    <row r="500" spans="1:9">
      <c r="A500">
        <v>498</v>
      </c>
      <c r="B500">
        <v>5</v>
      </c>
      <c r="C500">
        <v>8110</v>
      </c>
      <c r="D500">
        <v>5276</v>
      </c>
      <c r="E500" s="4">
        <f t="shared" si="32"/>
        <v>0</v>
      </c>
      <c r="F500" s="4">
        <f t="shared" si="33"/>
        <v>2834</v>
      </c>
      <c r="G500" s="4">
        <f t="shared" si="34"/>
        <v>0.34944512946979039</v>
      </c>
      <c r="H500" s="4">
        <f t="shared" si="35"/>
        <v>8031556</v>
      </c>
      <c r="I500" s="5">
        <f>SQRT(SUM('r-native-multi'!$D$3:D500)/COUNTIF($A$3:A500,"&lt;&gt;0"))</f>
        <v>72.945528998035329</v>
      </c>
    </row>
    <row r="501" spans="1:9">
      <c r="A501">
        <v>499</v>
      </c>
      <c r="B501">
        <v>5</v>
      </c>
      <c r="C501">
        <v>8110</v>
      </c>
      <c r="D501">
        <v>5169</v>
      </c>
      <c r="E501" s="4">
        <f t="shared" si="32"/>
        <v>0</v>
      </c>
      <c r="F501" s="4">
        <f t="shared" si="33"/>
        <v>2941</v>
      </c>
      <c r="G501" s="4">
        <f t="shared" si="34"/>
        <v>0.3626387176325524</v>
      </c>
      <c r="H501" s="4">
        <f t="shared" si="35"/>
        <v>8649481</v>
      </c>
      <c r="I501" s="5">
        <f>SQRT(SUM('r-native-multi'!$D$3:D501)/COUNTIF($A$3:A501,"&lt;&gt;0"))</f>
        <v>72.943440356086597</v>
      </c>
    </row>
    <row r="502" spans="1:9">
      <c r="A502">
        <v>500</v>
      </c>
      <c r="B502">
        <v>5</v>
      </c>
      <c r="C502">
        <v>8110</v>
      </c>
      <c r="D502">
        <v>5149</v>
      </c>
      <c r="E502" s="4">
        <f t="shared" si="32"/>
        <v>0</v>
      </c>
      <c r="F502" s="4">
        <f t="shared" si="33"/>
        <v>2961</v>
      </c>
      <c r="G502" s="4">
        <f t="shared" si="34"/>
        <v>0.36510480887792851</v>
      </c>
      <c r="H502" s="4">
        <f t="shared" si="35"/>
        <v>8767521</v>
      </c>
      <c r="I502" s="5">
        <f>SQRT(SUM('r-native-multi'!$D$3:D502)/COUNTIF($A$3:A502,"&lt;&gt;0"))</f>
        <v>72.941085815882943</v>
      </c>
    </row>
    <row r="503" spans="1:9">
      <c r="A503">
        <v>501</v>
      </c>
      <c r="B503">
        <v>5</v>
      </c>
      <c r="C503">
        <v>8110</v>
      </c>
      <c r="D503">
        <v>5345</v>
      </c>
      <c r="E503" s="4">
        <f t="shared" si="32"/>
        <v>0</v>
      </c>
      <c r="F503" s="4">
        <f t="shared" si="33"/>
        <v>2765</v>
      </c>
      <c r="G503" s="4">
        <f t="shared" si="34"/>
        <v>0.34093711467324289</v>
      </c>
      <c r="H503" s="4">
        <f t="shared" si="35"/>
        <v>7645225</v>
      </c>
      <c r="I503" s="5">
        <f>SQRT(SUM('r-native-multi'!$D$3:D503)/COUNTIF($A$3:A503,"&lt;&gt;0"))</f>
        <v>72.941422373054877</v>
      </c>
    </row>
    <row r="504" spans="1:9">
      <c r="A504">
        <v>502</v>
      </c>
      <c r="B504">
        <v>5</v>
      </c>
      <c r="C504">
        <v>8110</v>
      </c>
      <c r="D504">
        <v>5326</v>
      </c>
      <c r="E504" s="4">
        <f t="shared" si="32"/>
        <v>0</v>
      </c>
      <c r="F504" s="4">
        <f t="shared" si="33"/>
        <v>2784</v>
      </c>
      <c r="G504" s="4">
        <f t="shared" si="34"/>
        <v>0.34327990135635017</v>
      </c>
      <c r="H504" s="4">
        <f t="shared" si="35"/>
        <v>7750656</v>
      </c>
      <c r="I504" s="5">
        <f>SQRT(SUM('r-native-multi'!$D$3:D504)/COUNTIF($A$3:A504,"&lt;&gt;0"))</f>
        <v>72.941498143336915</v>
      </c>
    </row>
    <row r="505" spans="1:9">
      <c r="A505">
        <v>503</v>
      </c>
      <c r="B505">
        <v>5</v>
      </c>
      <c r="C505">
        <v>8110</v>
      </c>
      <c r="D505">
        <v>5320</v>
      </c>
      <c r="E505" s="4">
        <f t="shared" si="32"/>
        <v>0</v>
      </c>
      <c r="F505" s="4">
        <f t="shared" si="33"/>
        <v>2790</v>
      </c>
      <c r="G505" s="4">
        <f t="shared" si="34"/>
        <v>0.344019728729963</v>
      </c>
      <c r="H505" s="4">
        <f t="shared" si="35"/>
        <v>7784100</v>
      </c>
      <c r="I505" s="5">
        <f>SQRT(SUM('r-native-multi'!$D$3:D505)/COUNTIF($A$3:A505,"&lt;&gt;0"))</f>
        <v>72.941491845206826</v>
      </c>
    </row>
    <row r="506" spans="1:9">
      <c r="A506">
        <v>504</v>
      </c>
      <c r="B506">
        <v>5</v>
      </c>
      <c r="C506">
        <v>8110</v>
      </c>
      <c r="D506">
        <v>5329</v>
      </c>
      <c r="E506" s="4">
        <f t="shared" si="32"/>
        <v>0</v>
      </c>
      <c r="F506" s="4">
        <f t="shared" si="33"/>
        <v>2781</v>
      </c>
      <c r="G506" s="4">
        <f t="shared" si="34"/>
        <v>0.34290998766954378</v>
      </c>
      <c r="H506" s="4">
        <f t="shared" si="35"/>
        <v>7733961</v>
      </c>
      <c r="I506" s="5">
        <f>SQRT(SUM('r-native-multi'!$D$3:D506)/COUNTIF($A$3:A506,"&lt;&gt;0"))</f>
        <v>72.941607979281443</v>
      </c>
    </row>
    <row r="507" spans="1:9">
      <c r="A507">
        <v>505</v>
      </c>
      <c r="B507">
        <v>5</v>
      </c>
      <c r="C507">
        <v>8110</v>
      </c>
      <c r="D507">
        <v>5415</v>
      </c>
      <c r="E507" s="4">
        <f t="shared" si="32"/>
        <v>0</v>
      </c>
      <c r="F507" s="4">
        <f t="shared" si="33"/>
        <v>2695</v>
      </c>
      <c r="G507" s="4">
        <f t="shared" si="34"/>
        <v>0.33230579531442661</v>
      </c>
      <c r="H507" s="4">
        <f t="shared" si="35"/>
        <v>7263025</v>
      </c>
      <c r="I507" s="5">
        <f>SQRT(SUM('r-native-multi'!$D$3:D507)/COUNTIF($A$3:A507,"&lt;&gt;0"))</f>
        <v>72.94289099380866</v>
      </c>
    </row>
    <row r="508" spans="1:9">
      <c r="A508">
        <v>506</v>
      </c>
      <c r="B508">
        <v>5</v>
      </c>
      <c r="C508">
        <v>8110</v>
      </c>
      <c r="D508">
        <v>5366</v>
      </c>
      <c r="E508" s="4">
        <f t="shared" si="32"/>
        <v>0</v>
      </c>
      <c r="F508" s="4">
        <f t="shared" si="33"/>
        <v>2744</v>
      </c>
      <c r="G508" s="4">
        <f t="shared" si="34"/>
        <v>0.338347718865598</v>
      </c>
      <c r="H508" s="4">
        <f t="shared" si="35"/>
        <v>7529536</v>
      </c>
      <c r="I508" s="5">
        <f>SQRT(SUM('r-native-multi'!$D$3:D508)/COUNTIF($A$3:A508,"&lt;&gt;0"))</f>
        <v>72.943505130418998</v>
      </c>
    </row>
    <row r="509" spans="1:9">
      <c r="A509">
        <v>507</v>
      </c>
      <c r="B509">
        <v>5</v>
      </c>
      <c r="C509">
        <v>8110</v>
      </c>
      <c r="D509">
        <v>5372</v>
      </c>
      <c r="E509" s="4">
        <f t="shared" si="32"/>
        <v>0</v>
      </c>
      <c r="F509" s="4">
        <f t="shared" si="33"/>
        <v>2738</v>
      </c>
      <c r="G509" s="4">
        <f t="shared" si="34"/>
        <v>0.33760789149198522</v>
      </c>
      <c r="H509" s="4">
        <f t="shared" si="35"/>
        <v>7496644</v>
      </c>
      <c r="I509" s="5">
        <f>SQRT(SUM('r-native-multi'!$D$3:D509)/COUNTIF($A$3:A509,"&lt;&gt;0"))</f>
        <v>72.94419795829613</v>
      </c>
    </row>
    <row r="510" spans="1:9">
      <c r="A510">
        <v>508</v>
      </c>
      <c r="B510">
        <v>5</v>
      </c>
      <c r="C510">
        <v>8110</v>
      </c>
      <c r="D510">
        <v>5303</v>
      </c>
      <c r="E510" s="4">
        <f t="shared" si="32"/>
        <v>0</v>
      </c>
      <c r="F510" s="4">
        <f t="shared" si="33"/>
        <v>2807</v>
      </c>
      <c r="G510" s="4">
        <f t="shared" si="34"/>
        <v>0.34611590628853267</v>
      </c>
      <c r="H510" s="4">
        <f t="shared" si="35"/>
        <v>7879249</v>
      </c>
      <c r="I510" s="5">
        <f>SQRT(SUM('r-native-multi'!$D$3:D510)/COUNTIF($A$3:A510,"&lt;&gt;0"))</f>
        <v>72.94395702278382</v>
      </c>
    </row>
    <row r="511" spans="1:9">
      <c r="A511">
        <v>509</v>
      </c>
      <c r="B511">
        <v>5</v>
      </c>
      <c r="C511">
        <v>8110</v>
      </c>
      <c r="D511">
        <v>5102</v>
      </c>
      <c r="E511" s="4">
        <f t="shared" si="32"/>
        <v>0</v>
      </c>
      <c r="F511" s="4">
        <f t="shared" si="33"/>
        <v>3008</v>
      </c>
      <c r="G511" s="4">
        <f t="shared" si="34"/>
        <v>0.37090012330456229</v>
      </c>
      <c r="H511" s="4">
        <f t="shared" si="35"/>
        <v>9048064</v>
      </c>
      <c r="I511" s="5">
        <f>SQRT(SUM('r-native-multi'!$D$3:D511)/COUNTIF($A$3:A511,"&lt;&gt;0"))</f>
        <v>72.941010156645802</v>
      </c>
    </row>
    <row r="512" spans="1:9">
      <c r="A512">
        <v>510</v>
      </c>
      <c r="B512">
        <v>5</v>
      </c>
      <c r="C512">
        <v>8110</v>
      </c>
      <c r="D512">
        <v>5141</v>
      </c>
      <c r="E512" s="4">
        <f t="shared" si="32"/>
        <v>0</v>
      </c>
      <c r="F512" s="4">
        <f t="shared" si="33"/>
        <v>2969</v>
      </c>
      <c r="G512" s="4">
        <f t="shared" si="34"/>
        <v>0.3660912453760789</v>
      </c>
      <c r="H512" s="4">
        <f t="shared" si="35"/>
        <v>8814961</v>
      </c>
      <c r="I512" s="5">
        <f>SQRT(SUM('r-native-multi'!$D$3:D512)/COUNTIF($A$3:A512,"&lt;&gt;0"))</f>
        <v>72.938598942441132</v>
      </c>
    </row>
    <row r="513" spans="1:9">
      <c r="A513">
        <v>511</v>
      </c>
      <c r="B513">
        <v>5</v>
      </c>
      <c r="C513">
        <v>8110</v>
      </c>
      <c r="D513">
        <v>5148</v>
      </c>
      <c r="E513" s="4">
        <f t="shared" si="32"/>
        <v>0</v>
      </c>
      <c r="F513" s="4">
        <f t="shared" si="33"/>
        <v>2962</v>
      </c>
      <c r="G513" s="4">
        <f t="shared" si="34"/>
        <v>0.36522811344019729</v>
      </c>
      <c r="H513" s="4">
        <f t="shared" si="35"/>
        <v>8773444</v>
      </c>
      <c r="I513" s="5">
        <f>SQRT(SUM('r-native-multi'!$D$3:D513)/COUNTIF($A$3:A513,"&lt;&gt;0"))</f>
        <v>72.936290994478952</v>
      </c>
    </row>
    <row r="514" spans="1:9">
      <c r="A514">
        <v>512</v>
      </c>
      <c r="B514">
        <v>5</v>
      </c>
      <c r="C514">
        <v>8110</v>
      </c>
      <c r="D514">
        <v>5227</v>
      </c>
      <c r="E514" s="4">
        <f t="shared" si="32"/>
        <v>0</v>
      </c>
      <c r="F514" s="4">
        <f t="shared" si="33"/>
        <v>2883</v>
      </c>
      <c r="G514" s="4">
        <f t="shared" si="34"/>
        <v>0.35548705302096179</v>
      </c>
      <c r="H514" s="4">
        <f t="shared" si="35"/>
        <v>8311689</v>
      </c>
      <c r="I514" s="5">
        <f>SQRT(SUM('r-native-multi'!$D$3:D514)/COUNTIF($A$3:A514,"&lt;&gt;0"))</f>
        <v>72.935049766041843</v>
      </c>
    </row>
    <row r="515" spans="1:9">
      <c r="A515">
        <v>513</v>
      </c>
      <c r="B515">
        <v>5</v>
      </c>
      <c r="C515">
        <v>8110</v>
      </c>
      <c r="D515">
        <v>5248</v>
      </c>
      <c r="E515" s="4">
        <f t="shared" si="32"/>
        <v>0</v>
      </c>
      <c r="F515" s="4">
        <f t="shared" si="33"/>
        <v>2862</v>
      </c>
      <c r="G515" s="4">
        <f t="shared" si="34"/>
        <v>0.3528976572133169</v>
      </c>
      <c r="H515" s="4">
        <f t="shared" si="35"/>
        <v>8191044</v>
      </c>
      <c r="I515" s="5">
        <f>SQRT(SUM('r-native-multi'!$D$3:D515)/COUNTIF($A$3:A515,"&lt;&gt;0"))</f>
        <v>72.934093990923088</v>
      </c>
    </row>
    <row r="516" spans="1:9">
      <c r="A516">
        <v>514</v>
      </c>
      <c r="B516">
        <v>5</v>
      </c>
      <c r="C516">
        <v>8110</v>
      </c>
      <c r="D516">
        <v>5287</v>
      </c>
      <c r="E516" s="4">
        <f t="shared" si="32"/>
        <v>0</v>
      </c>
      <c r="F516" s="4">
        <f t="shared" si="33"/>
        <v>2823</v>
      </c>
      <c r="G516" s="4">
        <f t="shared" si="34"/>
        <v>0.34808877928483356</v>
      </c>
      <c r="H516" s="4">
        <f t="shared" si="35"/>
        <v>7969329</v>
      </c>
      <c r="I516" s="5">
        <f>SQRT(SUM('r-native-multi'!$D$3:D516)/COUNTIF($A$3:A516,"&lt;&gt;0"))</f>
        <v>72.93366209198507</v>
      </c>
    </row>
    <row r="517" spans="1:9">
      <c r="A517">
        <v>515</v>
      </c>
      <c r="B517">
        <v>5</v>
      </c>
      <c r="C517">
        <v>8110</v>
      </c>
      <c r="D517">
        <v>4771</v>
      </c>
      <c r="E517" s="4">
        <f t="shared" si="32"/>
        <v>0</v>
      </c>
      <c r="F517" s="4">
        <f t="shared" si="33"/>
        <v>3339</v>
      </c>
      <c r="G517" s="4">
        <f t="shared" si="34"/>
        <v>0.41171393341553636</v>
      </c>
      <c r="H517" s="4">
        <f t="shared" si="35"/>
        <v>11148921</v>
      </c>
      <c r="I517" s="5">
        <f>SQRT(SUM('r-native-multi'!$D$3:D517)/COUNTIF($A$3:A517,"&lt;&gt;0"))</f>
        <v>72.926362647070505</v>
      </c>
    </row>
    <row r="518" spans="1:9">
      <c r="A518">
        <v>516</v>
      </c>
      <c r="B518">
        <v>5</v>
      </c>
      <c r="C518">
        <v>8110</v>
      </c>
      <c r="D518">
        <v>5129</v>
      </c>
      <c r="E518" s="4">
        <f t="shared" si="32"/>
        <v>0</v>
      </c>
      <c r="F518" s="4">
        <f t="shared" si="33"/>
        <v>2981</v>
      </c>
      <c r="G518" s="4">
        <f t="shared" si="34"/>
        <v>0.36757090012330457</v>
      </c>
      <c r="H518" s="4">
        <f t="shared" si="35"/>
        <v>8886361</v>
      </c>
      <c r="I518" s="5">
        <f>SQRT(SUM('r-native-multi'!$D$3:D518)/COUNTIF($A$3:A518,"&lt;&gt;0"))</f>
        <v>72.923847929872878</v>
      </c>
    </row>
    <row r="519" spans="1:9">
      <c r="A519">
        <v>517</v>
      </c>
      <c r="B519">
        <v>5</v>
      </c>
      <c r="C519">
        <v>8110</v>
      </c>
      <c r="D519">
        <v>5259</v>
      </c>
      <c r="E519" s="4">
        <f t="shared" si="32"/>
        <v>0</v>
      </c>
      <c r="F519" s="4">
        <f t="shared" si="33"/>
        <v>2851</v>
      </c>
      <c r="G519" s="4">
        <f t="shared" si="34"/>
        <v>0.35154130702836006</v>
      </c>
      <c r="H519" s="4">
        <f t="shared" si="35"/>
        <v>8128201</v>
      </c>
      <c r="I519" s="5">
        <f>SQRT(SUM('r-native-multi'!$D$3:D519)/COUNTIF($A$3:A519,"&lt;&gt;0"))</f>
        <v>72.92306695683277</v>
      </c>
    </row>
    <row r="520" spans="1:9">
      <c r="A520">
        <v>518</v>
      </c>
      <c r="B520">
        <v>5</v>
      </c>
      <c r="C520">
        <v>8110</v>
      </c>
      <c r="D520">
        <v>5226</v>
      </c>
      <c r="E520" s="4">
        <f t="shared" si="32"/>
        <v>0</v>
      </c>
      <c r="F520" s="4">
        <f t="shared" si="33"/>
        <v>2884</v>
      </c>
      <c r="G520" s="4">
        <f t="shared" si="34"/>
        <v>0.35561035758323056</v>
      </c>
      <c r="H520" s="4">
        <f t="shared" si="35"/>
        <v>8317456</v>
      </c>
      <c r="I520" s="5">
        <f>SQRT(SUM('r-native-multi'!$D$3:D520)/COUNTIF($A$3:A520,"&lt;&gt;0"))</f>
        <v>72.921852178181311</v>
      </c>
    </row>
    <row r="521" spans="1:9">
      <c r="A521">
        <v>519</v>
      </c>
      <c r="B521">
        <v>5</v>
      </c>
      <c r="C521">
        <v>8110</v>
      </c>
      <c r="D521">
        <v>5251</v>
      </c>
      <c r="E521" s="4">
        <f t="shared" si="32"/>
        <v>0</v>
      </c>
      <c r="F521" s="4">
        <f t="shared" si="33"/>
        <v>2859</v>
      </c>
      <c r="G521" s="4">
        <f t="shared" si="34"/>
        <v>0.35252774352651051</v>
      </c>
      <c r="H521" s="4">
        <f t="shared" si="35"/>
        <v>8173881</v>
      </c>
      <c r="I521" s="5">
        <f>SQRT(SUM('r-native-multi'!$D$3:D521)/COUNTIF($A$3:A521,"&lt;&gt;0"))</f>
        <v>72.920972347415159</v>
      </c>
    </row>
    <row r="522" spans="1:9">
      <c r="A522">
        <v>520</v>
      </c>
      <c r="B522">
        <v>5</v>
      </c>
      <c r="C522">
        <v>8110</v>
      </c>
      <c r="D522">
        <v>5255</v>
      </c>
      <c r="E522" s="4">
        <f t="shared" si="32"/>
        <v>0</v>
      </c>
      <c r="F522" s="4">
        <f t="shared" si="33"/>
        <v>2855</v>
      </c>
      <c r="G522" s="4">
        <f t="shared" si="34"/>
        <v>0.35203452527743528</v>
      </c>
      <c r="H522" s="4">
        <f t="shared" si="35"/>
        <v>8151025</v>
      </c>
      <c r="I522" s="5">
        <f>SQRT(SUM('r-native-multi'!$D$3:D522)/COUNTIF($A$3:A522,"&lt;&gt;0"))</f>
        <v>72.920148634812023</v>
      </c>
    </row>
    <row r="523" spans="1:9">
      <c r="A523">
        <v>521</v>
      </c>
      <c r="B523">
        <v>5</v>
      </c>
      <c r="C523">
        <v>8110</v>
      </c>
      <c r="D523">
        <v>5107</v>
      </c>
      <c r="E523" s="4">
        <f t="shared" si="32"/>
        <v>0</v>
      </c>
      <c r="F523" s="4">
        <f t="shared" si="33"/>
        <v>3003</v>
      </c>
      <c r="G523" s="4">
        <f t="shared" si="34"/>
        <v>0.37028360049321823</v>
      </c>
      <c r="H523" s="4">
        <f t="shared" si="35"/>
        <v>9018009</v>
      </c>
      <c r="I523" s="5">
        <f>SQRT(SUM('r-native-multi'!$D$3:D523)/COUNTIF($A$3:A523,"&lt;&gt;0"))</f>
        <v>72.917380217695012</v>
      </c>
    </row>
    <row r="524" spans="1:9">
      <c r="A524">
        <v>522</v>
      </c>
      <c r="B524">
        <v>5</v>
      </c>
      <c r="C524">
        <v>8110</v>
      </c>
      <c r="D524">
        <v>5079</v>
      </c>
      <c r="E524" s="4">
        <f t="shared" si="32"/>
        <v>0</v>
      </c>
      <c r="F524" s="4">
        <f t="shared" si="33"/>
        <v>3031</v>
      </c>
      <c r="G524" s="4">
        <f t="shared" si="34"/>
        <v>0.37373612823674474</v>
      </c>
      <c r="H524" s="4">
        <f t="shared" si="35"/>
        <v>9186961</v>
      </c>
      <c r="I524" s="5">
        <f>SQRT(SUM('r-native-multi'!$D$3:D524)/COUNTIF($A$3:A524,"&lt;&gt;0"))</f>
        <v>72.91425447569992</v>
      </c>
    </row>
    <row r="525" spans="1:9">
      <c r="A525">
        <v>523</v>
      </c>
      <c r="B525">
        <v>5</v>
      </c>
      <c r="C525">
        <v>8110</v>
      </c>
      <c r="D525">
        <v>5292</v>
      </c>
      <c r="E525" s="4">
        <f t="shared" si="32"/>
        <v>0</v>
      </c>
      <c r="F525" s="4">
        <f t="shared" si="33"/>
        <v>2818</v>
      </c>
      <c r="G525" s="4">
        <f t="shared" si="34"/>
        <v>0.3474722564734895</v>
      </c>
      <c r="H525" s="4">
        <f t="shared" si="35"/>
        <v>7941124</v>
      </c>
      <c r="I525" s="5">
        <f>SQRT(SUM('r-native-multi'!$D$3:D525)/COUNTIF($A$3:A525,"&lt;&gt;0"))</f>
        <v>72.913933391364793</v>
      </c>
    </row>
    <row r="526" spans="1:9">
      <c r="A526">
        <v>524</v>
      </c>
      <c r="B526">
        <v>5</v>
      </c>
      <c r="C526">
        <v>8110</v>
      </c>
      <c r="D526">
        <v>5000</v>
      </c>
      <c r="E526" s="4">
        <f t="shared" si="32"/>
        <v>0</v>
      </c>
      <c r="F526" s="4">
        <f t="shared" si="33"/>
        <v>3110</v>
      </c>
      <c r="G526" s="4">
        <f t="shared" si="34"/>
        <v>0.38347718865598029</v>
      </c>
      <c r="H526" s="4">
        <f t="shared" si="35"/>
        <v>9672100</v>
      </c>
      <c r="I526" s="5">
        <f>SQRT(SUM('r-native-multi'!$D$3:D526)/COUNTIF($A$3:A526,"&lt;&gt;0"))</f>
        <v>72.909792115048177</v>
      </c>
    </row>
    <row r="527" spans="1:9">
      <c r="A527">
        <v>525</v>
      </c>
      <c r="B527">
        <v>5</v>
      </c>
      <c r="C527">
        <v>8110</v>
      </c>
      <c r="D527">
        <v>5144</v>
      </c>
      <c r="E527" s="4">
        <f t="shared" si="32"/>
        <v>0</v>
      </c>
      <c r="F527" s="4">
        <f t="shared" si="33"/>
        <v>2966</v>
      </c>
      <c r="G527" s="4">
        <f t="shared" si="34"/>
        <v>0.36572133168927251</v>
      </c>
      <c r="H527" s="4">
        <f t="shared" si="35"/>
        <v>8797156</v>
      </c>
      <c r="I527" s="5">
        <f>SQRT(SUM('r-native-multi'!$D$3:D527)/COUNTIF($A$3:A527,"&lt;&gt;0"))</f>
        <v>72.907547456970988</v>
      </c>
    </row>
    <row r="528" spans="1:9">
      <c r="A528">
        <v>526</v>
      </c>
      <c r="B528">
        <v>5</v>
      </c>
      <c r="C528">
        <v>8110</v>
      </c>
      <c r="D528">
        <v>5300</v>
      </c>
      <c r="E528" s="4">
        <f t="shared" si="32"/>
        <v>0</v>
      </c>
      <c r="F528" s="4">
        <f t="shared" si="33"/>
        <v>2810</v>
      </c>
      <c r="G528" s="4">
        <f t="shared" si="34"/>
        <v>0.34648581997533906</v>
      </c>
      <c r="H528" s="4">
        <f t="shared" si="35"/>
        <v>7896100</v>
      </c>
      <c r="I528" s="5">
        <f>SQRT(SUM('r-native-multi'!$D$3:D528)/COUNTIF($A$3:A528,"&lt;&gt;0"))</f>
        <v>72.907345230732105</v>
      </c>
    </row>
    <row r="529" spans="1:9">
      <c r="A529">
        <v>527</v>
      </c>
      <c r="B529">
        <v>5</v>
      </c>
      <c r="C529">
        <v>8110</v>
      </c>
      <c r="D529">
        <v>4690</v>
      </c>
      <c r="E529" s="4">
        <f t="shared" si="32"/>
        <v>0</v>
      </c>
      <c r="F529" s="4">
        <f t="shared" si="33"/>
        <v>3420</v>
      </c>
      <c r="G529" s="4">
        <f t="shared" si="34"/>
        <v>0.42170160295930947</v>
      </c>
      <c r="H529" s="4">
        <f t="shared" si="35"/>
        <v>11696400</v>
      </c>
      <c r="I529" s="5">
        <f>SQRT(SUM('r-native-multi'!$D$3:D529)/COUNTIF($A$3:A529,"&lt;&gt;0"))</f>
        <v>72.899205192149097</v>
      </c>
    </row>
    <row r="530" spans="1:9">
      <c r="A530">
        <v>528</v>
      </c>
      <c r="B530">
        <v>5</v>
      </c>
      <c r="C530">
        <v>8110</v>
      </c>
      <c r="D530">
        <v>5105</v>
      </c>
      <c r="E530" s="4">
        <f t="shared" si="32"/>
        <v>0</v>
      </c>
      <c r="F530" s="4">
        <f t="shared" si="33"/>
        <v>3005</v>
      </c>
      <c r="G530" s="4">
        <f t="shared" si="34"/>
        <v>0.37053020961775585</v>
      </c>
      <c r="H530" s="4">
        <f t="shared" si="35"/>
        <v>9030025</v>
      </c>
      <c r="I530" s="5">
        <f>SQRT(SUM('r-native-multi'!$D$3:D530)/COUNTIF($A$3:A530,"&lt;&gt;0"))</f>
        <v>72.896486384960468</v>
      </c>
    </row>
    <row r="531" spans="1:9">
      <c r="A531">
        <v>529</v>
      </c>
      <c r="B531">
        <v>5</v>
      </c>
      <c r="C531">
        <v>8110</v>
      </c>
      <c r="D531">
        <v>5162</v>
      </c>
      <c r="E531" s="4">
        <f t="shared" si="32"/>
        <v>0</v>
      </c>
      <c r="F531" s="4">
        <f t="shared" si="33"/>
        <v>2948</v>
      </c>
      <c r="G531" s="4">
        <f t="shared" si="34"/>
        <v>0.36350184956843401</v>
      </c>
      <c r="H531" s="4">
        <f t="shared" si="35"/>
        <v>8690704</v>
      </c>
      <c r="I531" s="5">
        <f>SQRT(SUM('r-native-multi'!$D$3:D531)/COUNTIF($A$3:A531,"&lt;&gt;0"))</f>
        <v>72.894516844625173</v>
      </c>
    </row>
    <row r="532" spans="1:9">
      <c r="A532">
        <v>530</v>
      </c>
      <c r="B532">
        <v>5</v>
      </c>
      <c r="C532">
        <v>8110</v>
      </c>
      <c r="D532">
        <v>5245</v>
      </c>
      <c r="E532" s="4">
        <f t="shared" si="32"/>
        <v>0</v>
      </c>
      <c r="F532" s="4">
        <f t="shared" si="33"/>
        <v>2865</v>
      </c>
      <c r="G532" s="4">
        <f t="shared" si="34"/>
        <v>0.35326757090012328</v>
      </c>
      <c r="H532" s="4">
        <f t="shared" si="35"/>
        <v>8208225</v>
      </c>
      <c r="I532" s="5">
        <f>SQRT(SUM('r-native-multi'!$D$3:D532)/COUNTIF($A$3:A532,"&lt;&gt;0"))</f>
        <v>72.893628885352328</v>
      </c>
    </row>
    <row r="533" spans="1:9">
      <c r="A533">
        <v>531</v>
      </c>
      <c r="B533">
        <v>5</v>
      </c>
      <c r="C533">
        <v>8110</v>
      </c>
      <c r="D533">
        <v>5206</v>
      </c>
      <c r="E533" s="4">
        <f t="shared" si="32"/>
        <v>0</v>
      </c>
      <c r="F533" s="4">
        <f t="shared" si="33"/>
        <v>2904</v>
      </c>
      <c r="G533" s="4">
        <f t="shared" si="34"/>
        <v>0.35807644882860667</v>
      </c>
      <c r="H533" s="4">
        <f t="shared" si="35"/>
        <v>8433216</v>
      </c>
      <c r="I533" s="5">
        <f>SQRT(SUM('r-native-multi'!$D$3:D533)/COUNTIF($A$3:A533,"&lt;&gt;0"))</f>
        <v>72.8922404608156</v>
      </c>
    </row>
    <row r="534" spans="1:9">
      <c r="A534">
        <v>532</v>
      </c>
      <c r="B534">
        <v>5</v>
      </c>
      <c r="C534">
        <v>8110</v>
      </c>
      <c r="D534">
        <v>5142</v>
      </c>
      <c r="E534" s="4">
        <f t="shared" si="32"/>
        <v>0</v>
      </c>
      <c r="F534" s="4">
        <f t="shared" si="33"/>
        <v>2968</v>
      </c>
      <c r="G534" s="4">
        <f t="shared" si="34"/>
        <v>0.36596794081381012</v>
      </c>
      <c r="H534" s="4">
        <f t="shared" si="35"/>
        <v>8809024</v>
      </c>
      <c r="I534" s="5">
        <f>SQRT(SUM('r-native-multi'!$D$3:D534)/COUNTIF($A$3:A534,"&lt;&gt;0"))</f>
        <v>72.890032013419315</v>
      </c>
    </row>
    <row r="535" spans="1:9">
      <c r="A535">
        <v>533</v>
      </c>
      <c r="B535">
        <v>5</v>
      </c>
      <c r="C535">
        <v>8110</v>
      </c>
      <c r="D535">
        <v>5219</v>
      </c>
      <c r="E535" s="4">
        <f t="shared" si="32"/>
        <v>0</v>
      </c>
      <c r="F535" s="4">
        <f t="shared" si="33"/>
        <v>2891</v>
      </c>
      <c r="G535" s="4">
        <f t="shared" si="34"/>
        <v>0.35647348951911223</v>
      </c>
      <c r="H535" s="4">
        <f t="shared" si="35"/>
        <v>8357881</v>
      </c>
      <c r="I535" s="5">
        <f>SQRT(SUM('r-native-multi'!$D$3:D535)/COUNTIF($A$3:A535,"&lt;&gt;0"))</f>
        <v>72.888822790636965</v>
      </c>
    </row>
    <row r="536" spans="1:9">
      <c r="A536">
        <v>534</v>
      </c>
      <c r="B536">
        <v>5</v>
      </c>
      <c r="C536">
        <v>8110</v>
      </c>
      <c r="D536">
        <v>5251</v>
      </c>
      <c r="E536" s="4">
        <f t="shared" si="32"/>
        <v>0</v>
      </c>
      <c r="F536" s="4">
        <f t="shared" si="33"/>
        <v>2859</v>
      </c>
      <c r="G536" s="4">
        <f t="shared" si="34"/>
        <v>0.35252774352651051</v>
      </c>
      <c r="H536" s="4">
        <f t="shared" si="35"/>
        <v>8173881</v>
      </c>
      <c r="I536" s="5">
        <f>SQRT(SUM('r-native-multi'!$D$3:D536)/COUNTIF($A$3:A536,"&lt;&gt;0"))</f>
        <v>72.888029154364517</v>
      </c>
    </row>
    <row r="537" spans="1:9">
      <c r="A537">
        <v>535</v>
      </c>
      <c r="B537">
        <v>5</v>
      </c>
      <c r="C537">
        <v>8110</v>
      </c>
      <c r="D537">
        <v>5185</v>
      </c>
      <c r="E537" s="4">
        <f t="shared" ref="E537:E600" si="36">IF(AND(D537&lt;=C537*1.2,D537&gt;=C537*0.8),1,0)</f>
        <v>0</v>
      </c>
      <c r="F537" s="4">
        <f t="shared" ref="F537:F600" si="37">ABS(C537-D537)</f>
        <v>2925</v>
      </c>
      <c r="G537" s="4">
        <f t="shared" ref="G537:G600" si="38">ABS(C537-D537)/C537</f>
        <v>0.36066584463625156</v>
      </c>
      <c r="H537" s="4">
        <f t="shared" ref="H537:H600" si="39">POWER(F537,2)</f>
        <v>8555625</v>
      </c>
      <c r="I537" s="5">
        <f>SQRT(SUM('r-native-multi'!$D$3:D537)/COUNTIF($A$3:A537,"&lt;&gt;0"))</f>
        <v>72.886392202003648</v>
      </c>
    </row>
    <row r="538" spans="1:9">
      <c r="A538">
        <v>536</v>
      </c>
      <c r="B538">
        <v>5</v>
      </c>
      <c r="C538">
        <v>8110</v>
      </c>
      <c r="D538">
        <v>5059</v>
      </c>
      <c r="E538" s="4">
        <f t="shared" si="36"/>
        <v>0</v>
      </c>
      <c r="F538" s="4">
        <f t="shared" si="37"/>
        <v>3051</v>
      </c>
      <c r="G538" s="4">
        <f t="shared" si="38"/>
        <v>0.37620221948212085</v>
      </c>
      <c r="H538" s="4">
        <f t="shared" si="39"/>
        <v>9308601</v>
      </c>
      <c r="I538" s="5">
        <f>SQRT(SUM('r-native-multi'!$D$3:D538)/COUNTIF($A$3:A538,"&lt;&gt;0"))</f>
        <v>72.883148657347093</v>
      </c>
    </row>
    <row r="539" spans="1:9">
      <c r="A539">
        <v>537</v>
      </c>
      <c r="B539">
        <v>5</v>
      </c>
      <c r="C539">
        <v>8110</v>
      </c>
      <c r="D539">
        <v>5304</v>
      </c>
      <c r="E539" s="4">
        <f t="shared" si="36"/>
        <v>0</v>
      </c>
      <c r="F539" s="4">
        <f t="shared" si="37"/>
        <v>2806</v>
      </c>
      <c r="G539" s="4">
        <f t="shared" si="38"/>
        <v>0.34599260172626389</v>
      </c>
      <c r="H539" s="4">
        <f t="shared" si="39"/>
        <v>7873636</v>
      </c>
      <c r="I539" s="5">
        <f>SQRT(SUM('r-native-multi'!$D$3:D539)/COUNTIF($A$3:A539,"&lt;&gt;0"))</f>
        <v>72.883047051327608</v>
      </c>
    </row>
    <row r="540" spans="1:9">
      <c r="A540">
        <v>538</v>
      </c>
      <c r="B540">
        <v>5</v>
      </c>
      <c r="C540">
        <v>8110</v>
      </c>
      <c r="D540">
        <v>5219</v>
      </c>
      <c r="E540" s="4">
        <f t="shared" si="36"/>
        <v>0</v>
      </c>
      <c r="F540" s="4">
        <f t="shared" si="37"/>
        <v>2891</v>
      </c>
      <c r="G540" s="4">
        <f t="shared" si="38"/>
        <v>0.35647348951911223</v>
      </c>
      <c r="H540" s="4">
        <f t="shared" si="39"/>
        <v>8357881</v>
      </c>
      <c r="I540" s="5">
        <f>SQRT(SUM('r-native-multi'!$D$3:D540)/COUNTIF($A$3:A540,"&lt;&gt;0"))</f>
        <v>72.88186193598861</v>
      </c>
    </row>
    <row r="541" spans="1:9">
      <c r="A541">
        <v>539</v>
      </c>
      <c r="B541">
        <v>5</v>
      </c>
      <c r="C541">
        <v>8110</v>
      </c>
      <c r="D541">
        <v>5276</v>
      </c>
      <c r="E541" s="4">
        <f t="shared" si="36"/>
        <v>0</v>
      </c>
      <c r="F541" s="4">
        <f t="shared" si="37"/>
        <v>2834</v>
      </c>
      <c r="G541" s="4">
        <f t="shared" si="38"/>
        <v>0.34944512946979039</v>
      </c>
      <c r="H541" s="4">
        <f t="shared" si="39"/>
        <v>8031556</v>
      </c>
      <c r="I541" s="5">
        <f>SQRT(SUM('r-native-multi'!$D$3:D541)/COUNTIF($A$3:A541,"&lt;&gt;0"))</f>
        <v>72.881406705782851</v>
      </c>
    </row>
    <row r="542" spans="1:9">
      <c r="A542">
        <v>540</v>
      </c>
      <c r="B542">
        <v>5</v>
      </c>
      <c r="C542">
        <v>8110</v>
      </c>
      <c r="D542">
        <v>5234</v>
      </c>
      <c r="E542" s="4">
        <f t="shared" si="36"/>
        <v>0</v>
      </c>
      <c r="F542" s="4">
        <f t="shared" si="37"/>
        <v>2876</v>
      </c>
      <c r="G542" s="4">
        <f t="shared" si="38"/>
        <v>0.35462392108508017</v>
      </c>
      <c r="H542" s="4">
        <f t="shared" si="39"/>
        <v>8271376</v>
      </c>
      <c r="I542" s="5">
        <f>SQRT(SUM('r-native-multi'!$D$3:D542)/COUNTIF($A$3:A542,"&lt;&gt;0"))</f>
        <v>72.880419562153705</v>
      </c>
    </row>
    <row r="543" spans="1:9">
      <c r="A543">
        <v>541</v>
      </c>
      <c r="B543">
        <v>5</v>
      </c>
      <c r="C543">
        <v>8110</v>
      </c>
      <c r="D543">
        <v>5314</v>
      </c>
      <c r="E543" s="4">
        <f t="shared" si="36"/>
        <v>0</v>
      </c>
      <c r="F543" s="4">
        <f t="shared" si="37"/>
        <v>2796</v>
      </c>
      <c r="G543" s="4">
        <f t="shared" si="38"/>
        <v>0.34475955610357584</v>
      </c>
      <c r="H543" s="4">
        <f t="shared" si="39"/>
        <v>7817616</v>
      </c>
      <c r="I543" s="5">
        <f>SQRT(SUM('r-native-multi'!$D$3:D543)/COUNTIF($A$3:A543,"&lt;&gt;0"))</f>
        <v>72.880450560744706</v>
      </c>
    </row>
    <row r="544" spans="1:9">
      <c r="A544">
        <v>542</v>
      </c>
      <c r="B544">
        <v>5</v>
      </c>
      <c r="C544">
        <v>8110</v>
      </c>
      <c r="D544">
        <v>5169</v>
      </c>
      <c r="E544" s="4">
        <f t="shared" si="36"/>
        <v>0</v>
      </c>
      <c r="F544" s="4">
        <f t="shared" si="37"/>
        <v>2941</v>
      </c>
      <c r="G544" s="4">
        <f t="shared" si="38"/>
        <v>0.3626387176325524</v>
      </c>
      <c r="H544" s="4">
        <f t="shared" si="39"/>
        <v>8649481</v>
      </c>
      <c r="I544" s="5">
        <f>SQRT(SUM('r-native-multi'!$D$3:D544)/COUNTIF($A$3:A544,"&lt;&gt;0"))</f>
        <v>72.878646035519068</v>
      </c>
    </row>
    <row r="545" spans="1:9">
      <c r="A545">
        <v>543</v>
      </c>
      <c r="B545">
        <v>5</v>
      </c>
      <c r="C545">
        <v>8110</v>
      </c>
      <c r="D545">
        <v>4919</v>
      </c>
      <c r="E545" s="4">
        <f t="shared" si="36"/>
        <v>0</v>
      </c>
      <c r="F545" s="4">
        <f t="shared" si="37"/>
        <v>3191</v>
      </c>
      <c r="G545" s="4">
        <f t="shared" si="38"/>
        <v>0.39346485819975341</v>
      </c>
      <c r="H545" s="4">
        <f t="shared" si="39"/>
        <v>10182481</v>
      </c>
      <c r="I545" s="5">
        <f>SQRT(SUM('r-native-multi'!$D$3:D545)/COUNTIF($A$3:A545,"&lt;&gt;0"))</f>
        <v>72.87368925500725</v>
      </c>
    </row>
    <row r="546" spans="1:9">
      <c r="A546">
        <v>544</v>
      </c>
      <c r="B546">
        <v>5</v>
      </c>
      <c r="C546">
        <v>8110</v>
      </c>
      <c r="D546">
        <v>5147</v>
      </c>
      <c r="E546" s="4">
        <f t="shared" si="36"/>
        <v>0</v>
      </c>
      <c r="F546" s="4">
        <f t="shared" si="37"/>
        <v>2963</v>
      </c>
      <c r="G546" s="4">
        <f t="shared" si="38"/>
        <v>0.36535141800246607</v>
      </c>
      <c r="H546" s="4">
        <f t="shared" si="39"/>
        <v>8779369</v>
      </c>
      <c r="I546" s="5">
        <f>SQRT(SUM('r-native-multi'!$D$3:D546)/COUNTIF($A$3:A546,"&lt;&gt;0"))</f>
        <v>72.871626145289383</v>
      </c>
    </row>
    <row r="547" spans="1:9">
      <c r="A547">
        <v>545</v>
      </c>
      <c r="B547">
        <v>5</v>
      </c>
      <c r="C547">
        <v>8110</v>
      </c>
      <c r="D547">
        <v>5194</v>
      </c>
      <c r="E547" s="4">
        <f t="shared" si="36"/>
        <v>0</v>
      </c>
      <c r="F547" s="4">
        <f t="shared" si="37"/>
        <v>2916</v>
      </c>
      <c r="G547" s="4">
        <f t="shared" si="38"/>
        <v>0.35955610357583229</v>
      </c>
      <c r="H547" s="4">
        <f t="shared" si="39"/>
        <v>8503056</v>
      </c>
      <c r="I547" s="5">
        <f>SQRT(SUM('r-native-multi'!$D$3:D547)/COUNTIF($A$3:A547,"&lt;&gt;0"))</f>
        <v>72.870162278251556</v>
      </c>
    </row>
    <row r="548" spans="1:9">
      <c r="A548">
        <v>546</v>
      </c>
      <c r="B548">
        <v>5</v>
      </c>
      <c r="C548">
        <v>8110</v>
      </c>
      <c r="D548">
        <v>5164</v>
      </c>
      <c r="E548" s="4">
        <f t="shared" si="36"/>
        <v>0</v>
      </c>
      <c r="F548" s="4">
        <f t="shared" si="37"/>
        <v>2946</v>
      </c>
      <c r="G548" s="4">
        <f t="shared" si="38"/>
        <v>0.3632552404438964</v>
      </c>
      <c r="H548" s="4">
        <f t="shared" si="39"/>
        <v>8678916</v>
      </c>
      <c r="I548" s="5">
        <f>SQRT(SUM('r-native-multi'!$D$3:D548)/COUNTIF($A$3:A548,"&lt;&gt;0"))</f>
        <v>72.868326729060001</v>
      </c>
    </row>
    <row r="549" spans="1:9">
      <c r="A549">
        <v>547</v>
      </c>
      <c r="B549">
        <v>5</v>
      </c>
      <c r="C549">
        <v>8110</v>
      </c>
      <c r="D549">
        <v>5191</v>
      </c>
      <c r="E549" s="4">
        <f t="shared" si="36"/>
        <v>0</v>
      </c>
      <c r="F549" s="4">
        <f t="shared" si="37"/>
        <v>2919</v>
      </c>
      <c r="G549" s="4">
        <f t="shared" si="38"/>
        <v>0.35992601726263873</v>
      </c>
      <c r="H549" s="4">
        <f t="shared" si="39"/>
        <v>8520561</v>
      </c>
      <c r="I549" s="5">
        <f>SQRT(SUM('r-native-multi'!$D$3:D549)/COUNTIF($A$3:A549,"&lt;&gt;0"))</f>
        <v>72.866836547039313</v>
      </c>
    </row>
    <row r="550" spans="1:9">
      <c r="A550">
        <v>548</v>
      </c>
      <c r="B550">
        <v>5</v>
      </c>
      <c r="C550">
        <v>8110</v>
      </c>
      <c r="D550">
        <v>5110</v>
      </c>
      <c r="E550" s="4">
        <f t="shared" si="36"/>
        <v>0</v>
      </c>
      <c r="F550" s="4">
        <f t="shared" si="37"/>
        <v>3000</v>
      </c>
      <c r="G550" s="4">
        <f t="shared" si="38"/>
        <v>0.36991368680641185</v>
      </c>
      <c r="H550" s="4">
        <f t="shared" si="39"/>
        <v>9000000</v>
      </c>
      <c r="I550" s="5">
        <f>SQRT(SUM('r-native-multi'!$D$3:D550)/COUNTIF($A$3:A550,"&lt;&gt;0"))</f>
        <v>72.864337496693921</v>
      </c>
    </row>
    <row r="551" spans="1:9">
      <c r="A551">
        <v>549</v>
      </c>
      <c r="B551">
        <v>5</v>
      </c>
      <c r="C551">
        <v>8110</v>
      </c>
      <c r="D551">
        <v>5302</v>
      </c>
      <c r="E551" s="4">
        <f t="shared" si="36"/>
        <v>0</v>
      </c>
      <c r="F551" s="4">
        <f t="shared" si="37"/>
        <v>2808</v>
      </c>
      <c r="G551" s="4">
        <f t="shared" si="38"/>
        <v>0.3462392108508015</v>
      </c>
      <c r="H551" s="4">
        <f t="shared" si="39"/>
        <v>7884864</v>
      </c>
      <c r="I551" s="5">
        <f>SQRT(SUM('r-native-multi'!$D$3:D551)/COUNTIF($A$3:A551,"&lt;&gt;0"))</f>
        <v>72.864247356334502</v>
      </c>
    </row>
    <row r="552" spans="1:9">
      <c r="A552">
        <v>550</v>
      </c>
      <c r="B552">
        <v>5</v>
      </c>
      <c r="C552">
        <v>8110</v>
      </c>
      <c r="D552">
        <v>5310</v>
      </c>
      <c r="E552" s="4">
        <f t="shared" si="36"/>
        <v>0</v>
      </c>
      <c r="F552" s="4">
        <f t="shared" si="37"/>
        <v>2800</v>
      </c>
      <c r="G552" s="4">
        <f t="shared" si="38"/>
        <v>0.34525277435265106</v>
      </c>
      <c r="H552" s="4">
        <f t="shared" si="39"/>
        <v>7840000</v>
      </c>
      <c r="I552" s="5">
        <f>SQRT(SUM('r-native-multi'!$D$3:D552)/COUNTIF($A$3:A552,"&lt;&gt;0"))</f>
        <v>72.864257355715907</v>
      </c>
    </row>
    <row r="553" spans="1:9">
      <c r="A553">
        <v>551</v>
      </c>
      <c r="B553">
        <v>5</v>
      </c>
      <c r="C553">
        <v>8110</v>
      </c>
      <c r="D553">
        <v>5258</v>
      </c>
      <c r="E553" s="4">
        <f t="shared" si="36"/>
        <v>0</v>
      </c>
      <c r="F553" s="4">
        <f t="shared" si="37"/>
        <v>2852</v>
      </c>
      <c r="G553" s="4">
        <f t="shared" si="38"/>
        <v>0.35166461159062884</v>
      </c>
      <c r="H553" s="4">
        <f t="shared" si="39"/>
        <v>8133904</v>
      </c>
      <c r="I553" s="5">
        <f>SQRT(SUM('r-native-multi'!$D$3:D553)/COUNTIF($A$3:A553,"&lt;&gt;0"))</f>
        <v>72.863619715465191</v>
      </c>
    </row>
    <row r="554" spans="1:9">
      <c r="A554">
        <v>552</v>
      </c>
      <c r="B554">
        <v>5</v>
      </c>
      <c r="C554">
        <v>8110</v>
      </c>
      <c r="D554">
        <v>5269</v>
      </c>
      <c r="E554" s="4">
        <f t="shared" si="36"/>
        <v>0</v>
      </c>
      <c r="F554" s="4">
        <f t="shared" si="37"/>
        <v>2841</v>
      </c>
      <c r="G554" s="4">
        <f t="shared" si="38"/>
        <v>0.35030826140567201</v>
      </c>
      <c r="H554" s="4">
        <f t="shared" si="39"/>
        <v>8071281</v>
      </c>
      <c r="I554" s="5">
        <f>SQRT(SUM('r-native-multi'!$D$3:D554)/COUNTIF($A$3:A554,"&lt;&gt;0"))</f>
        <v>72.86312112646462</v>
      </c>
    </row>
    <row r="555" spans="1:9">
      <c r="A555">
        <v>553</v>
      </c>
      <c r="B555">
        <v>5</v>
      </c>
      <c r="C555">
        <v>8110</v>
      </c>
      <c r="D555">
        <v>5381</v>
      </c>
      <c r="E555" s="4">
        <f t="shared" si="36"/>
        <v>0</v>
      </c>
      <c r="F555" s="4">
        <f t="shared" si="37"/>
        <v>2729</v>
      </c>
      <c r="G555" s="4">
        <f t="shared" si="38"/>
        <v>0.33649815043156595</v>
      </c>
      <c r="H555" s="4">
        <f t="shared" si="39"/>
        <v>7447441</v>
      </c>
      <c r="I555" s="5">
        <f>SQRT(SUM('r-native-multi'!$D$3:D555)/COUNTIF($A$3:A555,"&lt;&gt;0"))</f>
        <v>72.864014142524596</v>
      </c>
    </row>
    <row r="556" spans="1:9">
      <c r="A556">
        <v>554</v>
      </c>
      <c r="B556">
        <v>5</v>
      </c>
      <c r="C556">
        <v>8110</v>
      </c>
      <c r="D556">
        <v>5166</v>
      </c>
      <c r="E556" s="4">
        <f t="shared" si="36"/>
        <v>0</v>
      </c>
      <c r="F556" s="4">
        <f t="shared" si="37"/>
        <v>2944</v>
      </c>
      <c r="G556" s="4">
        <f t="shared" si="38"/>
        <v>0.36300863131935884</v>
      </c>
      <c r="H556" s="4">
        <f t="shared" si="39"/>
        <v>8667136</v>
      </c>
      <c r="I556" s="5">
        <f>SQRT(SUM('r-native-multi'!$D$3:D556)/COUNTIF($A$3:A556,"&lt;&gt;0"))</f>
        <v>72.862240819124651</v>
      </c>
    </row>
    <row r="557" spans="1:9">
      <c r="A557">
        <v>555</v>
      </c>
      <c r="B557">
        <v>5</v>
      </c>
      <c r="C557">
        <v>8110</v>
      </c>
      <c r="D557">
        <v>5248</v>
      </c>
      <c r="E557" s="4">
        <f t="shared" si="36"/>
        <v>0</v>
      </c>
      <c r="F557" s="4">
        <f t="shared" si="37"/>
        <v>2862</v>
      </c>
      <c r="G557" s="4">
        <f t="shared" si="38"/>
        <v>0.3528976572133169</v>
      </c>
      <c r="H557" s="4">
        <f t="shared" si="39"/>
        <v>8191044</v>
      </c>
      <c r="I557" s="5">
        <f>SQRT(SUM('r-native-multi'!$D$3:D557)/COUNTIF($A$3:A557,"&lt;&gt;0"))</f>
        <v>72.861487744873813</v>
      </c>
    </row>
    <row r="558" spans="1:9">
      <c r="A558">
        <v>556</v>
      </c>
      <c r="B558">
        <v>5</v>
      </c>
      <c r="C558">
        <v>8110</v>
      </c>
      <c r="D558">
        <v>4956</v>
      </c>
      <c r="E558" s="4">
        <f t="shared" si="36"/>
        <v>0</v>
      </c>
      <c r="F558" s="4">
        <f t="shared" si="37"/>
        <v>3154</v>
      </c>
      <c r="G558" s="4">
        <f t="shared" si="38"/>
        <v>0.38890258939580763</v>
      </c>
      <c r="H558" s="4">
        <f t="shared" si="39"/>
        <v>9947716</v>
      </c>
      <c r="I558" s="5">
        <f>SQRT(SUM('r-native-multi'!$D$3:D558)/COUNTIF($A$3:A558,"&lt;&gt;0"))</f>
        <v>72.857133284968029</v>
      </c>
    </row>
    <row r="559" spans="1:9">
      <c r="A559">
        <v>557</v>
      </c>
      <c r="B559">
        <v>5</v>
      </c>
      <c r="C559">
        <v>8110</v>
      </c>
      <c r="D559">
        <v>5255</v>
      </c>
      <c r="E559" s="4">
        <f t="shared" si="36"/>
        <v>0</v>
      </c>
      <c r="F559" s="4">
        <f t="shared" si="37"/>
        <v>2855</v>
      </c>
      <c r="G559" s="4">
        <f t="shared" si="38"/>
        <v>0.35203452527743528</v>
      </c>
      <c r="H559" s="4">
        <f t="shared" si="39"/>
        <v>8151025</v>
      </c>
      <c r="I559" s="5">
        <f>SQRT(SUM('r-native-multi'!$D$3:D559)/COUNTIF($A$3:A559,"&lt;&gt;0"))</f>
        <v>72.856478279484847</v>
      </c>
    </row>
    <row r="560" spans="1:9">
      <c r="A560">
        <v>558</v>
      </c>
      <c r="B560">
        <v>5</v>
      </c>
      <c r="C560">
        <v>8110</v>
      </c>
      <c r="D560">
        <v>5127</v>
      </c>
      <c r="E560" s="4">
        <f t="shared" si="36"/>
        <v>0</v>
      </c>
      <c r="F560" s="4">
        <f t="shared" si="37"/>
        <v>2983</v>
      </c>
      <c r="G560" s="4">
        <f t="shared" si="38"/>
        <v>0.36781750924784218</v>
      </c>
      <c r="H560" s="4">
        <f t="shared" si="39"/>
        <v>8898289</v>
      </c>
      <c r="I560" s="5">
        <f>SQRT(SUM('r-native-multi'!$D$3:D560)/COUNTIF($A$3:A560,"&lt;&gt;0"))</f>
        <v>72.854251320591246</v>
      </c>
    </row>
    <row r="561" spans="1:9">
      <c r="A561">
        <v>559</v>
      </c>
      <c r="B561">
        <v>5</v>
      </c>
      <c r="C561">
        <v>8110</v>
      </c>
      <c r="D561">
        <v>5219</v>
      </c>
      <c r="E561" s="4">
        <f t="shared" si="36"/>
        <v>0</v>
      </c>
      <c r="F561" s="4">
        <f t="shared" si="37"/>
        <v>2891</v>
      </c>
      <c r="G561" s="4">
        <f t="shared" si="38"/>
        <v>0.35647348951911223</v>
      </c>
      <c r="H561" s="4">
        <f t="shared" si="39"/>
        <v>8357881</v>
      </c>
      <c r="I561" s="5">
        <f>SQRT(SUM('r-native-multi'!$D$3:D561)/COUNTIF($A$3:A561,"&lt;&gt;0"))</f>
        <v>72.853161800004273</v>
      </c>
    </row>
    <row r="562" spans="1:9">
      <c r="A562">
        <v>560</v>
      </c>
      <c r="B562">
        <v>5</v>
      </c>
      <c r="C562">
        <v>8110</v>
      </c>
      <c r="D562">
        <v>5134</v>
      </c>
      <c r="E562" s="4">
        <f t="shared" si="36"/>
        <v>0</v>
      </c>
      <c r="F562" s="4">
        <f t="shared" si="37"/>
        <v>2976</v>
      </c>
      <c r="G562" s="4">
        <f t="shared" si="38"/>
        <v>0.36695437731196057</v>
      </c>
      <c r="H562" s="4">
        <f t="shared" si="39"/>
        <v>8856576</v>
      </c>
      <c r="I562" s="5">
        <f>SQRT(SUM('r-native-multi'!$D$3:D562)/COUNTIF($A$3:A562,"&lt;&gt;0"))</f>
        <v>72.851034407794884</v>
      </c>
    </row>
    <row r="563" spans="1:9">
      <c r="A563">
        <v>561</v>
      </c>
      <c r="B563">
        <v>5</v>
      </c>
      <c r="C563">
        <v>8110</v>
      </c>
      <c r="D563">
        <v>5133</v>
      </c>
      <c r="E563" s="4">
        <f t="shared" si="36"/>
        <v>0</v>
      </c>
      <c r="F563" s="4">
        <f t="shared" si="37"/>
        <v>2977</v>
      </c>
      <c r="G563" s="4">
        <f t="shared" si="38"/>
        <v>0.36707768187422934</v>
      </c>
      <c r="H563" s="4">
        <f t="shared" si="39"/>
        <v>8862529</v>
      </c>
      <c r="I563" s="5">
        <f>SQRT(SUM('r-native-multi'!$D$3:D563)/COUNTIF($A$3:A563,"&lt;&gt;0"))</f>
        <v>72.848902303637487</v>
      </c>
    </row>
    <row r="564" spans="1:9">
      <c r="A564">
        <v>562</v>
      </c>
      <c r="B564">
        <v>5</v>
      </c>
      <c r="C564">
        <v>8110</v>
      </c>
      <c r="D564">
        <v>5293</v>
      </c>
      <c r="E564" s="4">
        <f t="shared" si="36"/>
        <v>0</v>
      </c>
      <c r="F564" s="4">
        <f t="shared" si="37"/>
        <v>2817</v>
      </c>
      <c r="G564" s="4">
        <f t="shared" si="38"/>
        <v>0.34734895191122073</v>
      </c>
      <c r="H564" s="4">
        <f t="shared" si="39"/>
        <v>7935489</v>
      </c>
      <c r="I564" s="5">
        <f>SQRT(SUM('r-native-multi'!$D$3:D564)/COUNTIF($A$3:A564,"&lt;&gt;0"))</f>
        <v>72.848731783195305</v>
      </c>
    </row>
    <row r="565" spans="1:9">
      <c r="A565">
        <v>563</v>
      </c>
      <c r="B565">
        <v>5</v>
      </c>
      <c r="C565">
        <v>8110</v>
      </c>
      <c r="D565">
        <v>5217</v>
      </c>
      <c r="E565" s="4">
        <f t="shared" si="36"/>
        <v>0</v>
      </c>
      <c r="F565" s="4">
        <f t="shared" si="37"/>
        <v>2893</v>
      </c>
      <c r="G565" s="4">
        <f t="shared" si="38"/>
        <v>0.35672009864364984</v>
      </c>
      <c r="H565" s="4">
        <f t="shared" si="39"/>
        <v>8369449</v>
      </c>
      <c r="I565" s="5">
        <f>SQRT(SUM('r-native-multi'!$D$3:D565)/COUNTIF($A$3:A565,"&lt;&gt;0"))</f>
        <v>72.847635343456517</v>
      </c>
    </row>
    <row r="566" spans="1:9">
      <c r="A566">
        <v>564</v>
      </c>
      <c r="B566">
        <v>5</v>
      </c>
      <c r="C566">
        <v>8110</v>
      </c>
      <c r="D566">
        <v>5151</v>
      </c>
      <c r="E566" s="4">
        <f t="shared" si="36"/>
        <v>0</v>
      </c>
      <c r="F566" s="4">
        <f t="shared" si="37"/>
        <v>2959</v>
      </c>
      <c r="G566" s="4">
        <f t="shared" si="38"/>
        <v>0.3648581997533909</v>
      </c>
      <c r="H566" s="4">
        <f t="shared" si="39"/>
        <v>8755681</v>
      </c>
      <c r="I566" s="5">
        <f>SQRT(SUM('r-native-multi'!$D$3:D566)/COUNTIF($A$3:A566,"&lt;&gt;0"))</f>
        <v>72.845739566907042</v>
      </c>
    </row>
    <row r="567" spans="1:9">
      <c r="A567">
        <v>565</v>
      </c>
      <c r="B567">
        <v>5</v>
      </c>
      <c r="C567">
        <v>8110</v>
      </c>
      <c r="D567">
        <v>5392</v>
      </c>
      <c r="E567" s="4">
        <f t="shared" si="36"/>
        <v>0</v>
      </c>
      <c r="F567" s="4">
        <f t="shared" si="37"/>
        <v>2718</v>
      </c>
      <c r="G567" s="4">
        <f t="shared" si="38"/>
        <v>0.33514180024660911</v>
      </c>
      <c r="H567" s="4">
        <f t="shared" si="39"/>
        <v>7387524</v>
      </c>
      <c r="I567" s="5">
        <f>SQRT(SUM('r-native-multi'!$D$3:D567)/COUNTIF($A$3:A567,"&lt;&gt;0"))</f>
        <v>72.84677822213645</v>
      </c>
    </row>
    <row r="568" spans="1:9">
      <c r="A568">
        <v>566</v>
      </c>
      <c r="B568">
        <v>5</v>
      </c>
      <c r="C568">
        <v>8110</v>
      </c>
      <c r="D568">
        <v>5146</v>
      </c>
      <c r="E568" s="4">
        <f t="shared" si="36"/>
        <v>0</v>
      </c>
      <c r="F568" s="4">
        <f t="shared" si="37"/>
        <v>2964</v>
      </c>
      <c r="G568" s="4">
        <f t="shared" si="38"/>
        <v>0.3654747225647349</v>
      </c>
      <c r="H568" s="4">
        <f t="shared" si="39"/>
        <v>8785296</v>
      </c>
      <c r="I568" s="5">
        <f>SQRT(SUM('r-native-multi'!$D$3:D568)/COUNTIF($A$3:A568,"&lt;&gt;0"))</f>
        <v>72.844830001521245</v>
      </c>
    </row>
    <row r="569" spans="1:9">
      <c r="A569">
        <v>567</v>
      </c>
      <c r="B569">
        <v>5</v>
      </c>
      <c r="C569">
        <v>8110</v>
      </c>
      <c r="D569">
        <v>5227</v>
      </c>
      <c r="E569" s="4">
        <f t="shared" si="36"/>
        <v>0</v>
      </c>
      <c r="F569" s="4">
        <f t="shared" si="37"/>
        <v>2883</v>
      </c>
      <c r="G569" s="4">
        <f t="shared" si="38"/>
        <v>0.35548705302096179</v>
      </c>
      <c r="H569" s="4">
        <f t="shared" si="39"/>
        <v>8311689</v>
      </c>
      <c r="I569" s="5">
        <f>SQRT(SUM('r-native-multi'!$D$3:D569)/COUNTIF($A$3:A569,"&lt;&gt;0"))</f>
        <v>72.843869178510445</v>
      </c>
    </row>
    <row r="570" spans="1:9">
      <c r="A570">
        <v>568</v>
      </c>
      <c r="B570">
        <v>5</v>
      </c>
      <c r="C570">
        <v>8110</v>
      </c>
      <c r="D570">
        <v>5271</v>
      </c>
      <c r="E570" s="4">
        <f t="shared" si="36"/>
        <v>0</v>
      </c>
      <c r="F570" s="4">
        <f t="shared" si="37"/>
        <v>2839</v>
      </c>
      <c r="G570" s="4">
        <f t="shared" si="38"/>
        <v>0.35006165228113439</v>
      </c>
      <c r="H570" s="4">
        <f t="shared" si="39"/>
        <v>8059921</v>
      </c>
      <c r="I570" s="5">
        <f>SQRT(SUM('r-native-multi'!$D$3:D570)/COUNTIF($A$3:A570,"&lt;&gt;0"))</f>
        <v>72.843443449092433</v>
      </c>
    </row>
    <row r="571" spans="1:9">
      <c r="A571">
        <v>569</v>
      </c>
      <c r="B571">
        <v>5</v>
      </c>
      <c r="C571">
        <v>8110</v>
      </c>
      <c r="D571">
        <v>5190</v>
      </c>
      <c r="E571" s="4">
        <f t="shared" si="36"/>
        <v>0</v>
      </c>
      <c r="F571" s="4">
        <f t="shared" si="37"/>
        <v>2920</v>
      </c>
      <c r="G571" s="4">
        <f t="shared" si="38"/>
        <v>0.36004932182490751</v>
      </c>
      <c r="H571" s="4">
        <f t="shared" si="39"/>
        <v>8526400</v>
      </c>
      <c r="I571" s="5">
        <f>SQRT(SUM('r-native-multi'!$D$3:D571)/COUNTIF($A$3:A571,"&lt;&gt;0"))</f>
        <v>72.8420420714979</v>
      </c>
    </row>
    <row r="572" spans="1:9">
      <c r="A572">
        <v>570</v>
      </c>
      <c r="B572">
        <v>5</v>
      </c>
      <c r="C572">
        <v>8110</v>
      </c>
      <c r="D572">
        <v>5134</v>
      </c>
      <c r="E572" s="4">
        <f t="shared" si="36"/>
        <v>0</v>
      </c>
      <c r="F572" s="4">
        <f t="shared" si="37"/>
        <v>2976</v>
      </c>
      <c r="G572" s="4">
        <f t="shared" si="38"/>
        <v>0.36695437731196057</v>
      </c>
      <c r="H572" s="4">
        <f t="shared" si="39"/>
        <v>8856576</v>
      </c>
      <c r="I572" s="5">
        <f>SQRT(SUM('r-native-multi'!$D$3:D572)/COUNTIF($A$3:A572,"&lt;&gt;0"))</f>
        <v>72.839971193766772</v>
      </c>
    </row>
    <row r="573" spans="1:9">
      <c r="A573">
        <v>571</v>
      </c>
      <c r="B573">
        <v>5</v>
      </c>
      <c r="C573">
        <v>8110</v>
      </c>
      <c r="D573">
        <v>5197</v>
      </c>
      <c r="E573" s="4">
        <f t="shared" si="36"/>
        <v>0</v>
      </c>
      <c r="F573" s="4">
        <f t="shared" si="37"/>
        <v>2913</v>
      </c>
      <c r="G573" s="4">
        <f t="shared" si="38"/>
        <v>0.3591861898890259</v>
      </c>
      <c r="H573" s="4">
        <f t="shared" si="39"/>
        <v>8485569</v>
      </c>
      <c r="I573" s="5">
        <f>SQRT(SUM('r-native-multi'!$D$3:D573)/COUNTIF($A$3:A573,"&lt;&gt;0"))</f>
        <v>72.838664892538333</v>
      </c>
    </row>
    <row r="574" spans="1:9">
      <c r="A574">
        <v>572</v>
      </c>
      <c r="B574">
        <v>5</v>
      </c>
      <c r="C574">
        <v>8110</v>
      </c>
      <c r="D574">
        <v>5090</v>
      </c>
      <c r="E574" s="4">
        <f t="shared" si="36"/>
        <v>0</v>
      </c>
      <c r="F574" s="4">
        <f t="shared" si="37"/>
        <v>3020</v>
      </c>
      <c r="G574" s="4">
        <f t="shared" si="38"/>
        <v>0.3723797780517879</v>
      </c>
      <c r="H574" s="4">
        <f t="shared" si="39"/>
        <v>9120400</v>
      </c>
      <c r="I574" s="5">
        <f>SQRT(SUM('r-native-multi'!$D$3:D574)/COUNTIF($A$3:A574,"&lt;&gt;0"))</f>
        <v>72.836079010298221</v>
      </c>
    </row>
    <row r="575" spans="1:9">
      <c r="A575">
        <v>573</v>
      </c>
      <c r="B575">
        <v>5</v>
      </c>
      <c r="C575">
        <v>8110</v>
      </c>
      <c r="D575">
        <v>5214</v>
      </c>
      <c r="E575" s="4">
        <f t="shared" si="36"/>
        <v>0</v>
      </c>
      <c r="F575" s="4">
        <f t="shared" si="37"/>
        <v>2896</v>
      </c>
      <c r="G575" s="4">
        <f t="shared" si="38"/>
        <v>0.35709001233045623</v>
      </c>
      <c r="H575" s="4">
        <f t="shared" si="39"/>
        <v>8386816</v>
      </c>
      <c r="I575" s="5">
        <f>SQRT(SUM('r-native-multi'!$D$3:D575)/COUNTIF($A$3:A575,"&lt;&gt;0"))</f>
        <v>72.834987660973553</v>
      </c>
    </row>
    <row r="576" spans="1:9">
      <c r="A576">
        <v>574</v>
      </c>
      <c r="B576">
        <v>5</v>
      </c>
      <c r="C576">
        <v>8110</v>
      </c>
      <c r="D576">
        <v>5305</v>
      </c>
      <c r="E576" s="4">
        <f t="shared" si="36"/>
        <v>0</v>
      </c>
      <c r="F576" s="4">
        <f t="shared" si="37"/>
        <v>2805</v>
      </c>
      <c r="G576" s="4">
        <f t="shared" si="38"/>
        <v>0.34586929716399506</v>
      </c>
      <c r="H576" s="4">
        <f t="shared" si="39"/>
        <v>7868025</v>
      </c>
      <c r="I576" s="5">
        <f>SQRT(SUM('r-native-multi'!$D$3:D576)/COUNTIF($A$3:A576,"&lt;&gt;0"))</f>
        <v>72.834988433236447</v>
      </c>
    </row>
    <row r="577" spans="1:9">
      <c r="A577">
        <v>575</v>
      </c>
      <c r="B577">
        <v>5</v>
      </c>
      <c r="C577">
        <v>8110</v>
      </c>
      <c r="D577">
        <v>4892</v>
      </c>
      <c r="E577" s="4">
        <f t="shared" si="36"/>
        <v>0</v>
      </c>
      <c r="F577" s="4">
        <f t="shared" si="37"/>
        <v>3218</v>
      </c>
      <c r="G577" s="4">
        <f t="shared" si="38"/>
        <v>0.39679408138101108</v>
      </c>
      <c r="H577" s="4">
        <f t="shared" si="39"/>
        <v>10355524</v>
      </c>
      <c r="I577" s="5">
        <f>SQRT(SUM('r-native-multi'!$D$3:D577)/COUNTIF($A$3:A577,"&lt;&gt;0"))</f>
        <v>72.830058295351847</v>
      </c>
    </row>
    <row r="578" spans="1:9">
      <c r="A578">
        <v>576</v>
      </c>
      <c r="B578">
        <v>5</v>
      </c>
      <c r="C578">
        <v>8110</v>
      </c>
      <c r="D578">
        <v>5192</v>
      </c>
      <c r="E578" s="4">
        <f t="shared" si="36"/>
        <v>0</v>
      </c>
      <c r="F578" s="4">
        <f t="shared" si="37"/>
        <v>2918</v>
      </c>
      <c r="G578" s="4">
        <f t="shared" si="38"/>
        <v>0.3598027127003699</v>
      </c>
      <c r="H578" s="4">
        <f t="shared" si="39"/>
        <v>8514724</v>
      </c>
      <c r="I578" s="5">
        <f>SQRT(SUM('r-native-multi'!$D$3:D578)/COUNTIF($A$3:A578,"&lt;&gt;0"))</f>
        <v>72.828720773088165</v>
      </c>
    </row>
    <row r="579" spans="1:9">
      <c r="A579">
        <v>577</v>
      </c>
      <c r="B579">
        <v>5</v>
      </c>
      <c r="C579">
        <v>8110</v>
      </c>
      <c r="D579">
        <v>5190</v>
      </c>
      <c r="E579" s="4">
        <f t="shared" si="36"/>
        <v>0</v>
      </c>
      <c r="F579" s="4">
        <f t="shared" si="37"/>
        <v>2920</v>
      </c>
      <c r="G579" s="4">
        <f t="shared" si="38"/>
        <v>0.36004932182490751</v>
      </c>
      <c r="H579" s="4">
        <f t="shared" si="39"/>
        <v>8526400</v>
      </c>
      <c r="I579" s="5">
        <f>SQRT(SUM('r-native-multi'!$D$3:D579)/COUNTIF($A$3:A579,"&lt;&gt;0"))</f>
        <v>72.827364065112533</v>
      </c>
    </row>
    <row r="580" spans="1:9">
      <c r="A580">
        <v>578</v>
      </c>
      <c r="B580">
        <v>5</v>
      </c>
      <c r="C580">
        <v>8110</v>
      </c>
      <c r="D580">
        <v>5301</v>
      </c>
      <c r="E580" s="4">
        <f t="shared" si="36"/>
        <v>0</v>
      </c>
      <c r="F580" s="4">
        <f t="shared" si="37"/>
        <v>2809</v>
      </c>
      <c r="G580" s="4">
        <f t="shared" si="38"/>
        <v>0.34636251541307028</v>
      </c>
      <c r="H580" s="4">
        <f t="shared" si="39"/>
        <v>7890481</v>
      </c>
      <c r="I580" s="5">
        <f>SQRT(SUM('r-native-multi'!$D$3:D580)/COUNTIF($A$3:A580,"&lt;&gt;0"))</f>
        <v>72.827330509940779</v>
      </c>
    </row>
    <row r="581" spans="1:9">
      <c r="A581">
        <v>579</v>
      </c>
      <c r="B581">
        <v>5</v>
      </c>
      <c r="C581">
        <v>8110</v>
      </c>
      <c r="D581">
        <v>5182</v>
      </c>
      <c r="E581" s="4">
        <f t="shared" si="36"/>
        <v>0</v>
      </c>
      <c r="F581" s="4">
        <f t="shared" si="37"/>
        <v>2928</v>
      </c>
      <c r="G581" s="4">
        <f t="shared" si="38"/>
        <v>0.36103575832305795</v>
      </c>
      <c r="H581" s="4">
        <f t="shared" si="39"/>
        <v>8573184</v>
      </c>
      <c r="I581" s="5">
        <f>SQRT(SUM('r-native-multi'!$D$3:D581)/COUNTIF($A$3:A581,"&lt;&gt;0"))</f>
        <v>72.82588600111923</v>
      </c>
    </row>
    <row r="582" spans="1:9">
      <c r="A582">
        <v>580</v>
      </c>
      <c r="B582">
        <v>5</v>
      </c>
      <c r="C582">
        <v>8110</v>
      </c>
      <c r="D582">
        <v>5148</v>
      </c>
      <c r="E582" s="4">
        <f t="shared" si="36"/>
        <v>0</v>
      </c>
      <c r="F582" s="4">
        <f t="shared" si="37"/>
        <v>2962</v>
      </c>
      <c r="G582" s="4">
        <f t="shared" si="38"/>
        <v>0.36522811344019729</v>
      </c>
      <c r="H582" s="4">
        <f t="shared" si="39"/>
        <v>8773444</v>
      </c>
      <c r="I582" s="5">
        <f>SQRT(SUM('r-native-multi'!$D$3:D582)/COUNTIF($A$3:A582,"&lt;&gt;0"))</f>
        <v>72.824043964272846</v>
      </c>
    </row>
    <row r="583" spans="1:9">
      <c r="A583">
        <v>581</v>
      </c>
      <c r="B583">
        <v>5</v>
      </c>
      <c r="C583">
        <v>8110</v>
      </c>
      <c r="D583">
        <v>5266</v>
      </c>
      <c r="E583" s="4">
        <f t="shared" si="36"/>
        <v>0</v>
      </c>
      <c r="F583" s="4">
        <f t="shared" si="37"/>
        <v>2844</v>
      </c>
      <c r="G583" s="4">
        <f t="shared" si="38"/>
        <v>0.35067817509247839</v>
      </c>
      <c r="H583" s="4">
        <f t="shared" si="39"/>
        <v>8088336</v>
      </c>
      <c r="I583" s="5">
        <f>SQRT(SUM('r-native-multi'!$D$3:D583)/COUNTIF($A$3:A583,"&lt;&gt;0"))</f>
        <v>72.823602687821861</v>
      </c>
    </row>
    <row r="584" spans="1:9">
      <c r="A584">
        <v>582</v>
      </c>
      <c r="B584">
        <v>5</v>
      </c>
      <c r="C584">
        <v>8110</v>
      </c>
      <c r="D584">
        <v>5198</v>
      </c>
      <c r="E584" s="4">
        <f t="shared" si="36"/>
        <v>0</v>
      </c>
      <c r="F584" s="4">
        <f t="shared" si="37"/>
        <v>2912</v>
      </c>
      <c r="G584" s="4">
        <f t="shared" si="38"/>
        <v>0.35906288532675706</v>
      </c>
      <c r="H584" s="4">
        <f t="shared" si="39"/>
        <v>8479744</v>
      </c>
      <c r="I584" s="5">
        <f>SQRT(SUM('r-native-multi'!$D$3:D584)/COUNTIF($A$3:A584,"&lt;&gt;0"))</f>
        <v>72.822360713803221</v>
      </c>
    </row>
    <row r="585" spans="1:9">
      <c r="A585">
        <v>583</v>
      </c>
      <c r="B585">
        <v>5</v>
      </c>
      <c r="C585">
        <v>8110</v>
      </c>
      <c r="D585">
        <v>5135</v>
      </c>
      <c r="E585" s="4">
        <f t="shared" si="36"/>
        <v>0</v>
      </c>
      <c r="F585" s="4">
        <f t="shared" si="37"/>
        <v>2975</v>
      </c>
      <c r="G585" s="4">
        <f t="shared" si="38"/>
        <v>0.36683107274969173</v>
      </c>
      <c r="H585" s="4">
        <f t="shared" si="39"/>
        <v>8850625</v>
      </c>
      <c r="I585" s="5">
        <f>SQRT(SUM('r-native-multi'!$D$3:D585)/COUNTIF($A$3:A585,"&lt;&gt;0"))</f>
        <v>72.820381008499155</v>
      </c>
    </row>
    <row r="586" spans="1:9">
      <c r="A586">
        <v>584</v>
      </c>
      <c r="B586">
        <v>5</v>
      </c>
      <c r="C586">
        <v>8110</v>
      </c>
      <c r="D586">
        <v>5170</v>
      </c>
      <c r="E586" s="4">
        <f t="shared" si="36"/>
        <v>0</v>
      </c>
      <c r="F586" s="4">
        <f t="shared" si="37"/>
        <v>2940</v>
      </c>
      <c r="G586" s="4">
        <f t="shared" si="38"/>
        <v>0.36251541307028362</v>
      </c>
      <c r="H586" s="4">
        <f t="shared" si="39"/>
        <v>8643600</v>
      </c>
      <c r="I586" s="5">
        <f>SQRT(SUM('r-native-multi'!$D$3:D586)/COUNTIF($A$3:A586,"&lt;&gt;0"))</f>
        <v>72.818819541736971</v>
      </c>
    </row>
    <row r="587" spans="1:9">
      <c r="A587">
        <v>585</v>
      </c>
      <c r="B587">
        <v>5</v>
      </c>
      <c r="C587">
        <v>8110</v>
      </c>
      <c r="D587">
        <v>5144</v>
      </c>
      <c r="E587" s="4">
        <f t="shared" si="36"/>
        <v>0</v>
      </c>
      <c r="F587" s="4">
        <f t="shared" si="37"/>
        <v>2966</v>
      </c>
      <c r="G587" s="4">
        <f t="shared" si="38"/>
        <v>0.36572133168927251</v>
      </c>
      <c r="H587" s="4">
        <f t="shared" si="39"/>
        <v>8797156</v>
      </c>
      <c r="I587" s="5">
        <f>SQRT(SUM('r-native-multi'!$D$3:D587)/COUNTIF($A$3:A587,"&lt;&gt;0"))</f>
        <v>72.816958201434105</v>
      </c>
    </row>
    <row r="588" spans="1:9">
      <c r="A588">
        <v>586</v>
      </c>
      <c r="B588">
        <v>5</v>
      </c>
      <c r="C588">
        <v>8110</v>
      </c>
      <c r="D588">
        <v>5255</v>
      </c>
      <c r="E588" s="4">
        <f t="shared" si="36"/>
        <v>0</v>
      </c>
      <c r="F588" s="4">
        <f t="shared" si="37"/>
        <v>2855</v>
      </c>
      <c r="G588" s="4">
        <f t="shared" si="38"/>
        <v>0.35203452527743528</v>
      </c>
      <c r="H588" s="4">
        <f t="shared" si="39"/>
        <v>8151025</v>
      </c>
      <c r="I588" s="5">
        <f>SQRT(SUM('r-native-multi'!$D$3:D588)/COUNTIF($A$3:A588,"&lt;&gt;0"))</f>
        <v>72.816403845163762</v>
      </c>
    </row>
    <row r="589" spans="1:9">
      <c r="A589">
        <v>587</v>
      </c>
      <c r="B589">
        <v>5</v>
      </c>
      <c r="C589">
        <v>8110</v>
      </c>
      <c r="D589">
        <v>5273</v>
      </c>
      <c r="E589" s="4">
        <f t="shared" si="36"/>
        <v>0</v>
      </c>
      <c r="F589" s="4">
        <f t="shared" si="37"/>
        <v>2837</v>
      </c>
      <c r="G589" s="4">
        <f t="shared" si="38"/>
        <v>0.34981504315659678</v>
      </c>
      <c r="H589" s="4">
        <f t="shared" si="39"/>
        <v>8048569</v>
      </c>
      <c r="I589" s="5">
        <f>SQRT(SUM('r-native-multi'!$D$3:D589)/COUNTIF($A$3:A589,"&lt;&gt;0"))</f>
        <v>72.816061934430664</v>
      </c>
    </row>
    <row r="590" spans="1:9">
      <c r="A590">
        <v>588</v>
      </c>
      <c r="B590">
        <v>5</v>
      </c>
      <c r="C590">
        <v>8110</v>
      </c>
      <c r="D590">
        <v>5200</v>
      </c>
      <c r="E590" s="4">
        <f t="shared" si="36"/>
        <v>0</v>
      </c>
      <c r="F590" s="4">
        <f t="shared" si="37"/>
        <v>2910</v>
      </c>
      <c r="G590" s="4">
        <f t="shared" si="38"/>
        <v>0.35881627620221951</v>
      </c>
      <c r="H590" s="4">
        <f t="shared" si="39"/>
        <v>8468100</v>
      </c>
      <c r="I590" s="5">
        <f>SQRT(SUM('r-native-multi'!$D$3:D590)/COUNTIF($A$3:A590,"&lt;&gt;0"))</f>
        <v>72.814868687932247</v>
      </c>
    </row>
    <row r="591" spans="1:9">
      <c r="A591">
        <v>589</v>
      </c>
      <c r="B591">
        <v>5</v>
      </c>
      <c r="C591">
        <v>8110</v>
      </c>
      <c r="D591">
        <v>5289</v>
      </c>
      <c r="E591" s="4">
        <f t="shared" si="36"/>
        <v>0</v>
      </c>
      <c r="F591" s="4">
        <f t="shared" si="37"/>
        <v>2821</v>
      </c>
      <c r="G591" s="4">
        <f t="shared" si="38"/>
        <v>0.34784217016029595</v>
      </c>
      <c r="H591" s="4">
        <f t="shared" si="39"/>
        <v>7958041</v>
      </c>
      <c r="I591" s="5">
        <f>SQRT(SUM('r-native-multi'!$D$3:D591)/COUNTIF($A$3:A591,"&lt;&gt;0"))</f>
        <v>72.814717070598491</v>
      </c>
    </row>
    <row r="592" spans="1:9">
      <c r="A592">
        <v>590</v>
      </c>
      <c r="B592">
        <v>5</v>
      </c>
      <c r="C592">
        <v>8110</v>
      </c>
      <c r="D592">
        <v>5295</v>
      </c>
      <c r="E592" s="4">
        <f t="shared" si="36"/>
        <v>0</v>
      </c>
      <c r="F592" s="4">
        <f t="shared" si="37"/>
        <v>2815</v>
      </c>
      <c r="G592" s="4">
        <f t="shared" si="38"/>
        <v>0.34710234278668312</v>
      </c>
      <c r="H592" s="4">
        <f t="shared" si="39"/>
        <v>7924225</v>
      </c>
      <c r="I592" s="5">
        <f>SQRT(SUM('r-native-multi'!$D$3:D592)/COUNTIF($A$3:A592,"&lt;&gt;0"))</f>
        <v>72.814635798311031</v>
      </c>
    </row>
    <row r="593" spans="1:9">
      <c r="A593">
        <v>591</v>
      </c>
      <c r="B593">
        <v>5</v>
      </c>
      <c r="C593">
        <v>8110</v>
      </c>
      <c r="D593">
        <v>5194</v>
      </c>
      <c r="E593" s="4">
        <f t="shared" si="36"/>
        <v>0</v>
      </c>
      <c r="F593" s="4">
        <f t="shared" si="37"/>
        <v>2916</v>
      </c>
      <c r="G593" s="4">
        <f t="shared" si="38"/>
        <v>0.35955610357583229</v>
      </c>
      <c r="H593" s="4">
        <f t="shared" si="39"/>
        <v>8503056</v>
      </c>
      <c r="I593" s="5">
        <f>SQRT(SUM('r-native-multi'!$D$3:D593)/COUNTIF($A$3:A593,"&lt;&gt;0"))</f>
        <v>72.813381284471561</v>
      </c>
    </row>
    <row r="594" spans="1:9">
      <c r="A594">
        <v>592</v>
      </c>
      <c r="B594">
        <v>5</v>
      </c>
      <c r="C594">
        <v>8110</v>
      </c>
      <c r="D594">
        <v>5244</v>
      </c>
      <c r="E594" s="4">
        <f t="shared" si="36"/>
        <v>0</v>
      </c>
      <c r="F594" s="4">
        <f t="shared" si="37"/>
        <v>2866</v>
      </c>
      <c r="G594" s="4">
        <f t="shared" si="38"/>
        <v>0.35339087546239212</v>
      </c>
      <c r="H594" s="4">
        <f t="shared" si="39"/>
        <v>8213956</v>
      </c>
      <c r="I594" s="5">
        <f>SQRT(SUM('r-native-multi'!$D$3:D594)/COUNTIF($A$3:A594,"&lt;&gt;0"))</f>
        <v>72.812710967099548</v>
      </c>
    </row>
    <row r="595" spans="1:9">
      <c r="A595">
        <v>593</v>
      </c>
      <c r="B595">
        <v>5</v>
      </c>
      <c r="C595">
        <v>8110</v>
      </c>
      <c r="D595">
        <v>5270</v>
      </c>
      <c r="E595" s="4">
        <f t="shared" si="36"/>
        <v>0</v>
      </c>
      <c r="F595" s="4">
        <f t="shared" si="37"/>
        <v>2840</v>
      </c>
      <c r="G595" s="4">
        <f t="shared" si="38"/>
        <v>0.35018495684340323</v>
      </c>
      <c r="H595" s="4">
        <f t="shared" si="39"/>
        <v>8065600</v>
      </c>
      <c r="I595" s="5">
        <f>SQRT(SUM('r-native-multi'!$D$3:D595)/COUNTIF($A$3:A595,"&lt;&gt;0"))</f>
        <v>72.81234398618291</v>
      </c>
    </row>
    <row r="596" spans="1:9">
      <c r="A596">
        <v>594</v>
      </c>
      <c r="B596">
        <v>5</v>
      </c>
      <c r="C596">
        <v>8110</v>
      </c>
      <c r="D596">
        <v>5267</v>
      </c>
      <c r="E596" s="4">
        <f t="shared" si="36"/>
        <v>0</v>
      </c>
      <c r="F596" s="4">
        <f t="shared" si="37"/>
        <v>2843</v>
      </c>
      <c r="G596" s="4">
        <f t="shared" si="38"/>
        <v>0.35055487053020962</v>
      </c>
      <c r="H596" s="4">
        <f t="shared" si="39"/>
        <v>8082649</v>
      </c>
      <c r="I596" s="5">
        <f>SQRT(SUM('r-native-multi'!$D$3:D596)/COUNTIF($A$3:A596,"&lt;&gt;0"))</f>
        <v>72.811943557215415</v>
      </c>
    </row>
    <row r="597" spans="1:9">
      <c r="A597">
        <v>595</v>
      </c>
      <c r="B597">
        <v>5</v>
      </c>
      <c r="C597">
        <v>8110</v>
      </c>
      <c r="D597">
        <v>5234</v>
      </c>
      <c r="E597" s="4">
        <f t="shared" si="36"/>
        <v>0</v>
      </c>
      <c r="F597" s="4">
        <f t="shared" si="37"/>
        <v>2876</v>
      </c>
      <c r="G597" s="4">
        <f t="shared" si="38"/>
        <v>0.35462392108508017</v>
      </c>
      <c r="H597" s="4">
        <f t="shared" si="39"/>
        <v>8271376</v>
      </c>
      <c r="I597" s="5">
        <f>SQRT(SUM('r-native-multi'!$D$3:D597)/COUNTIF($A$3:A597,"&lt;&gt;0"))</f>
        <v>72.811163609837237</v>
      </c>
    </row>
    <row r="598" spans="1:9">
      <c r="A598">
        <v>596</v>
      </c>
      <c r="B598">
        <v>5</v>
      </c>
      <c r="C598">
        <v>8110</v>
      </c>
      <c r="D598">
        <v>5137</v>
      </c>
      <c r="E598" s="4">
        <f t="shared" si="36"/>
        <v>0</v>
      </c>
      <c r="F598" s="4">
        <f t="shared" si="37"/>
        <v>2973</v>
      </c>
      <c r="G598" s="4">
        <f t="shared" si="38"/>
        <v>0.36658446362515412</v>
      </c>
      <c r="H598" s="4">
        <f t="shared" si="39"/>
        <v>8838729</v>
      </c>
      <c r="I598" s="5">
        <f>SQRT(SUM('r-native-multi'!$D$3:D598)/COUNTIF($A$3:A598,"&lt;&gt;0"))</f>
        <v>72.809268622308224</v>
      </c>
    </row>
    <row r="599" spans="1:9">
      <c r="A599">
        <v>597</v>
      </c>
      <c r="B599">
        <v>5</v>
      </c>
      <c r="C599">
        <v>8110</v>
      </c>
      <c r="D599">
        <v>5192</v>
      </c>
      <c r="E599" s="4">
        <f t="shared" si="36"/>
        <v>0</v>
      </c>
      <c r="F599" s="4">
        <f t="shared" si="37"/>
        <v>2918</v>
      </c>
      <c r="G599" s="4">
        <f t="shared" si="38"/>
        <v>0.3598027127003699</v>
      </c>
      <c r="H599" s="4">
        <f t="shared" si="39"/>
        <v>8514724</v>
      </c>
      <c r="I599" s="5">
        <f>SQRT(SUM('r-native-multi'!$D$3:D599)/COUNTIF($A$3:A599,"&lt;&gt;0"))</f>
        <v>72.808012609653787</v>
      </c>
    </row>
    <row r="600" spans="1:9">
      <c r="A600">
        <v>598</v>
      </c>
      <c r="B600">
        <v>5</v>
      </c>
      <c r="C600">
        <v>8110</v>
      </c>
      <c r="D600">
        <v>4539</v>
      </c>
      <c r="E600" s="4">
        <f t="shared" si="36"/>
        <v>0</v>
      </c>
      <c r="F600" s="4">
        <f t="shared" si="37"/>
        <v>3571</v>
      </c>
      <c r="G600" s="4">
        <f t="shared" si="38"/>
        <v>0.44032059186189887</v>
      </c>
      <c r="H600" s="4">
        <f t="shared" si="39"/>
        <v>12752041</v>
      </c>
      <c r="I600" s="5">
        <f>SQRT(SUM('r-native-multi'!$D$3:D600)/COUNTIF($A$3:A600,"&lt;&gt;0"))</f>
        <v>72.79926127009513</v>
      </c>
    </row>
    <row r="601" spans="1:9">
      <c r="A601">
        <v>599</v>
      </c>
      <c r="B601">
        <v>5</v>
      </c>
      <c r="C601">
        <v>8110</v>
      </c>
      <c r="D601">
        <v>5103</v>
      </c>
      <c r="E601" s="4">
        <f t="shared" ref="E601:E664" si="40">IF(AND(D601&lt;=C601*1.2,D601&gt;=C601*0.8),1,0)</f>
        <v>0</v>
      </c>
      <c r="F601" s="4">
        <f t="shared" ref="F601:F664" si="41">ABS(C601-D601)</f>
        <v>3007</v>
      </c>
      <c r="G601" s="4">
        <f t="shared" ref="G601:G664" si="42">ABS(C601-D601)/C601</f>
        <v>0.37077681874229346</v>
      </c>
      <c r="H601" s="4">
        <f t="shared" ref="H601:H664" si="43">POWER(F601,2)</f>
        <v>9042049</v>
      </c>
      <c r="I601" s="5">
        <f>SQRT(SUM('r-native-multi'!$D$3:D601)/COUNTIF($A$3:A601,"&lt;&gt;0"))</f>
        <v>72.797005478781855</v>
      </c>
    </row>
    <row r="602" spans="1:9">
      <c r="A602">
        <v>600</v>
      </c>
      <c r="B602">
        <v>5</v>
      </c>
      <c r="C602">
        <v>8110</v>
      </c>
      <c r="D602">
        <v>4911</v>
      </c>
      <c r="E602" s="4">
        <f t="shared" si="40"/>
        <v>0</v>
      </c>
      <c r="F602" s="4">
        <f t="shared" si="41"/>
        <v>3199</v>
      </c>
      <c r="G602" s="4">
        <f t="shared" si="42"/>
        <v>0.3944512946979038</v>
      </c>
      <c r="H602" s="4">
        <f t="shared" si="43"/>
        <v>10233601</v>
      </c>
      <c r="I602" s="5">
        <f>SQRT(SUM('r-native-multi'!$D$3:D602)/COUNTIF($A$3:A602,"&lt;&gt;0"))</f>
        <v>72.792559143546171</v>
      </c>
    </row>
    <row r="603" spans="1:9">
      <c r="A603">
        <v>601</v>
      </c>
      <c r="B603">
        <v>5</v>
      </c>
      <c r="C603">
        <v>6680</v>
      </c>
      <c r="D603">
        <v>5203</v>
      </c>
      <c r="E603" s="4">
        <f t="shared" si="40"/>
        <v>0</v>
      </c>
      <c r="F603" s="4">
        <f t="shared" si="41"/>
        <v>1477</v>
      </c>
      <c r="G603" s="4">
        <f t="shared" si="42"/>
        <v>0.22110778443113774</v>
      </c>
      <c r="H603" s="4">
        <f t="shared" si="43"/>
        <v>2181529</v>
      </c>
      <c r="I603" s="5">
        <f>SQRT(SUM('r-native-multi'!$D$3:D603)/COUNTIF($A$3:A603,"&lt;&gt;0"))</f>
        <v>72.791464731590494</v>
      </c>
    </row>
    <row r="604" spans="1:9">
      <c r="A604">
        <v>602</v>
      </c>
      <c r="B604">
        <v>5</v>
      </c>
      <c r="C604">
        <v>6680</v>
      </c>
      <c r="D604">
        <v>5255</v>
      </c>
      <c r="E604" s="4">
        <f t="shared" si="40"/>
        <v>0</v>
      </c>
      <c r="F604" s="4">
        <f t="shared" si="41"/>
        <v>1425</v>
      </c>
      <c r="G604" s="4">
        <f t="shared" si="42"/>
        <v>0.21332335329341318</v>
      </c>
      <c r="H604" s="4">
        <f t="shared" si="43"/>
        <v>2030625</v>
      </c>
      <c r="I604" s="5">
        <f>SQRT(SUM('r-native-multi'!$D$3:D604)/COUNTIF($A$3:A604,"&lt;&gt;0"))</f>
        <v>72.790967275778954</v>
      </c>
    </row>
    <row r="605" spans="1:9">
      <c r="A605">
        <v>603</v>
      </c>
      <c r="B605">
        <v>5</v>
      </c>
      <c r="C605">
        <v>6680</v>
      </c>
      <c r="D605">
        <v>5182</v>
      </c>
      <c r="E605" s="4">
        <f t="shared" si="40"/>
        <v>0</v>
      </c>
      <c r="F605" s="4">
        <f t="shared" si="41"/>
        <v>1498</v>
      </c>
      <c r="G605" s="4">
        <f t="shared" si="42"/>
        <v>0.22425149700598804</v>
      </c>
      <c r="H605" s="4">
        <f t="shared" si="43"/>
        <v>2244004</v>
      </c>
      <c r="I605" s="5">
        <f>SQRT(SUM('r-native-multi'!$D$3:D605)/COUNTIF($A$3:A605,"&lt;&gt;0"))</f>
        <v>72.789639887545405</v>
      </c>
    </row>
    <row r="606" spans="1:9">
      <c r="A606">
        <v>604</v>
      </c>
      <c r="B606">
        <v>5</v>
      </c>
      <c r="C606">
        <v>6680</v>
      </c>
      <c r="D606">
        <v>5017</v>
      </c>
      <c r="E606" s="4">
        <f t="shared" si="40"/>
        <v>0</v>
      </c>
      <c r="F606" s="4">
        <f t="shared" si="41"/>
        <v>1663</v>
      </c>
      <c r="G606" s="4">
        <f t="shared" si="42"/>
        <v>0.24895209580838323</v>
      </c>
      <c r="H606" s="4">
        <f t="shared" si="43"/>
        <v>2765569</v>
      </c>
      <c r="I606" s="5">
        <f>SQRT(SUM('r-native-multi'!$D$3:D606)/COUNTIF($A$3:A606,"&lt;&gt;0"))</f>
        <v>72.786440317134179</v>
      </c>
    </row>
    <row r="607" spans="1:9">
      <c r="A607">
        <v>605</v>
      </c>
      <c r="B607">
        <v>5</v>
      </c>
      <c r="C607">
        <v>6680</v>
      </c>
      <c r="D607">
        <v>5168</v>
      </c>
      <c r="E607" s="4">
        <f t="shared" si="40"/>
        <v>0</v>
      </c>
      <c r="F607" s="4">
        <f t="shared" si="41"/>
        <v>1512</v>
      </c>
      <c r="G607" s="4">
        <f t="shared" si="42"/>
        <v>0.22634730538922157</v>
      </c>
      <c r="H607" s="4">
        <f t="shared" si="43"/>
        <v>2286144</v>
      </c>
      <c r="I607" s="5">
        <f>SQRT(SUM('r-native-multi'!$D$3:D607)/COUNTIF($A$3:A607,"&lt;&gt;0"))</f>
        <v>72.784965753027748</v>
      </c>
    </row>
    <row r="608" spans="1:9">
      <c r="A608">
        <v>606</v>
      </c>
      <c r="B608">
        <v>5</v>
      </c>
      <c r="C608">
        <v>6680</v>
      </c>
      <c r="D608">
        <v>5165</v>
      </c>
      <c r="E608" s="4">
        <f t="shared" si="40"/>
        <v>0</v>
      </c>
      <c r="F608" s="4">
        <f t="shared" si="41"/>
        <v>1515</v>
      </c>
      <c r="G608" s="4">
        <f t="shared" si="42"/>
        <v>0.22679640718562874</v>
      </c>
      <c r="H608" s="4">
        <f t="shared" si="43"/>
        <v>2295225</v>
      </c>
      <c r="I608" s="5">
        <f>SQRT(SUM('r-native-multi'!$D$3:D608)/COUNTIF($A$3:A608,"&lt;&gt;0"))</f>
        <v>72.783462017372628</v>
      </c>
    </row>
    <row r="609" spans="1:9">
      <c r="A609">
        <v>607</v>
      </c>
      <c r="B609">
        <v>5</v>
      </c>
      <c r="C609">
        <v>6680</v>
      </c>
      <c r="D609">
        <v>5154</v>
      </c>
      <c r="E609" s="4">
        <f t="shared" si="40"/>
        <v>0</v>
      </c>
      <c r="F609" s="4">
        <f t="shared" si="41"/>
        <v>1526</v>
      </c>
      <c r="G609" s="4">
        <f t="shared" si="42"/>
        <v>0.2284431137724551</v>
      </c>
      <c r="H609" s="4">
        <f t="shared" si="43"/>
        <v>2328676</v>
      </c>
      <c r="I609" s="5">
        <f>SQRT(SUM('r-native-multi'!$D$3:D609)/COUNTIF($A$3:A609,"&lt;&gt;0"))</f>
        <v>72.781838710824701</v>
      </c>
    </row>
    <row r="610" spans="1:9">
      <c r="A610">
        <v>608</v>
      </c>
      <c r="B610">
        <v>5</v>
      </c>
      <c r="C610">
        <v>6680</v>
      </c>
      <c r="D610">
        <v>5135</v>
      </c>
      <c r="E610" s="4">
        <f t="shared" si="40"/>
        <v>0</v>
      </c>
      <c r="F610" s="4">
        <f t="shared" si="41"/>
        <v>1545</v>
      </c>
      <c r="G610" s="4">
        <f t="shared" si="42"/>
        <v>0.2312874251497006</v>
      </c>
      <c r="H610" s="4">
        <f t="shared" si="43"/>
        <v>2387025</v>
      </c>
      <c r="I610" s="5">
        <f>SQRT(SUM('r-native-multi'!$D$3:D610)/COUNTIF($A$3:A610,"&lt;&gt;0"))</f>
        <v>72.780006020306075</v>
      </c>
    </row>
    <row r="611" spans="1:9">
      <c r="A611">
        <v>609</v>
      </c>
      <c r="B611">
        <v>5</v>
      </c>
      <c r="C611">
        <v>6680</v>
      </c>
      <c r="D611">
        <v>5222</v>
      </c>
      <c r="E611" s="4">
        <f t="shared" si="40"/>
        <v>0</v>
      </c>
      <c r="F611" s="4">
        <f t="shared" si="41"/>
        <v>1458</v>
      </c>
      <c r="G611" s="4">
        <f t="shared" si="42"/>
        <v>0.21826347305389221</v>
      </c>
      <c r="H611" s="4">
        <f t="shared" si="43"/>
        <v>2125764</v>
      </c>
      <c r="I611" s="5">
        <f>SQRT(SUM('r-native-multi'!$D$3:D611)/COUNTIF($A$3:A611,"&lt;&gt;0"))</f>
        <v>72.779160751806373</v>
      </c>
    </row>
    <row r="612" spans="1:9">
      <c r="A612">
        <v>610</v>
      </c>
      <c r="B612">
        <v>5</v>
      </c>
      <c r="C612">
        <v>6680</v>
      </c>
      <c r="D612">
        <v>5217</v>
      </c>
      <c r="E612" s="4">
        <f t="shared" si="40"/>
        <v>0</v>
      </c>
      <c r="F612" s="4">
        <f t="shared" si="41"/>
        <v>1463</v>
      </c>
      <c r="G612" s="4">
        <f t="shared" si="42"/>
        <v>0.21901197604790421</v>
      </c>
      <c r="H612" s="4">
        <f t="shared" si="43"/>
        <v>2140369</v>
      </c>
      <c r="I612" s="5">
        <f>SQRT(SUM('r-native-multi'!$D$3:D612)/COUNTIF($A$3:A612,"&lt;&gt;0"))</f>
        <v>72.778261931953722</v>
      </c>
    </row>
    <row r="613" spans="1:9">
      <c r="A613">
        <v>611</v>
      </c>
      <c r="B613">
        <v>5</v>
      </c>
      <c r="C613">
        <v>6680</v>
      </c>
      <c r="D613">
        <v>5171</v>
      </c>
      <c r="E613" s="4">
        <f t="shared" si="40"/>
        <v>0</v>
      </c>
      <c r="F613" s="4">
        <f t="shared" si="41"/>
        <v>1509</v>
      </c>
      <c r="G613" s="4">
        <f t="shared" si="42"/>
        <v>0.22589820359281437</v>
      </c>
      <c r="H613" s="4">
        <f t="shared" si="43"/>
        <v>2277081</v>
      </c>
      <c r="I613" s="5">
        <f>SQRT(SUM('r-native-multi'!$D$3:D613)/COUNTIF($A$3:A613,"&lt;&gt;0"))</f>
        <v>72.776848803500656</v>
      </c>
    </row>
    <row r="614" spans="1:9">
      <c r="A614">
        <v>612</v>
      </c>
      <c r="B614">
        <v>5</v>
      </c>
      <c r="C614">
        <v>6680</v>
      </c>
      <c r="D614">
        <v>5204</v>
      </c>
      <c r="E614" s="4">
        <f t="shared" si="40"/>
        <v>0</v>
      </c>
      <c r="F614" s="4">
        <f t="shared" si="41"/>
        <v>1476</v>
      </c>
      <c r="G614" s="4">
        <f t="shared" si="42"/>
        <v>0.22095808383233534</v>
      </c>
      <c r="H614" s="4">
        <f t="shared" si="43"/>
        <v>2178576</v>
      </c>
      <c r="I614" s="5">
        <f>SQRT(SUM('r-native-multi'!$D$3:D614)/COUNTIF($A$3:A614,"&lt;&gt;0"))</f>
        <v>72.775810730289919</v>
      </c>
    </row>
    <row r="615" spans="1:9">
      <c r="A615">
        <v>613</v>
      </c>
      <c r="B615">
        <v>5</v>
      </c>
      <c r="C615">
        <v>6680</v>
      </c>
      <c r="D615">
        <v>5291</v>
      </c>
      <c r="E615" s="4">
        <f t="shared" si="40"/>
        <v>0</v>
      </c>
      <c r="F615" s="4">
        <f t="shared" si="41"/>
        <v>1389</v>
      </c>
      <c r="G615" s="4">
        <f t="shared" si="42"/>
        <v>0.20793413173652694</v>
      </c>
      <c r="H615" s="4">
        <f t="shared" si="43"/>
        <v>1929321</v>
      </c>
      <c r="I615" s="5">
        <f>SQRT(SUM('r-native-multi'!$D$3:D615)/COUNTIF($A$3:A615,"&lt;&gt;0"))</f>
        <v>72.775751119863813</v>
      </c>
    </row>
    <row r="616" spans="1:9">
      <c r="A616">
        <v>614</v>
      </c>
      <c r="B616">
        <v>5</v>
      </c>
      <c r="C616">
        <v>6680</v>
      </c>
      <c r="D616">
        <v>5105</v>
      </c>
      <c r="E616" s="4">
        <f t="shared" si="40"/>
        <v>0</v>
      </c>
      <c r="F616" s="4">
        <f t="shared" si="41"/>
        <v>1575</v>
      </c>
      <c r="G616" s="4">
        <f t="shared" si="42"/>
        <v>0.23577844311377247</v>
      </c>
      <c r="H616" s="4">
        <f t="shared" si="43"/>
        <v>2480625</v>
      </c>
      <c r="I616" s="5">
        <f>SQRT(SUM('r-native-multi'!$D$3:D616)/COUNTIF($A$3:A616,"&lt;&gt;0"))</f>
        <v>72.773610404703064</v>
      </c>
    </row>
    <row r="617" spans="1:9">
      <c r="A617">
        <v>615</v>
      </c>
      <c r="B617">
        <v>5</v>
      </c>
      <c r="C617">
        <v>6680</v>
      </c>
      <c r="D617">
        <v>5258</v>
      </c>
      <c r="E617" s="4">
        <f t="shared" si="40"/>
        <v>0</v>
      </c>
      <c r="F617" s="4">
        <f t="shared" si="41"/>
        <v>1422</v>
      </c>
      <c r="G617" s="4">
        <f t="shared" si="42"/>
        <v>0.21287425149700598</v>
      </c>
      <c r="H617" s="4">
        <f t="shared" si="43"/>
        <v>2022084</v>
      </c>
      <c r="I617" s="5">
        <f>SQRT(SUM('r-native-multi'!$D$3:D617)/COUNTIF($A$3:A617,"&lt;&gt;0"))</f>
        <v>72.77318589539594</v>
      </c>
    </row>
    <row r="618" spans="1:9">
      <c r="A618">
        <v>616</v>
      </c>
      <c r="B618">
        <v>5</v>
      </c>
      <c r="C618">
        <v>6680</v>
      </c>
      <c r="D618">
        <v>5234</v>
      </c>
      <c r="E618" s="4">
        <f t="shared" si="40"/>
        <v>0</v>
      </c>
      <c r="F618" s="4">
        <f t="shared" si="41"/>
        <v>1446</v>
      </c>
      <c r="G618" s="4">
        <f t="shared" si="42"/>
        <v>0.21646706586826348</v>
      </c>
      <c r="H618" s="4">
        <f t="shared" si="43"/>
        <v>2090916</v>
      </c>
      <c r="I618" s="5">
        <f>SQRT(SUM('r-native-multi'!$D$3:D618)/COUNTIF($A$3:A618,"&lt;&gt;0"))</f>
        <v>72.772495071703005</v>
      </c>
    </row>
    <row r="619" spans="1:9">
      <c r="A619">
        <v>617</v>
      </c>
      <c r="B619">
        <v>5</v>
      </c>
      <c r="C619">
        <v>6680</v>
      </c>
      <c r="D619">
        <v>5258</v>
      </c>
      <c r="E619" s="4">
        <f t="shared" si="40"/>
        <v>0</v>
      </c>
      <c r="F619" s="4">
        <f t="shared" si="41"/>
        <v>1422</v>
      </c>
      <c r="G619" s="4">
        <f t="shared" si="42"/>
        <v>0.21287425149700598</v>
      </c>
      <c r="H619" s="4">
        <f t="shared" si="43"/>
        <v>2022084</v>
      </c>
      <c r="I619" s="5">
        <f>SQRT(SUM('r-native-multi'!$D$3:D619)/COUNTIF($A$3:A619,"&lt;&gt;0"))</f>
        <v>72.772073739653251</v>
      </c>
    </row>
    <row r="620" spans="1:9">
      <c r="A620">
        <v>618</v>
      </c>
      <c r="B620">
        <v>5</v>
      </c>
      <c r="C620">
        <v>6680</v>
      </c>
      <c r="D620">
        <v>5170</v>
      </c>
      <c r="E620" s="4">
        <f t="shared" si="40"/>
        <v>0</v>
      </c>
      <c r="F620" s="4">
        <f t="shared" si="41"/>
        <v>1510</v>
      </c>
      <c r="G620" s="4">
        <f t="shared" si="42"/>
        <v>0.22604790419161677</v>
      </c>
      <c r="H620" s="4">
        <f t="shared" si="43"/>
        <v>2280100</v>
      </c>
      <c r="I620" s="5">
        <f>SQRT(SUM('r-native-multi'!$D$3:D620)/COUNTIF($A$3:A620,"&lt;&gt;0"))</f>
        <v>72.770675394770137</v>
      </c>
    </row>
    <row r="621" spans="1:9">
      <c r="A621">
        <v>619</v>
      </c>
      <c r="B621">
        <v>5</v>
      </c>
      <c r="C621">
        <v>6680</v>
      </c>
      <c r="D621">
        <v>5187</v>
      </c>
      <c r="E621" s="4">
        <f t="shared" si="40"/>
        <v>0</v>
      </c>
      <c r="F621" s="4">
        <f t="shared" si="41"/>
        <v>1493</v>
      </c>
      <c r="G621" s="4">
        <f t="shared" si="42"/>
        <v>0.22350299401197604</v>
      </c>
      <c r="H621" s="4">
        <f t="shared" si="43"/>
        <v>2229049</v>
      </c>
      <c r="I621" s="5">
        <f>SQRT(SUM('r-native-multi'!$D$3:D621)/COUNTIF($A$3:A621,"&lt;&gt;0"))</f>
        <v>72.769470244580575</v>
      </c>
    </row>
    <row r="622" spans="1:9">
      <c r="A622">
        <v>620</v>
      </c>
      <c r="B622">
        <v>5</v>
      </c>
      <c r="C622">
        <v>6680</v>
      </c>
      <c r="D622">
        <v>5123</v>
      </c>
      <c r="E622" s="4">
        <f t="shared" si="40"/>
        <v>0</v>
      </c>
      <c r="F622" s="4">
        <f t="shared" si="41"/>
        <v>1557</v>
      </c>
      <c r="G622" s="4">
        <f t="shared" si="42"/>
        <v>0.23308383233532934</v>
      </c>
      <c r="H622" s="4">
        <f t="shared" si="43"/>
        <v>2424249</v>
      </c>
      <c r="I622" s="5">
        <f>SQRT(SUM('r-native-multi'!$D$3:D622)/COUNTIF($A$3:A622,"&lt;&gt;0"))</f>
        <v>72.767559681052134</v>
      </c>
    </row>
    <row r="623" spans="1:9">
      <c r="A623">
        <v>621</v>
      </c>
      <c r="B623">
        <v>5</v>
      </c>
      <c r="C623">
        <v>6680</v>
      </c>
      <c r="D623">
        <v>5153</v>
      </c>
      <c r="E623" s="4">
        <f t="shared" si="40"/>
        <v>0</v>
      </c>
      <c r="F623" s="4">
        <f t="shared" si="41"/>
        <v>1527</v>
      </c>
      <c r="G623" s="4">
        <f t="shared" si="42"/>
        <v>0.22859281437125747</v>
      </c>
      <c r="H623" s="4">
        <f t="shared" si="43"/>
        <v>2331729</v>
      </c>
      <c r="I623" s="5">
        <f>SQRT(SUM('r-native-multi'!$D$3:D623)/COUNTIF($A$3:A623,"&lt;&gt;0"))</f>
        <v>72.765987170441718</v>
      </c>
    </row>
    <row r="624" spans="1:9">
      <c r="A624">
        <v>622</v>
      </c>
      <c r="B624">
        <v>5</v>
      </c>
      <c r="C624">
        <v>6680</v>
      </c>
      <c r="D624">
        <v>5219</v>
      </c>
      <c r="E624" s="4">
        <f t="shared" si="40"/>
        <v>0</v>
      </c>
      <c r="F624" s="4">
        <f t="shared" si="41"/>
        <v>1461</v>
      </c>
      <c r="G624" s="4">
        <f t="shared" si="42"/>
        <v>0.21871257485029941</v>
      </c>
      <c r="H624" s="4">
        <f t="shared" si="43"/>
        <v>2134521</v>
      </c>
      <c r="I624" s="5">
        <f>SQRT(SUM('r-native-multi'!$D$3:D624)/COUNTIF($A$3:A624,"&lt;&gt;0"))</f>
        <v>72.76514880785264</v>
      </c>
    </row>
    <row r="625" spans="1:9">
      <c r="A625">
        <v>623</v>
      </c>
      <c r="B625">
        <v>5</v>
      </c>
      <c r="C625">
        <v>6680</v>
      </c>
      <c r="D625">
        <v>5185</v>
      </c>
      <c r="E625" s="4">
        <f t="shared" si="40"/>
        <v>0</v>
      </c>
      <c r="F625" s="4">
        <f t="shared" si="41"/>
        <v>1495</v>
      </c>
      <c r="G625" s="4">
        <f t="shared" si="42"/>
        <v>0.22380239520958084</v>
      </c>
      <c r="H625" s="4">
        <f t="shared" si="43"/>
        <v>2235025</v>
      </c>
      <c r="I625" s="5">
        <f>SQRT(SUM('r-native-multi'!$D$3:D625)/COUNTIF($A$3:A625,"&lt;&gt;0"))</f>
        <v>72.763938116409477</v>
      </c>
    </row>
    <row r="626" spans="1:9">
      <c r="A626">
        <v>624</v>
      </c>
      <c r="B626">
        <v>5</v>
      </c>
      <c r="C626">
        <v>6680</v>
      </c>
      <c r="D626">
        <v>5215</v>
      </c>
      <c r="E626" s="4">
        <f t="shared" si="40"/>
        <v>0</v>
      </c>
      <c r="F626" s="4">
        <f t="shared" si="41"/>
        <v>1465</v>
      </c>
      <c r="G626" s="4">
        <f t="shared" si="42"/>
        <v>0.21931137724550898</v>
      </c>
      <c r="H626" s="4">
        <f t="shared" si="43"/>
        <v>2146225</v>
      </c>
      <c r="I626" s="5">
        <f>SQRT(SUM('r-native-multi'!$D$3:D626)/COUNTIF($A$3:A626,"&lt;&gt;0"))</f>
        <v>72.763061652363419</v>
      </c>
    </row>
    <row r="627" spans="1:9">
      <c r="A627">
        <v>625</v>
      </c>
      <c r="B627">
        <v>5</v>
      </c>
      <c r="C627">
        <v>6680</v>
      </c>
      <c r="D627">
        <v>5129</v>
      </c>
      <c r="E627" s="4">
        <f t="shared" si="40"/>
        <v>0</v>
      </c>
      <c r="F627" s="4">
        <f t="shared" si="41"/>
        <v>1551</v>
      </c>
      <c r="G627" s="4">
        <f t="shared" si="42"/>
        <v>0.23218562874251497</v>
      </c>
      <c r="H627" s="4">
        <f t="shared" si="43"/>
        <v>2405601</v>
      </c>
      <c r="I627" s="5">
        <f>SQRT(SUM('r-native-multi'!$D$3:D627)/COUNTIF($A$3:A627,"&lt;&gt;0"))</f>
        <v>72.76124243029389</v>
      </c>
    </row>
    <row r="628" spans="1:9">
      <c r="A628">
        <v>626</v>
      </c>
      <c r="B628">
        <v>5</v>
      </c>
      <c r="C628">
        <v>6680</v>
      </c>
      <c r="D628">
        <v>5183</v>
      </c>
      <c r="E628" s="4">
        <f t="shared" si="40"/>
        <v>0</v>
      </c>
      <c r="F628" s="4">
        <f t="shared" si="41"/>
        <v>1497</v>
      </c>
      <c r="G628" s="4">
        <f t="shared" si="42"/>
        <v>0.22410179640718564</v>
      </c>
      <c r="H628" s="4">
        <f t="shared" si="43"/>
        <v>2241009</v>
      </c>
      <c r="I628" s="5">
        <f>SQRT(SUM('r-native-multi'!$D$3:D628)/COUNTIF($A$3:A628,"&lt;&gt;0"))</f>
        <v>72.760021761769437</v>
      </c>
    </row>
    <row r="629" spans="1:9">
      <c r="A629">
        <v>627</v>
      </c>
      <c r="B629">
        <v>5</v>
      </c>
      <c r="C629">
        <v>6680</v>
      </c>
      <c r="D629">
        <v>5272</v>
      </c>
      <c r="E629" s="4">
        <f t="shared" si="40"/>
        <v>0</v>
      </c>
      <c r="F629" s="4">
        <f t="shared" si="41"/>
        <v>1408</v>
      </c>
      <c r="G629" s="4">
        <f t="shared" si="42"/>
        <v>0.21077844311377245</v>
      </c>
      <c r="H629" s="4">
        <f t="shared" si="43"/>
        <v>1982464</v>
      </c>
      <c r="I629" s="5">
        <f>SQRT(SUM('r-native-multi'!$D$3:D629)/COUNTIF($A$3:A629,"&lt;&gt;0"))</f>
        <v>72.759780414271546</v>
      </c>
    </row>
    <row r="630" spans="1:9">
      <c r="A630">
        <v>628</v>
      </c>
      <c r="B630">
        <v>5</v>
      </c>
      <c r="C630">
        <v>6680</v>
      </c>
      <c r="D630">
        <v>5247</v>
      </c>
      <c r="E630" s="4">
        <f t="shared" si="40"/>
        <v>0</v>
      </c>
      <c r="F630" s="4">
        <f t="shared" si="41"/>
        <v>1433</v>
      </c>
      <c r="G630" s="4">
        <f t="shared" si="42"/>
        <v>0.21452095808383234</v>
      </c>
      <c r="H630" s="4">
        <f t="shared" si="43"/>
        <v>2053489</v>
      </c>
      <c r="I630" s="5">
        <f>SQRT(SUM('r-native-multi'!$D$3:D630)/COUNTIF($A$3:A630,"&lt;&gt;0"))</f>
        <v>72.759266269152803</v>
      </c>
    </row>
    <row r="631" spans="1:9">
      <c r="A631">
        <v>629</v>
      </c>
      <c r="B631">
        <v>5</v>
      </c>
      <c r="C631">
        <v>6680</v>
      </c>
      <c r="D631">
        <v>5233</v>
      </c>
      <c r="E631" s="4">
        <f t="shared" si="40"/>
        <v>0</v>
      </c>
      <c r="F631" s="4">
        <f t="shared" si="41"/>
        <v>1447</v>
      </c>
      <c r="G631" s="4">
        <f t="shared" si="42"/>
        <v>0.21661676646706587</v>
      </c>
      <c r="H631" s="4">
        <f t="shared" si="43"/>
        <v>2093809</v>
      </c>
      <c r="I631" s="5">
        <f>SQRT(SUM('r-native-multi'!$D$3:D631)/COUNTIF($A$3:A631,"&lt;&gt;0"))</f>
        <v>72.758600800599851</v>
      </c>
    </row>
    <row r="632" spans="1:9">
      <c r="A632">
        <v>630</v>
      </c>
      <c r="B632">
        <v>5</v>
      </c>
      <c r="C632">
        <v>6680</v>
      </c>
      <c r="D632">
        <v>5146</v>
      </c>
      <c r="E632" s="4">
        <f t="shared" si="40"/>
        <v>0</v>
      </c>
      <c r="F632" s="4">
        <f t="shared" si="41"/>
        <v>1534</v>
      </c>
      <c r="G632" s="4">
        <f t="shared" si="42"/>
        <v>0.22964071856287424</v>
      </c>
      <c r="H632" s="4">
        <f t="shared" si="43"/>
        <v>2353156</v>
      </c>
      <c r="I632" s="5">
        <f>SQRT(SUM('r-native-multi'!$D$3:D632)/COUNTIF($A$3:A632,"&lt;&gt;0"))</f>
        <v>72.756988427774857</v>
      </c>
    </row>
    <row r="633" spans="1:9">
      <c r="A633">
        <v>631</v>
      </c>
      <c r="B633">
        <v>5</v>
      </c>
      <c r="C633">
        <v>6680</v>
      </c>
      <c r="D633">
        <v>5139</v>
      </c>
      <c r="E633" s="4">
        <f t="shared" si="40"/>
        <v>0</v>
      </c>
      <c r="F633" s="4">
        <f t="shared" si="41"/>
        <v>1541</v>
      </c>
      <c r="G633" s="4">
        <f t="shared" si="42"/>
        <v>0.23068862275449101</v>
      </c>
      <c r="H633" s="4">
        <f t="shared" si="43"/>
        <v>2374681</v>
      </c>
      <c r="I633" s="5">
        <f>SQRT(SUM('r-native-multi'!$D$3:D633)/COUNTIF($A$3:A633,"&lt;&gt;0"))</f>
        <v>72.755304891515436</v>
      </c>
    </row>
    <row r="634" spans="1:9">
      <c r="A634">
        <v>632</v>
      </c>
      <c r="B634">
        <v>5</v>
      </c>
      <c r="C634">
        <v>6680</v>
      </c>
      <c r="D634">
        <v>5039</v>
      </c>
      <c r="E634" s="4">
        <f t="shared" si="40"/>
        <v>0</v>
      </c>
      <c r="F634" s="4">
        <f t="shared" si="41"/>
        <v>1641</v>
      </c>
      <c r="G634" s="4">
        <f t="shared" si="42"/>
        <v>0.24565868263473054</v>
      </c>
      <c r="H634" s="4">
        <f t="shared" si="43"/>
        <v>2692881</v>
      </c>
      <c r="I634" s="5">
        <f>SQRT(SUM('r-native-multi'!$D$3:D634)/COUNTIF($A$3:A634,"&lt;&gt;0"))</f>
        <v>72.752539213592513</v>
      </c>
    </row>
    <row r="635" spans="1:9">
      <c r="A635">
        <v>633</v>
      </c>
      <c r="B635">
        <v>5</v>
      </c>
      <c r="C635">
        <v>6680</v>
      </c>
      <c r="D635">
        <v>5155</v>
      </c>
      <c r="E635" s="4">
        <f t="shared" si="40"/>
        <v>0</v>
      </c>
      <c r="F635" s="4">
        <f t="shared" si="41"/>
        <v>1525</v>
      </c>
      <c r="G635" s="4">
        <f t="shared" si="42"/>
        <v>0.2282934131736527</v>
      </c>
      <c r="H635" s="4">
        <f t="shared" si="43"/>
        <v>2325625</v>
      </c>
      <c r="I635" s="5">
        <f>SQRT(SUM('r-native-multi'!$D$3:D635)/COUNTIF($A$3:A635,"&lt;&gt;0"))</f>
        <v>72.751041642244516</v>
      </c>
    </row>
    <row r="636" spans="1:9">
      <c r="A636">
        <v>634</v>
      </c>
      <c r="B636">
        <v>5</v>
      </c>
      <c r="C636">
        <v>6680</v>
      </c>
      <c r="D636">
        <v>5288</v>
      </c>
      <c r="E636" s="4">
        <f t="shared" si="40"/>
        <v>0</v>
      </c>
      <c r="F636" s="4">
        <f t="shared" si="41"/>
        <v>1392</v>
      </c>
      <c r="G636" s="4">
        <f t="shared" si="42"/>
        <v>0.20838323353293414</v>
      </c>
      <c r="H636" s="4">
        <f t="shared" si="43"/>
        <v>1937664</v>
      </c>
      <c r="I636" s="5">
        <f>SQRT(SUM('r-native-multi'!$D$3:D636)/COUNTIF($A$3:A636,"&lt;&gt;0"))</f>
        <v>72.75099054037463</v>
      </c>
    </row>
    <row r="637" spans="1:9">
      <c r="A637">
        <v>635</v>
      </c>
      <c r="B637">
        <v>5</v>
      </c>
      <c r="C637">
        <v>6680</v>
      </c>
      <c r="D637">
        <v>5146</v>
      </c>
      <c r="E637" s="4">
        <f t="shared" si="40"/>
        <v>0</v>
      </c>
      <c r="F637" s="4">
        <f t="shared" si="41"/>
        <v>1534</v>
      </c>
      <c r="G637" s="4">
        <f t="shared" si="42"/>
        <v>0.22964071856287424</v>
      </c>
      <c r="H637" s="4">
        <f t="shared" si="43"/>
        <v>2353156</v>
      </c>
      <c r="I637" s="5">
        <f>SQRT(SUM('r-native-multi'!$D$3:D637)/COUNTIF($A$3:A637,"&lt;&gt;0"))</f>
        <v>72.749402681748393</v>
      </c>
    </row>
    <row r="638" spans="1:9">
      <c r="A638">
        <v>636</v>
      </c>
      <c r="B638">
        <v>5</v>
      </c>
      <c r="C638">
        <v>6680</v>
      </c>
      <c r="D638">
        <v>5178</v>
      </c>
      <c r="E638" s="4">
        <f t="shared" si="40"/>
        <v>0</v>
      </c>
      <c r="F638" s="4">
        <f t="shared" si="41"/>
        <v>1502</v>
      </c>
      <c r="G638" s="4">
        <f t="shared" si="42"/>
        <v>0.22485029940119761</v>
      </c>
      <c r="H638" s="4">
        <f t="shared" si="43"/>
        <v>2256004</v>
      </c>
      <c r="I638" s="5">
        <f>SQRT(SUM('r-native-multi'!$D$3:D638)/COUNTIF($A$3:A638,"&lt;&gt;0"))</f>
        <v>72.748165595321211</v>
      </c>
    </row>
    <row r="639" spans="1:9">
      <c r="A639">
        <v>637</v>
      </c>
      <c r="B639">
        <v>5</v>
      </c>
      <c r="C639">
        <v>6680</v>
      </c>
      <c r="D639">
        <v>5188</v>
      </c>
      <c r="E639" s="4">
        <f t="shared" si="40"/>
        <v>0</v>
      </c>
      <c r="F639" s="4">
        <f t="shared" si="41"/>
        <v>1492</v>
      </c>
      <c r="G639" s="4">
        <f t="shared" si="42"/>
        <v>0.22335329341317364</v>
      </c>
      <c r="H639" s="4">
        <f t="shared" si="43"/>
        <v>2226064</v>
      </c>
      <c r="I639" s="5">
        <f>SQRT(SUM('r-native-multi'!$D$3:D639)/COUNTIF($A$3:A639,"&lt;&gt;0"))</f>
        <v>72.74704027059704</v>
      </c>
    </row>
    <row r="640" spans="1:9">
      <c r="A640">
        <v>638</v>
      </c>
      <c r="B640">
        <v>5</v>
      </c>
      <c r="C640">
        <v>6680</v>
      </c>
      <c r="D640">
        <v>5136</v>
      </c>
      <c r="E640" s="4">
        <f t="shared" si="40"/>
        <v>0</v>
      </c>
      <c r="F640" s="4">
        <f t="shared" si="41"/>
        <v>1544</v>
      </c>
      <c r="G640" s="4">
        <f t="shared" si="42"/>
        <v>0.2311377245508982</v>
      </c>
      <c r="H640" s="4">
        <f t="shared" si="43"/>
        <v>2383936</v>
      </c>
      <c r="I640" s="5">
        <f>SQRT(SUM('r-native-multi'!$D$3:D640)/COUNTIF($A$3:A640,"&lt;&gt;0"))</f>
        <v>72.745358252849528</v>
      </c>
    </row>
    <row r="641" spans="1:9">
      <c r="A641">
        <v>639</v>
      </c>
      <c r="B641">
        <v>5</v>
      </c>
      <c r="C641">
        <v>6680</v>
      </c>
      <c r="D641">
        <v>5245</v>
      </c>
      <c r="E641" s="4">
        <f t="shared" si="40"/>
        <v>0</v>
      </c>
      <c r="F641" s="4">
        <f t="shared" si="41"/>
        <v>1435</v>
      </c>
      <c r="G641" s="4">
        <f t="shared" si="42"/>
        <v>0.21482035928143711</v>
      </c>
      <c r="H641" s="4">
        <f t="shared" si="43"/>
        <v>2059225</v>
      </c>
      <c r="I641" s="5">
        <f>SQRT(SUM('r-native-multi'!$D$3:D641)/COUNTIF($A$3:A641,"&lt;&gt;0"))</f>
        <v>72.744853917772062</v>
      </c>
    </row>
    <row r="642" spans="1:9">
      <c r="A642">
        <v>640</v>
      </c>
      <c r="B642">
        <v>5</v>
      </c>
      <c r="C642">
        <v>6680</v>
      </c>
      <c r="D642">
        <v>4922</v>
      </c>
      <c r="E642" s="4">
        <f t="shared" si="40"/>
        <v>0</v>
      </c>
      <c r="F642" s="4">
        <f t="shared" si="41"/>
        <v>1758</v>
      </c>
      <c r="G642" s="4">
        <f t="shared" si="42"/>
        <v>0.26317365269461079</v>
      </c>
      <c r="H642" s="4">
        <f t="shared" si="43"/>
        <v>3090564</v>
      </c>
      <c r="I642" s="5">
        <f>SQRT(SUM('r-native-multi'!$D$3:D642)/COUNTIF($A$3:A642,"&lt;&gt;0"))</f>
        <v>72.740882160584221</v>
      </c>
    </row>
    <row r="643" spans="1:9">
      <c r="A643">
        <v>641</v>
      </c>
      <c r="B643">
        <v>5</v>
      </c>
      <c r="C643">
        <v>6680</v>
      </c>
      <c r="D643">
        <v>5084</v>
      </c>
      <c r="E643" s="4">
        <f t="shared" si="40"/>
        <v>0</v>
      </c>
      <c r="F643" s="4">
        <f t="shared" si="41"/>
        <v>1596</v>
      </c>
      <c r="G643" s="4">
        <f t="shared" si="42"/>
        <v>0.23892215568862277</v>
      </c>
      <c r="H643" s="4">
        <f t="shared" si="43"/>
        <v>2547216</v>
      </c>
      <c r="I643" s="5">
        <f>SQRT(SUM('r-native-multi'!$D$3:D643)/COUNTIF($A$3:A643,"&lt;&gt;0"))</f>
        <v>72.738659848154057</v>
      </c>
    </row>
    <row r="644" spans="1:9">
      <c r="A644">
        <v>642</v>
      </c>
      <c r="B644">
        <v>5</v>
      </c>
      <c r="C644">
        <v>6680</v>
      </c>
      <c r="D644">
        <v>5114</v>
      </c>
      <c r="E644" s="4">
        <f t="shared" si="40"/>
        <v>0</v>
      </c>
      <c r="F644" s="4">
        <f t="shared" si="41"/>
        <v>1566</v>
      </c>
      <c r="G644" s="4">
        <f t="shared" si="42"/>
        <v>0.2344311377245509</v>
      </c>
      <c r="H644" s="4">
        <f t="shared" si="43"/>
        <v>2452356</v>
      </c>
      <c r="I644" s="5">
        <f>SQRT(SUM('r-native-multi'!$D$3:D644)/COUNTIF($A$3:A644,"&lt;&gt;0"))</f>
        <v>72.736765611697976</v>
      </c>
    </row>
    <row r="645" spans="1:9">
      <c r="A645">
        <v>643</v>
      </c>
      <c r="B645">
        <v>5</v>
      </c>
      <c r="C645">
        <v>6680</v>
      </c>
      <c r="D645">
        <v>5102</v>
      </c>
      <c r="E645" s="4">
        <f t="shared" si="40"/>
        <v>0</v>
      </c>
      <c r="F645" s="4">
        <f t="shared" si="41"/>
        <v>1578</v>
      </c>
      <c r="G645" s="4">
        <f t="shared" si="42"/>
        <v>0.23622754491017964</v>
      </c>
      <c r="H645" s="4">
        <f t="shared" si="43"/>
        <v>2490084</v>
      </c>
      <c r="I645" s="5">
        <f>SQRT(SUM('r-native-multi'!$D$3:D645)/COUNTIF($A$3:A645,"&lt;&gt;0"))</f>
        <v>72.734748926491037</v>
      </c>
    </row>
    <row r="646" spans="1:9">
      <c r="A646">
        <v>644</v>
      </c>
      <c r="B646">
        <v>5</v>
      </c>
      <c r="C646">
        <v>6680</v>
      </c>
      <c r="D646">
        <v>5077</v>
      </c>
      <c r="E646" s="4">
        <f t="shared" si="40"/>
        <v>0</v>
      </c>
      <c r="F646" s="4">
        <f t="shared" si="41"/>
        <v>1603</v>
      </c>
      <c r="G646" s="4">
        <f t="shared" si="42"/>
        <v>0.23997005988023953</v>
      </c>
      <c r="H646" s="4">
        <f t="shared" si="43"/>
        <v>2569609</v>
      </c>
      <c r="I646" s="5">
        <f>SQRT(SUM('r-native-multi'!$D$3:D646)/COUNTIF($A$3:A646,"&lt;&gt;0"))</f>
        <v>72.732471581544985</v>
      </c>
    </row>
    <row r="647" spans="1:9">
      <c r="A647">
        <v>645</v>
      </c>
      <c r="B647">
        <v>5</v>
      </c>
      <c r="C647">
        <v>6680</v>
      </c>
      <c r="D647">
        <v>5291</v>
      </c>
      <c r="E647" s="4">
        <f t="shared" si="40"/>
        <v>0</v>
      </c>
      <c r="F647" s="4">
        <f t="shared" si="41"/>
        <v>1389</v>
      </c>
      <c r="G647" s="4">
        <f t="shared" si="42"/>
        <v>0.20793413173652694</v>
      </c>
      <c r="H647" s="4">
        <f t="shared" si="43"/>
        <v>1929321</v>
      </c>
      <c r="I647" s="5">
        <f>SQRT(SUM('r-native-multi'!$D$3:D647)/COUNTIF($A$3:A647,"&lt;&gt;0"))</f>
        <v>72.732482107297642</v>
      </c>
    </row>
    <row r="648" spans="1:9">
      <c r="A648">
        <v>646</v>
      </c>
      <c r="B648">
        <v>5</v>
      </c>
      <c r="C648">
        <v>6680</v>
      </c>
      <c r="D648">
        <v>5167</v>
      </c>
      <c r="E648" s="4">
        <f t="shared" si="40"/>
        <v>0</v>
      </c>
      <c r="F648" s="4">
        <f t="shared" si="41"/>
        <v>1513</v>
      </c>
      <c r="G648" s="4">
        <f t="shared" si="42"/>
        <v>0.22649700598802394</v>
      </c>
      <c r="H648" s="4">
        <f t="shared" si="43"/>
        <v>2289169</v>
      </c>
      <c r="I648" s="5">
        <f>SQRT(SUM('r-native-multi'!$D$3:D648)/COUNTIF($A$3:A648,"&lt;&gt;0"))</f>
        <v>72.731173023757592</v>
      </c>
    </row>
    <row r="649" spans="1:9">
      <c r="A649">
        <v>647</v>
      </c>
      <c r="B649">
        <v>5</v>
      </c>
      <c r="C649">
        <v>6680</v>
      </c>
      <c r="D649">
        <v>5215</v>
      </c>
      <c r="E649" s="4">
        <f t="shared" si="40"/>
        <v>0</v>
      </c>
      <c r="F649" s="4">
        <f t="shared" si="41"/>
        <v>1465</v>
      </c>
      <c r="G649" s="4">
        <f t="shared" si="42"/>
        <v>0.21931137724550898</v>
      </c>
      <c r="H649" s="4">
        <f t="shared" si="43"/>
        <v>2146225</v>
      </c>
      <c r="I649" s="5">
        <f>SQRT(SUM('r-native-multi'!$D$3:D649)/COUNTIF($A$3:A649,"&lt;&gt;0"))</f>
        <v>72.730377989769693</v>
      </c>
    </row>
    <row r="650" spans="1:9">
      <c r="A650">
        <v>648</v>
      </c>
      <c r="B650">
        <v>5</v>
      </c>
      <c r="C650">
        <v>6680</v>
      </c>
      <c r="D650">
        <v>5257</v>
      </c>
      <c r="E650" s="4">
        <f t="shared" si="40"/>
        <v>0</v>
      </c>
      <c r="F650" s="4">
        <f t="shared" si="41"/>
        <v>1423</v>
      </c>
      <c r="G650" s="4">
        <f t="shared" si="42"/>
        <v>0.21302395209580838</v>
      </c>
      <c r="H650" s="4">
        <f t="shared" si="43"/>
        <v>2024929</v>
      </c>
      <c r="I650" s="5">
        <f>SQRT(SUM('r-native-multi'!$D$3:D650)/COUNTIF($A$3:A650,"&lt;&gt;0"))</f>
        <v>72.730030987257308</v>
      </c>
    </row>
    <row r="651" spans="1:9">
      <c r="A651">
        <v>649</v>
      </c>
      <c r="B651">
        <v>5</v>
      </c>
      <c r="C651">
        <v>6680</v>
      </c>
      <c r="D651">
        <v>5278</v>
      </c>
      <c r="E651" s="4">
        <f t="shared" si="40"/>
        <v>0</v>
      </c>
      <c r="F651" s="4">
        <f t="shared" si="41"/>
        <v>1402</v>
      </c>
      <c r="G651" s="4">
        <f t="shared" si="42"/>
        <v>0.20988023952095808</v>
      </c>
      <c r="H651" s="4">
        <f t="shared" si="43"/>
        <v>1965604</v>
      </c>
      <c r="I651" s="5">
        <f>SQRT(SUM('r-native-multi'!$D$3:D651)/COUNTIF($A$3:A651,"&lt;&gt;0"))</f>
        <v>72.729907502350514</v>
      </c>
    </row>
    <row r="652" spans="1:9">
      <c r="A652">
        <v>650</v>
      </c>
      <c r="B652">
        <v>5</v>
      </c>
      <c r="C652">
        <v>6680</v>
      </c>
      <c r="D652">
        <v>5252</v>
      </c>
      <c r="E652" s="4">
        <f t="shared" si="40"/>
        <v>0</v>
      </c>
      <c r="F652" s="4">
        <f t="shared" si="41"/>
        <v>1428</v>
      </c>
      <c r="G652" s="4">
        <f t="shared" si="42"/>
        <v>0.21377245508982035</v>
      </c>
      <c r="H652" s="4">
        <f t="shared" si="43"/>
        <v>2039184</v>
      </c>
      <c r="I652" s="5">
        <f>SQRT(SUM('r-native-multi'!$D$3:D652)/COUNTIF($A$3:A652,"&lt;&gt;0"))</f>
        <v>72.729509406165661</v>
      </c>
    </row>
    <row r="653" spans="1:9">
      <c r="A653">
        <v>651</v>
      </c>
      <c r="B653">
        <v>5</v>
      </c>
      <c r="C653">
        <v>6680</v>
      </c>
      <c r="D653">
        <v>5255</v>
      </c>
      <c r="E653" s="4">
        <f t="shared" si="40"/>
        <v>0</v>
      </c>
      <c r="F653" s="4">
        <f t="shared" si="41"/>
        <v>1425</v>
      </c>
      <c r="G653" s="4">
        <f t="shared" si="42"/>
        <v>0.21332335329341318</v>
      </c>
      <c r="H653" s="4">
        <f t="shared" si="43"/>
        <v>2030625</v>
      </c>
      <c r="I653" s="5">
        <f>SQRT(SUM('r-native-multi'!$D$3:D653)/COUNTIF($A$3:A653,"&lt;&gt;0"))</f>
        <v>72.729144212060817</v>
      </c>
    </row>
    <row r="654" spans="1:9">
      <c r="A654">
        <v>652</v>
      </c>
      <c r="B654">
        <v>5</v>
      </c>
      <c r="C654">
        <v>6680</v>
      </c>
      <c r="D654">
        <v>5303</v>
      </c>
      <c r="E654" s="4">
        <f t="shared" si="40"/>
        <v>0</v>
      </c>
      <c r="F654" s="4">
        <f t="shared" si="41"/>
        <v>1377</v>
      </c>
      <c r="G654" s="4">
        <f t="shared" si="42"/>
        <v>0.20613772455089821</v>
      </c>
      <c r="H654" s="4">
        <f t="shared" si="43"/>
        <v>1896129</v>
      </c>
      <c r="I654" s="5">
        <f>SQRT(SUM('r-native-multi'!$D$3:D654)/COUNTIF($A$3:A654,"&lt;&gt;0"))</f>
        <v>72.729286259075863</v>
      </c>
    </row>
    <row r="655" spans="1:9">
      <c r="A655">
        <v>653</v>
      </c>
      <c r="B655">
        <v>5</v>
      </c>
      <c r="C655">
        <v>6680</v>
      </c>
      <c r="D655">
        <v>4989</v>
      </c>
      <c r="E655" s="4">
        <f t="shared" si="40"/>
        <v>0</v>
      </c>
      <c r="F655" s="4">
        <f t="shared" si="41"/>
        <v>1691</v>
      </c>
      <c r="G655" s="4">
        <f t="shared" si="42"/>
        <v>0.2531437125748503</v>
      </c>
      <c r="H655" s="4">
        <f t="shared" si="43"/>
        <v>2859481</v>
      </c>
      <c r="I655" s="5">
        <f>SQRT(SUM('r-native-multi'!$D$3:D655)/COUNTIF($A$3:A655,"&lt;&gt;0"))</f>
        <v>72.726121997717939</v>
      </c>
    </row>
    <row r="656" spans="1:9">
      <c r="A656">
        <v>654</v>
      </c>
      <c r="B656">
        <v>5</v>
      </c>
      <c r="C656">
        <v>6680</v>
      </c>
      <c r="D656">
        <v>5123</v>
      </c>
      <c r="E656" s="4">
        <f t="shared" si="40"/>
        <v>0</v>
      </c>
      <c r="F656" s="4">
        <f t="shared" si="41"/>
        <v>1557</v>
      </c>
      <c r="G656" s="4">
        <f t="shared" si="42"/>
        <v>0.23308383233532934</v>
      </c>
      <c r="H656" s="4">
        <f t="shared" si="43"/>
        <v>2424249</v>
      </c>
      <c r="I656" s="5">
        <f>SQRT(SUM('r-native-multi'!$D$3:D656)/COUNTIF($A$3:A656,"&lt;&gt;0"))</f>
        <v>72.724375984846517</v>
      </c>
    </row>
    <row r="657" spans="1:9">
      <c r="A657">
        <v>655</v>
      </c>
      <c r="B657">
        <v>5</v>
      </c>
      <c r="C657">
        <v>6680</v>
      </c>
      <c r="D657">
        <v>5029</v>
      </c>
      <c r="E657" s="4">
        <f t="shared" si="40"/>
        <v>0</v>
      </c>
      <c r="F657" s="4">
        <f t="shared" si="41"/>
        <v>1651</v>
      </c>
      <c r="G657" s="4">
        <f t="shared" si="42"/>
        <v>0.2471556886227545</v>
      </c>
      <c r="H657" s="4">
        <f t="shared" si="43"/>
        <v>2725801</v>
      </c>
      <c r="I657" s="5">
        <f>SQRT(SUM('r-native-multi'!$D$3:D657)/COUNTIF($A$3:A657,"&lt;&gt;0"))</f>
        <v>72.721648550750913</v>
      </c>
    </row>
    <row r="658" spans="1:9">
      <c r="A658">
        <v>656</v>
      </c>
      <c r="B658">
        <v>5</v>
      </c>
      <c r="C658">
        <v>6680</v>
      </c>
      <c r="D658">
        <v>5134</v>
      </c>
      <c r="E658" s="4">
        <f t="shared" si="40"/>
        <v>0</v>
      </c>
      <c r="F658" s="4">
        <f t="shared" si="41"/>
        <v>1546</v>
      </c>
      <c r="G658" s="4">
        <f t="shared" si="42"/>
        <v>0.231437125748503</v>
      </c>
      <c r="H658" s="4">
        <f t="shared" si="43"/>
        <v>2390116</v>
      </c>
      <c r="I658" s="5">
        <f>SQRT(SUM('r-native-multi'!$D$3:D658)/COUNTIF($A$3:A658,"&lt;&gt;0"))</f>
        <v>72.720029867309862</v>
      </c>
    </row>
    <row r="659" spans="1:9">
      <c r="A659">
        <v>657</v>
      </c>
      <c r="B659">
        <v>5</v>
      </c>
      <c r="C659">
        <v>6680</v>
      </c>
      <c r="D659">
        <v>5162</v>
      </c>
      <c r="E659" s="4">
        <f t="shared" si="40"/>
        <v>0</v>
      </c>
      <c r="F659" s="4">
        <f t="shared" si="41"/>
        <v>1518</v>
      </c>
      <c r="G659" s="4">
        <f t="shared" si="42"/>
        <v>0.22724550898203594</v>
      </c>
      <c r="H659" s="4">
        <f t="shared" si="43"/>
        <v>2304324</v>
      </c>
      <c r="I659" s="5">
        <f>SQRT(SUM('r-native-multi'!$D$3:D659)/COUNTIF($A$3:A659,"&lt;&gt;0"))</f>
        <v>72.718709109073899</v>
      </c>
    </row>
    <row r="660" spans="1:9">
      <c r="A660">
        <v>658</v>
      </c>
      <c r="B660">
        <v>5</v>
      </c>
      <c r="C660">
        <v>6680</v>
      </c>
      <c r="D660">
        <v>5204</v>
      </c>
      <c r="E660" s="4">
        <f t="shared" si="40"/>
        <v>0</v>
      </c>
      <c r="F660" s="4">
        <f t="shared" si="41"/>
        <v>1476</v>
      </c>
      <c r="G660" s="4">
        <f t="shared" si="42"/>
        <v>0.22095808383233534</v>
      </c>
      <c r="H660" s="4">
        <f t="shared" si="43"/>
        <v>2178576</v>
      </c>
      <c r="I660" s="5">
        <f>SQRT(SUM('r-native-multi'!$D$3:D660)/COUNTIF($A$3:A660,"&lt;&gt;0"))</f>
        <v>72.717831229509343</v>
      </c>
    </row>
    <row r="661" spans="1:9">
      <c r="A661">
        <v>659</v>
      </c>
      <c r="B661">
        <v>5</v>
      </c>
      <c r="C661">
        <v>6680</v>
      </c>
      <c r="D661">
        <v>5215</v>
      </c>
      <c r="E661" s="4">
        <f t="shared" si="40"/>
        <v>0</v>
      </c>
      <c r="F661" s="4">
        <f t="shared" si="41"/>
        <v>1465</v>
      </c>
      <c r="G661" s="4">
        <f t="shared" si="42"/>
        <v>0.21931137724550898</v>
      </c>
      <c r="H661" s="4">
        <f t="shared" si="43"/>
        <v>2146225</v>
      </c>
      <c r="I661" s="5">
        <f>SQRT(SUM('r-native-multi'!$D$3:D661)/COUNTIF($A$3:A661,"&lt;&gt;0"))</f>
        <v>72.717070777071129</v>
      </c>
    </row>
    <row r="662" spans="1:9">
      <c r="A662">
        <v>660</v>
      </c>
      <c r="B662">
        <v>5</v>
      </c>
      <c r="C662">
        <v>6680</v>
      </c>
      <c r="D662">
        <v>5215</v>
      </c>
      <c r="E662" s="4">
        <f t="shared" si="40"/>
        <v>0</v>
      </c>
      <c r="F662" s="4">
        <f t="shared" si="41"/>
        <v>1465</v>
      </c>
      <c r="G662" s="4">
        <f t="shared" si="42"/>
        <v>0.21931137724550898</v>
      </c>
      <c r="H662" s="4">
        <f t="shared" si="43"/>
        <v>2146225</v>
      </c>
      <c r="I662" s="5">
        <f>SQRT(SUM('r-native-multi'!$D$3:D662)/COUNTIF($A$3:A662,"&lt;&gt;0"))</f>
        <v>72.716312621117694</v>
      </c>
    </row>
    <row r="663" spans="1:9">
      <c r="A663">
        <v>661</v>
      </c>
      <c r="B663">
        <v>5</v>
      </c>
      <c r="C663">
        <v>6680</v>
      </c>
      <c r="D663">
        <v>5242</v>
      </c>
      <c r="E663" s="4">
        <f t="shared" si="40"/>
        <v>0</v>
      </c>
      <c r="F663" s="4">
        <f t="shared" si="41"/>
        <v>1438</v>
      </c>
      <c r="G663" s="4">
        <f t="shared" si="42"/>
        <v>0.21526946107784431</v>
      </c>
      <c r="H663" s="4">
        <f t="shared" si="43"/>
        <v>2067844</v>
      </c>
      <c r="I663" s="5">
        <f>SQRT(SUM('r-native-multi'!$D$3:D663)/COUNTIF($A$3:A663,"&lt;&gt;0"))</f>
        <v>72.715837620474403</v>
      </c>
    </row>
    <row r="664" spans="1:9">
      <c r="A664">
        <v>662</v>
      </c>
      <c r="B664">
        <v>5</v>
      </c>
      <c r="C664">
        <v>6680</v>
      </c>
      <c r="D664">
        <v>5181</v>
      </c>
      <c r="E664" s="4">
        <f t="shared" si="40"/>
        <v>0</v>
      </c>
      <c r="F664" s="4">
        <f t="shared" si="41"/>
        <v>1499</v>
      </c>
      <c r="G664" s="4">
        <f t="shared" si="42"/>
        <v>0.22440119760479041</v>
      </c>
      <c r="H664" s="4">
        <f t="shared" si="43"/>
        <v>2247001</v>
      </c>
      <c r="I664" s="5">
        <f>SQRT(SUM('r-native-multi'!$D$3:D664)/COUNTIF($A$3:A664,"&lt;&gt;0"))</f>
        <v>72.714730448301765</v>
      </c>
    </row>
    <row r="665" spans="1:9">
      <c r="A665">
        <v>663</v>
      </c>
      <c r="B665">
        <v>5</v>
      </c>
      <c r="C665">
        <v>6680</v>
      </c>
      <c r="D665">
        <v>5234</v>
      </c>
      <c r="E665" s="4">
        <f t="shared" ref="E665:E728" si="44">IF(AND(D665&lt;=C665*1.2,D665&gt;=C665*0.8),1,0)</f>
        <v>0</v>
      </c>
      <c r="F665" s="4">
        <f t="shared" ref="F665:F728" si="45">ABS(C665-D665)</f>
        <v>1446</v>
      </c>
      <c r="G665" s="4">
        <f t="shared" ref="G665:G728" si="46">ABS(C665-D665)/C665</f>
        <v>0.21646706586826348</v>
      </c>
      <c r="H665" s="4">
        <f t="shared" ref="H665:H728" si="47">POWER(F665,2)</f>
        <v>2090916</v>
      </c>
      <c r="I665" s="5">
        <f>SQRT(SUM('r-native-multi'!$D$3:D665)/COUNTIF($A$3:A665,"&lt;&gt;0"))</f>
        <v>72.71417628551427</v>
      </c>
    </row>
    <row r="666" spans="1:9">
      <c r="A666">
        <v>664</v>
      </c>
      <c r="B666">
        <v>5</v>
      </c>
      <c r="C666">
        <v>6680</v>
      </c>
      <c r="D666">
        <v>5176</v>
      </c>
      <c r="E666" s="4">
        <f t="shared" si="44"/>
        <v>0</v>
      </c>
      <c r="F666" s="4">
        <f t="shared" si="45"/>
        <v>1504</v>
      </c>
      <c r="G666" s="4">
        <f t="shared" si="46"/>
        <v>0.2251497005988024</v>
      </c>
      <c r="H666" s="4">
        <f t="shared" si="47"/>
        <v>2262016</v>
      </c>
      <c r="I666" s="5">
        <f>SQRT(SUM('r-native-multi'!$D$3:D666)/COUNTIF($A$3:A666,"&lt;&gt;0"))</f>
        <v>72.713023145374436</v>
      </c>
    </row>
    <row r="667" spans="1:9">
      <c r="A667">
        <v>665</v>
      </c>
      <c r="B667">
        <v>5</v>
      </c>
      <c r="C667">
        <v>6680</v>
      </c>
      <c r="D667">
        <v>5071</v>
      </c>
      <c r="E667" s="4">
        <f t="shared" si="44"/>
        <v>0</v>
      </c>
      <c r="F667" s="4">
        <f t="shared" si="45"/>
        <v>1609</v>
      </c>
      <c r="G667" s="4">
        <f t="shared" si="46"/>
        <v>0.2408682634730539</v>
      </c>
      <c r="H667" s="4">
        <f t="shared" si="47"/>
        <v>2588881</v>
      </c>
      <c r="I667" s="5">
        <f>SQRT(SUM('r-native-multi'!$D$3:D667)/COUNTIF($A$3:A667,"&lt;&gt;0"))</f>
        <v>72.710787690799648</v>
      </c>
    </row>
    <row r="668" spans="1:9">
      <c r="A668">
        <v>666</v>
      </c>
      <c r="B668">
        <v>5</v>
      </c>
      <c r="C668">
        <v>6680</v>
      </c>
      <c r="D668">
        <v>5269</v>
      </c>
      <c r="E668" s="4">
        <f t="shared" si="44"/>
        <v>0</v>
      </c>
      <c r="F668" s="4">
        <f t="shared" si="45"/>
        <v>1411</v>
      </c>
      <c r="G668" s="4">
        <f t="shared" si="46"/>
        <v>0.21122754491017964</v>
      </c>
      <c r="H668" s="4">
        <f t="shared" si="47"/>
        <v>1990921</v>
      </c>
      <c r="I668" s="5">
        <f>SQRT(SUM('r-native-multi'!$D$3:D668)/COUNTIF($A$3:A668,"&lt;&gt;0"))</f>
        <v>72.710603297124635</v>
      </c>
    </row>
    <row r="669" spans="1:9">
      <c r="A669">
        <v>667</v>
      </c>
      <c r="B669">
        <v>5</v>
      </c>
      <c r="C669">
        <v>6680</v>
      </c>
      <c r="D669">
        <v>5279</v>
      </c>
      <c r="E669" s="4">
        <f t="shared" si="44"/>
        <v>0</v>
      </c>
      <c r="F669" s="4">
        <f t="shared" si="45"/>
        <v>1401</v>
      </c>
      <c r="G669" s="4">
        <f t="shared" si="46"/>
        <v>0.20973053892215568</v>
      </c>
      <c r="H669" s="4">
        <f t="shared" si="47"/>
        <v>1962801</v>
      </c>
      <c r="I669" s="5">
        <f>SQRT(SUM('r-native-multi'!$D$3:D669)/COUNTIF($A$3:A669,"&lt;&gt;0"))</f>
        <v>72.710522553169866</v>
      </c>
    </row>
    <row r="670" spans="1:9">
      <c r="A670">
        <v>668</v>
      </c>
      <c r="B670">
        <v>5</v>
      </c>
      <c r="C670">
        <v>6680</v>
      </c>
      <c r="D670">
        <v>5132</v>
      </c>
      <c r="E670" s="4">
        <f t="shared" si="44"/>
        <v>0</v>
      </c>
      <c r="F670" s="4">
        <f t="shared" si="45"/>
        <v>1548</v>
      </c>
      <c r="G670" s="4">
        <f t="shared" si="46"/>
        <v>0.23173652694610777</v>
      </c>
      <c r="H670" s="4">
        <f t="shared" si="47"/>
        <v>2396304</v>
      </c>
      <c r="I670" s="5">
        <f>SQRT(SUM('r-native-multi'!$D$3:D670)/COUNTIF($A$3:A670,"&lt;&gt;0"))</f>
        <v>72.708928773248289</v>
      </c>
    </row>
    <row r="671" spans="1:9">
      <c r="A671">
        <v>669</v>
      </c>
      <c r="B671">
        <v>5</v>
      </c>
      <c r="C671">
        <v>6680</v>
      </c>
      <c r="D671">
        <v>5200</v>
      </c>
      <c r="E671" s="4">
        <f t="shared" si="44"/>
        <v>0</v>
      </c>
      <c r="F671" s="4">
        <f t="shared" si="45"/>
        <v>1480</v>
      </c>
      <c r="G671" s="4">
        <f t="shared" si="46"/>
        <v>0.22155688622754491</v>
      </c>
      <c r="H671" s="4">
        <f t="shared" si="47"/>
        <v>2190400</v>
      </c>
      <c r="I671" s="5">
        <f>SQRT(SUM('r-native-multi'!$D$3:D671)/COUNTIF($A$3:A671,"&lt;&gt;0"))</f>
        <v>72.708038715615544</v>
      </c>
    </row>
    <row r="672" spans="1:9">
      <c r="A672">
        <v>670</v>
      </c>
      <c r="B672">
        <v>5</v>
      </c>
      <c r="C672">
        <v>6680</v>
      </c>
      <c r="D672">
        <v>5178</v>
      </c>
      <c r="E672" s="4">
        <f t="shared" si="44"/>
        <v>0</v>
      </c>
      <c r="F672" s="4">
        <f t="shared" si="45"/>
        <v>1502</v>
      </c>
      <c r="G672" s="4">
        <f t="shared" si="46"/>
        <v>0.22485029940119761</v>
      </c>
      <c r="H672" s="4">
        <f t="shared" si="47"/>
        <v>2256004</v>
      </c>
      <c r="I672" s="5">
        <f>SQRT(SUM('r-native-multi'!$D$3:D672)/COUNTIF($A$3:A672,"&lt;&gt;0"))</f>
        <v>72.706925494930488</v>
      </c>
    </row>
    <row r="673" spans="1:9">
      <c r="A673">
        <v>671</v>
      </c>
      <c r="B673">
        <v>5</v>
      </c>
      <c r="C673">
        <v>6680</v>
      </c>
      <c r="D673">
        <v>5200</v>
      </c>
      <c r="E673" s="4">
        <f t="shared" si="44"/>
        <v>0</v>
      </c>
      <c r="F673" s="4">
        <f t="shared" si="45"/>
        <v>1480</v>
      </c>
      <c r="G673" s="4">
        <f t="shared" si="46"/>
        <v>0.22155688622754491</v>
      </c>
      <c r="H673" s="4">
        <f t="shared" si="47"/>
        <v>2190400</v>
      </c>
      <c r="I673" s="5">
        <f>SQRT(SUM('r-native-multi'!$D$3:D673)/COUNTIF($A$3:A673,"&lt;&gt;0"))</f>
        <v>72.706041051381192</v>
      </c>
    </row>
    <row r="674" spans="1:9">
      <c r="A674">
        <v>672</v>
      </c>
      <c r="B674">
        <v>5</v>
      </c>
      <c r="C674">
        <v>6680</v>
      </c>
      <c r="D674">
        <v>5133</v>
      </c>
      <c r="E674" s="4">
        <f t="shared" si="44"/>
        <v>0</v>
      </c>
      <c r="F674" s="4">
        <f t="shared" si="45"/>
        <v>1547</v>
      </c>
      <c r="G674" s="4">
        <f t="shared" si="46"/>
        <v>0.2315868263473054</v>
      </c>
      <c r="H674" s="4">
        <f t="shared" si="47"/>
        <v>2393209</v>
      </c>
      <c r="I674" s="5">
        <f>SQRT(SUM('r-native-multi'!$D$3:D674)/COUNTIF($A$3:A674,"&lt;&gt;0"))</f>
        <v>72.704473563808136</v>
      </c>
    </row>
    <row r="675" spans="1:9">
      <c r="A675">
        <v>673</v>
      </c>
      <c r="B675">
        <v>5</v>
      </c>
      <c r="C675">
        <v>6680</v>
      </c>
      <c r="D675">
        <v>4943</v>
      </c>
      <c r="E675" s="4">
        <f t="shared" si="44"/>
        <v>0</v>
      </c>
      <c r="F675" s="4">
        <f t="shared" si="45"/>
        <v>1737</v>
      </c>
      <c r="G675" s="4">
        <f t="shared" si="46"/>
        <v>0.26002994011976049</v>
      </c>
      <c r="H675" s="4">
        <f t="shared" si="47"/>
        <v>3017169</v>
      </c>
      <c r="I675" s="5">
        <f>SQRT(SUM('r-native-multi'!$D$3:D675)/COUNTIF($A$3:A675,"&lt;&gt;0"))</f>
        <v>72.700969088378059</v>
      </c>
    </row>
    <row r="676" spans="1:9">
      <c r="A676">
        <v>674</v>
      </c>
      <c r="B676">
        <v>5</v>
      </c>
      <c r="C676">
        <v>6680</v>
      </c>
      <c r="D676">
        <v>5089</v>
      </c>
      <c r="E676" s="4">
        <f t="shared" si="44"/>
        <v>0</v>
      </c>
      <c r="F676" s="4">
        <f t="shared" si="45"/>
        <v>1591</v>
      </c>
      <c r="G676" s="4">
        <f t="shared" si="46"/>
        <v>0.23817365269461077</v>
      </c>
      <c r="H676" s="4">
        <f t="shared" si="47"/>
        <v>2531281</v>
      </c>
      <c r="I676" s="5">
        <f>SQRT(SUM('r-native-multi'!$D$3:D676)/COUNTIF($A$3:A676,"&lt;&gt;0"))</f>
        <v>72.698964682279836</v>
      </c>
    </row>
    <row r="677" spans="1:9">
      <c r="A677">
        <v>675</v>
      </c>
      <c r="B677">
        <v>5</v>
      </c>
      <c r="C677">
        <v>6680</v>
      </c>
      <c r="D677">
        <v>5188</v>
      </c>
      <c r="E677" s="4">
        <f t="shared" si="44"/>
        <v>0</v>
      </c>
      <c r="F677" s="4">
        <f t="shared" si="45"/>
        <v>1492</v>
      </c>
      <c r="G677" s="4">
        <f t="shared" si="46"/>
        <v>0.22335329341317364</v>
      </c>
      <c r="H677" s="4">
        <f t="shared" si="47"/>
        <v>2226064</v>
      </c>
      <c r="I677" s="5">
        <f>SQRT(SUM('r-native-multi'!$D$3:D677)/COUNTIF($A$3:A677,"&lt;&gt;0"))</f>
        <v>72.697974906840116</v>
      </c>
    </row>
    <row r="678" spans="1:9">
      <c r="A678">
        <v>676</v>
      </c>
      <c r="B678">
        <v>5</v>
      </c>
      <c r="C678">
        <v>6680</v>
      </c>
      <c r="D678">
        <v>4996</v>
      </c>
      <c r="E678" s="4">
        <f t="shared" si="44"/>
        <v>0</v>
      </c>
      <c r="F678" s="4">
        <f t="shared" si="45"/>
        <v>1684</v>
      </c>
      <c r="G678" s="4">
        <f t="shared" si="46"/>
        <v>0.25209580838323353</v>
      </c>
      <c r="H678" s="4">
        <f t="shared" si="47"/>
        <v>2835856</v>
      </c>
      <c r="I678" s="5">
        <f>SQRT(SUM('r-native-multi'!$D$3:D678)/COUNTIF($A$3:A678,"&lt;&gt;0"))</f>
        <v>72.695034543889435</v>
      </c>
    </row>
    <row r="679" spans="1:9">
      <c r="A679">
        <v>677</v>
      </c>
      <c r="B679">
        <v>5</v>
      </c>
      <c r="C679">
        <v>6680</v>
      </c>
      <c r="D679">
        <v>5223</v>
      </c>
      <c r="E679" s="4">
        <f t="shared" si="44"/>
        <v>0</v>
      </c>
      <c r="F679" s="4">
        <f t="shared" si="45"/>
        <v>1457</v>
      </c>
      <c r="G679" s="4">
        <f t="shared" si="46"/>
        <v>0.21811377245508981</v>
      </c>
      <c r="H679" s="4">
        <f t="shared" si="47"/>
        <v>2122849</v>
      </c>
      <c r="I679" s="5">
        <f>SQRT(SUM('r-native-multi'!$D$3:D679)/COUNTIF($A$3:A679,"&lt;&gt;0"))</f>
        <v>72.694409034494853</v>
      </c>
    </row>
    <row r="680" spans="1:9">
      <c r="A680">
        <v>678</v>
      </c>
      <c r="B680">
        <v>5</v>
      </c>
      <c r="C680">
        <v>6680</v>
      </c>
      <c r="D680">
        <v>5136</v>
      </c>
      <c r="E680" s="4">
        <f t="shared" si="44"/>
        <v>0</v>
      </c>
      <c r="F680" s="4">
        <f t="shared" si="45"/>
        <v>1544</v>
      </c>
      <c r="G680" s="4">
        <f t="shared" si="46"/>
        <v>0.2311377245508982</v>
      </c>
      <c r="H680" s="4">
        <f t="shared" si="47"/>
        <v>2383936</v>
      </c>
      <c r="I680" s="5">
        <f>SQRT(SUM('r-native-multi'!$D$3:D680)/COUNTIF($A$3:A680,"&lt;&gt;0"))</f>
        <v>72.692902762885979</v>
      </c>
    </row>
    <row r="681" spans="1:9">
      <c r="A681">
        <v>679</v>
      </c>
      <c r="B681">
        <v>5</v>
      </c>
      <c r="C681">
        <v>6680</v>
      </c>
      <c r="D681">
        <v>5225</v>
      </c>
      <c r="E681" s="4">
        <f t="shared" si="44"/>
        <v>0</v>
      </c>
      <c r="F681" s="4">
        <f t="shared" si="45"/>
        <v>1455</v>
      </c>
      <c r="G681" s="4">
        <f t="shared" si="46"/>
        <v>0.21781437125748504</v>
      </c>
      <c r="H681" s="4">
        <f t="shared" si="47"/>
        <v>2117025</v>
      </c>
      <c r="I681" s="5">
        <f>SQRT(SUM('r-native-multi'!$D$3:D681)/COUNTIF($A$3:A681,"&lt;&gt;0"))</f>
        <v>72.692302477427475</v>
      </c>
    </row>
    <row r="682" spans="1:9">
      <c r="A682">
        <v>680</v>
      </c>
      <c r="B682">
        <v>5</v>
      </c>
      <c r="C682">
        <v>6680</v>
      </c>
      <c r="D682">
        <v>5054</v>
      </c>
      <c r="E682" s="4">
        <f t="shared" si="44"/>
        <v>0</v>
      </c>
      <c r="F682" s="4">
        <f t="shared" si="45"/>
        <v>1626</v>
      </c>
      <c r="G682" s="4">
        <f t="shared" si="46"/>
        <v>0.2434131736526946</v>
      </c>
      <c r="H682" s="4">
        <f t="shared" si="47"/>
        <v>2643876</v>
      </c>
      <c r="I682" s="5">
        <f>SQRT(SUM('r-native-multi'!$D$3:D682)/COUNTIF($A$3:A682,"&lt;&gt;0"))</f>
        <v>72.689974225756714</v>
      </c>
    </row>
    <row r="683" spans="1:9">
      <c r="A683">
        <v>681</v>
      </c>
      <c r="B683">
        <v>5</v>
      </c>
      <c r="C683">
        <v>6680</v>
      </c>
      <c r="D683">
        <v>5140</v>
      </c>
      <c r="E683" s="4">
        <f t="shared" si="44"/>
        <v>0</v>
      </c>
      <c r="F683" s="4">
        <f t="shared" si="45"/>
        <v>1540</v>
      </c>
      <c r="G683" s="4">
        <f t="shared" si="46"/>
        <v>0.23053892215568864</v>
      </c>
      <c r="H683" s="4">
        <f t="shared" si="47"/>
        <v>2371600</v>
      </c>
      <c r="I683" s="5">
        <f>SQRT(SUM('r-native-multi'!$D$3:D683)/COUNTIF($A$3:A683,"&lt;&gt;0"))</f>
        <v>72.68852141414385</v>
      </c>
    </row>
    <row r="684" spans="1:9">
      <c r="A684">
        <v>682</v>
      </c>
      <c r="B684">
        <v>5</v>
      </c>
      <c r="C684">
        <v>6680</v>
      </c>
      <c r="D684">
        <v>5253</v>
      </c>
      <c r="E684" s="4">
        <f t="shared" si="44"/>
        <v>0</v>
      </c>
      <c r="F684" s="4">
        <f t="shared" si="45"/>
        <v>1427</v>
      </c>
      <c r="G684" s="4">
        <f t="shared" si="46"/>
        <v>0.21362275449101797</v>
      </c>
      <c r="H684" s="4">
        <f t="shared" si="47"/>
        <v>2036329</v>
      </c>
      <c r="I684" s="5">
        <f>SQRT(SUM('r-native-multi'!$D$3:D684)/COUNTIF($A$3:A684,"&lt;&gt;0"))</f>
        <v>72.688212568024468</v>
      </c>
    </row>
    <row r="685" spans="1:9">
      <c r="A685">
        <v>683</v>
      </c>
      <c r="B685">
        <v>5</v>
      </c>
      <c r="C685">
        <v>6680</v>
      </c>
      <c r="D685">
        <v>5164</v>
      </c>
      <c r="E685" s="4">
        <f t="shared" si="44"/>
        <v>0</v>
      </c>
      <c r="F685" s="4">
        <f t="shared" si="45"/>
        <v>1516</v>
      </c>
      <c r="G685" s="4">
        <f t="shared" si="46"/>
        <v>0.22694610778443114</v>
      </c>
      <c r="H685" s="4">
        <f t="shared" si="47"/>
        <v>2298256</v>
      </c>
      <c r="I685" s="5">
        <f>SQRT(SUM('r-native-multi'!$D$3:D685)/COUNTIF($A$3:A685,"&lt;&gt;0"))</f>
        <v>72.687008270412917</v>
      </c>
    </row>
    <row r="686" spans="1:9">
      <c r="A686">
        <v>684</v>
      </c>
      <c r="B686">
        <v>5</v>
      </c>
      <c r="C686">
        <v>6680</v>
      </c>
      <c r="D686">
        <v>5184</v>
      </c>
      <c r="E686" s="4">
        <f t="shared" si="44"/>
        <v>0</v>
      </c>
      <c r="F686" s="4">
        <f t="shared" si="45"/>
        <v>1496</v>
      </c>
      <c r="G686" s="4">
        <f t="shared" si="46"/>
        <v>0.22395209580838324</v>
      </c>
      <c r="H686" s="4">
        <f t="shared" si="47"/>
        <v>2238016</v>
      </c>
      <c r="I686" s="5">
        <f>SQRT(SUM('r-native-multi'!$D$3:D686)/COUNTIF($A$3:A686,"&lt;&gt;0"))</f>
        <v>72.686008612065194</v>
      </c>
    </row>
    <row r="687" spans="1:9">
      <c r="A687">
        <v>685</v>
      </c>
      <c r="B687">
        <v>5</v>
      </c>
      <c r="C687">
        <v>6680</v>
      </c>
      <c r="D687">
        <v>5072</v>
      </c>
      <c r="E687" s="4">
        <f t="shared" si="44"/>
        <v>0</v>
      </c>
      <c r="F687" s="4">
        <f t="shared" si="45"/>
        <v>1608</v>
      </c>
      <c r="G687" s="4">
        <f t="shared" si="46"/>
        <v>0.2407185628742515</v>
      </c>
      <c r="H687" s="4">
        <f t="shared" si="47"/>
        <v>2585664</v>
      </c>
      <c r="I687" s="5">
        <f>SQRT(SUM('r-native-multi'!$D$3:D687)/COUNTIF($A$3:A687,"&lt;&gt;0"))</f>
        <v>72.683887108873549</v>
      </c>
    </row>
    <row r="688" spans="1:9">
      <c r="A688">
        <v>686</v>
      </c>
      <c r="B688">
        <v>5</v>
      </c>
      <c r="C688">
        <v>6680</v>
      </c>
      <c r="D688">
        <v>5230</v>
      </c>
      <c r="E688" s="4">
        <f t="shared" si="44"/>
        <v>0</v>
      </c>
      <c r="F688" s="4">
        <f t="shared" si="45"/>
        <v>1450</v>
      </c>
      <c r="G688" s="4">
        <f t="shared" si="46"/>
        <v>0.21706586826347304</v>
      </c>
      <c r="H688" s="4">
        <f t="shared" si="47"/>
        <v>2102500</v>
      </c>
      <c r="I688" s="5">
        <f>SQRT(SUM('r-native-multi'!$D$3:D688)/COUNTIF($A$3:A688,"&lt;&gt;0"))</f>
        <v>72.683356157999953</v>
      </c>
    </row>
    <row r="689" spans="1:9">
      <c r="A689">
        <v>687</v>
      </c>
      <c r="B689">
        <v>5</v>
      </c>
      <c r="C689">
        <v>6680</v>
      </c>
      <c r="D689">
        <v>5207</v>
      </c>
      <c r="E689" s="4">
        <f t="shared" si="44"/>
        <v>0</v>
      </c>
      <c r="F689" s="4">
        <f t="shared" si="45"/>
        <v>1473</v>
      </c>
      <c r="G689" s="4">
        <f t="shared" si="46"/>
        <v>0.22050898203592814</v>
      </c>
      <c r="H689" s="4">
        <f t="shared" si="47"/>
        <v>2169729</v>
      </c>
      <c r="I689" s="5">
        <f>SQRT(SUM('r-native-multi'!$D$3:D689)/COUNTIF($A$3:A689,"&lt;&gt;0"))</f>
        <v>72.682596440465105</v>
      </c>
    </row>
    <row r="690" spans="1:9">
      <c r="A690">
        <v>688</v>
      </c>
      <c r="B690">
        <v>5</v>
      </c>
      <c r="C690">
        <v>6680</v>
      </c>
      <c r="D690">
        <v>5266</v>
      </c>
      <c r="E690" s="4">
        <f t="shared" si="44"/>
        <v>0</v>
      </c>
      <c r="F690" s="4">
        <f t="shared" si="45"/>
        <v>1414</v>
      </c>
      <c r="G690" s="4">
        <f t="shared" si="46"/>
        <v>0.21167664670658681</v>
      </c>
      <c r="H690" s="4">
        <f t="shared" si="47"/>
        <v>1999396</v>
      </c>
      <c r="I690" s="5">
        <f>SQRT(SUM('r-native-multi'!$D$3:D690)/COUNTIF($A$3:A690,"&lt;&gt;0"))</f>
        <v>72.682428860875845</v>
      </c>
    </row>
    <row r="691" spans="1:9">
      <c r="A691">
        <v>689</v>
      </c>
      <c r="B691">
        <v>5</v>
      </c>
      <c r="C691">
        <v>6680</v>
      </c>
      <c r="D691">
        <v>5192</v>
      </c>
      <c r="E691" s="4">
        <f t="shared" si="44"/>
        <v>0</v>
      </c>
      <c r="F691" s="4">
        <f t="shared" si="45"/>
        <v>1488</v>
      </c>
      <c r="G691" s="4">
        <f t="shared" si="46"/>
        <v>0.22275449101796407</v>
      </c>
      <c r="H691" s="4">
        <f t="shared" si="47"/>
        <v>2214144</v>
      </c>
      <c r="I691" s="5">
        <f>SQRT(SUM('r-native-multi'!$D$3:D691)/COUNTIF($A$3:A691,"&lt;&gt;0"))</f>
        <v>72.681522917347479</v>
      </c>
    </row>
    <row r="692" spans="1:9">
      <c r="A692">
        <v>690</v>
      </c>
      <c r="B692">
        <v>5</v>
      </c>
      <c r="C692">
        <v>6680</v>
      </c>
      <c r="D692">
        <v>5141</v>
      </c>
      <c r="E692" s="4">
        <f t="shared" si="44"/>
        <v>0</v>
      </c>
      <c r="F692" s="4">
        <f t="shared" si="45"/>
        <v>1539</v>
      </c>
      <c r="G692" s="4">
        <f t="shared" si="46"/>
        <v>0.23038922155688624</v>
      </c>
      <c r="H692" s="4">
        <f t="shared" si="47"/>
        <v>2368521</v>
      </c>
      <c r="I692" s="5">
        <f>SQRT(SUM('r-native-multi'!$D$3:D692)/COUNTIF($A$3:A692,"&lt;&gt;0"))</f>
        <v>72.680111108367456</v>
      </c>
    </row>
    <row r="693" spans="1:9">
      <c r="A693">
        <v>691</v>
      </c>
      <c r="B693">
        <v>5</v>
      </c>
      <c r="C693">
        <v>6680</v>
      </c>
      <c r="D693">
        <v>5258</v>
      </c>
      <c r="E693" s="4">
        <f t="shared" si="44"/>
        <v>0</v>
      </c>
      <c r="F693" s="4">
        <f t="shared" si="45"/>
        <v>1422</v>
      </c>
      <c r="G693" s="4">
        <f t="shared" si="46"/>
        <v>0.21287425149700598</v>
      </c>
      <c r="H693" s="4">
        <f t="shared" si="47"/>
        <v>2022084</v>
      </c>
      <c r="I693" s="5">
        <f>SQRT(SUM('r-native-multi'!$D$3:D693)/COUNTIF($A$3:A693,"&lt;&gt;0"))</f>
        <v>72.67986820075231</v>
      </c>
    </row>
    <row r="694" spans="1:9">
      <c r="A694">
        <v>692</v>
      </c>
      <c r="B694">
        <v>5</v>
      </c>
      <c r="C694">
        <v>6680</v>
      </c>
      <c r="D694">
        <v>5104</v>
      </c>
      <c r="E694" s="4">
        <f t="shared" si="44"/>
        <v>0</v>
      </c>
      <c r="F694" s="4">
        <f t="shared" si="45"/>
        <v>1576</v>
      </c>
      <c r="G694" s="4">
        <f t="shared" si="46"/>
        <v>0.23592814371257484</v>
      </c>
      <c r="H694" s="4">
        <f t="shared" si="47"/>
        <v>2483776</v>
      </c>
      <c r="I694" s="5">
        <f>SQRT(SUM('r-native-multi'!$D$3:D694)/COUNTIF($A$3:A694,"&lt;&gt;0"))</f>
        <v>72.678094989683657</v>
      </c>
    </row>
    <row r="695" spans="1:9">
      <c r="A695">
        <v>693</v>
      </c>
      <c r="B695">
        <v>5</v>
      </c>
      <c r="C695">
        <v>6680</v>
      </c>
      <c r="D695">
        <v>5275</v>
      </c>
      <c r="E695" s="4">
        <f t="shared" si="44"/>
        <v>0</v>
      </c>
      <c r="F695" s="4">
        <f t="shared" si="45"/>
        <v>1405</v>
      </c>
      <c r="G695" s="4">
        <f t="shared" si="46"/>
        <v>0.21032934131736528</v>
      </c>
      <c r="H695" s="4">
        <f t="shared" si="47"/>
        <v>1974025</v>
      </c>
      <c r="I695" s="5">
        <f>SQRT(SUM('r-native-multi'!$D$3:D695)/COUNTIF($A$3:A695,"&lt;&gt;0"))</f>
        <v>72.678024450966191</v>
      </c>
    </row>
    <row r="696" spans="1:9">
      <c r="A696">
        <v>694</v>
      </c>
      <c r="B696">
        <v>5</v>
      </c>
      <c r="C696">
        <v>6680</v>
      </c>
      <c r="D696">
        <v>5181</v>
      </c>
      <c r="E696" s="4">
        <f t="shared" si="44"/>
        <v>0</v>
      </c>
      <c r="F696" s="4">
        <f t="shared" si="45"/>
        <v>1499</v>
      </c>
      <c r="G696" s="4">
        <f t="shared" si="46"/>
        <v>0.22440119760479041</v>
      </c>
      <c r="H696" s="4">
        <f t="shared" si="47"/>
        <v>2247001</v>
      </c>
      <c r="I696" s="5">
        <f>SQRT(SUM('r-native-multi'!$D$3:D696)/COUNTIF($A$3:A696,"&lt;&gt;0"))</f>
        <v>72.677022281621731</v>
      </c>
    </row>
    <row r="697" spans="1:9">
      <c r="A697">
        <v>695</v>
      </c>
      <c r="B697">
        <v>5</v>
      </c>
      <c r="C697">
        <v>6680</v>
      </c>
      <c r="D697">
        <v>5163</v>
      </c>
      <c r="E697" s="4">
        <f t="shared" si="44"/>
        <v>0</v>
      </c>
      <c r="F697" s="4">
        <f t="shared" si="45"/>
        <v>1517</v>
      </c>
      <c r="G697" s="4">
        <f t="shared" si="46"/>
        <v>0.22709580838323354</v>
      </c>
      <c r="H697" s="4">
        <f t="shared" si="47"/>
        <v>2301289</v>
      </c>
      <c r="I697" s="5">
        <f>SQRT(SUM('r-native-multi'!$D$3:D697)/COUNTIF($A$3:A697,"&lt;&gt;0"))</f>
        <v>72.675844799122814</v>
      </c>
    </row>
    <row r="698" spans="1:9">
      <c r="A698">
        <v>696</v>
      </c>
      <c r="B698">
        <v>5</v>
      </c>
      <c r="C698">
        <v>6680</v>
      </c>
      <c r="D698">
        <v>5107</v>
      </c>
      <c r="E698" s="4">
        <f t="shared" si="44"/>
        <v>0</v>
      </c>
      <c r="F698" s="4">
        <f t="shared" si="45"/>
        <v>1573</v>
      </c>
      <c r="G698" s="4">
        <f t="shared" si="46"/>
        <v>0.23547904191616767</v>
      </c>
      <c r="H698" s="4">
        <f t="shared" si="47"/>
        <v>2474329</v>
      </c>
      <c r="I698" s="5">
        <f>SQRT(SUM('r-native-multi'!$D$3:D698)/COUNTIF($A$3:A698,"&lt;&gt;0"))</f>
        <v>72.674117117792179</v>
      </c>
    </row>
    <row r="699" spans="1:9">
      <c r="A699">
        <v>697</v>
      </c>
      <c r="B699">
        <v>5</v>
      </c>
      <c r="C699">
        <v>6680</v>
      </c>
      <c r="D699">
        <v>5301</v>
      </c>
      <c r="E699" s="4">
        <f t="shared" si="44"/>
        <v>0</v>
      </c>
      <c r="F699" s="4">
        <f t="shared" si="45"/>
        <v>1379</v>
      </c>
      <c r="G699" s="4">
        <f t="shared" si="46"/>
        <v>0.20643712574850298</v>
      </c>
      <c r="H699" s="4">
        <f t="shared" si="47"/>
        <v>1901641</v>
      </c>
      <c r="I699" s="5">
        <f>SQRT(SUM('r-native-multi'!$D$3:D699)/COUNTIF($A$3:A699,"&lt;&gt;0"))</f>
        <v>72.674309330937831</v>
      </c>
    </row>
    <row r="700" spans="1:9">
      <c r="A700">
        <v>698</v>
      </c>
      <c r="B700">
        <v>5</v>
      </c>
      <c r="C700">
        <v>6680</v>
      </c>
      <c r="D700">
        <v>5261</v>
      </c>
      <c r="E700" s="4">
        <f t="shared" si="44"/>
        <v>0</v>
      </c>
      <c r="F700" s="4">
        <f t="shared" si="45"/>
        <v>1419</v>
      </c>
      <c r="G700" s="4">
        <f t="shared" si="46"/>
        <v>0.21242514970059881</v>
      </c>
      <c r="H700" s="4">
        <f t="shared" si="47"/>
        <v>2013561</v>
      </c>
      <c r="I700" s="5">
        <f>SQRT(SUM('r-native-multi'!$D$3:D700)/COUNTIF($A$3:A700,"&lt;&gt;0"))</f>
        <v>72.674106722859804</v>
      </c>
    </row>
    <row r="701" spans="1:9">
      <c r="A701">
        <v>699</v>
      </c>
      <c r="B701">
        <v>5</v>
      </c>
      <c r="C701">
        <v>6680</v>
      </c>
      <c r="D701">
        <v>5176</v>
      </c>
      <c r="E701" s="4">
        <f t="shared" si="44"/>
        <v>0</v>
      </c>
      <c r="F701" s="4">
        <f t="shared" si="45"/>
        <v>1504</v>
      </c>
      <c r="G701" s="4">
        <f t="shared" si="46"/>
        <v>0.2251497005988024</v>
      </c>
      <c r="H701" s="4">
        <f t="shared" si="47"/>
        <v>2262016</v>
      </c>
      <c r="I701" s="5">
        <f>SQRT(SUM('r-native-multi'!$D$3:D701)/COUNTIF($A$3:A701,"&lt;&gt;0"))</f>
        <v>72.673068059447615</v>
      </c>
    </row>
    <row r="702" spans="1:9">
      <c r="A702">
        <v>700</v>
      </c>
      <c r="B702">
        <v>5</v>
      </c>
      <c r="C702">
        <v>6680</v>
      </c>
      <c r="D702">
        <v>5183</v>
      </c>
      <c r="E702" s="4">
        <f t="shared" si="44"/>
        <v>0</v>
      </c>
      <c r="F702" s="4">
        <f t="shared" si="45"/>
        <v>1497</v>
      </c>
      <c r="G702" s="4">
        <f t="shared" si="46"/>
        <v>0.22410179640718564</v>
      </c>
      <c r="H702" s="4">
        <f t="shared" si="47"/>
        <v>2241009</v>
      </c>
      <c r="I702" s="5">
        <f>SQRT(SUM('r-native-multi'!$D$3:D702)/COUNTIF($A$3:A702,"&lt;&gt;0"))</f>
        <v>72.672101151090203</v>
      </c>
    </row>
    <row r="703" spans="1:9">
      <c r="A703">
        <v>701</v>
      </c>
      <c r="B703">
        <v>5</v>
      </c>
      <c r="C703">
        <v>6680</v>
      </c>
      <c r="D703">
        <v>5106</v>
      </c>
      <c r="E703" s="4">
        <f t="shared" si="44"/>
        <v>0</v>
      </c>
      <c r="F703" s="4">
        <f t="shared" si="45"/>
        <v>1574</v>
      </c>
      <c r="G703" s="4">
        <f t="shared" si="46"/>
        <v>0.23562874251497007</v>
      </c>
      <c r="H703" s="4">
        <f t="shared" si="47"/>
        <v>2477476</v>
      </c>
      <c r="I703" s="5">
        <f>SQRT(SUM('r-native-multi'!$D$3:D703)/COUNTIF($A$3:A703,"&lt;&gt;0"))</f>
        <v>72.670381230121819</v>
      </c>
    </row>
    <row r="704" spans="1:9">
      <c r="A704">
        <v>702</v>
      </c>
      <c r="B704">
        <v>5</v>
      </c>
      <c r="C704">
        <v>6680</v>
      </c>
      <c r="D704">
        <v>5154</v>
      </c>
      <c r="E704" s="4">
        <f t="shared" si="44"/>
        <v>0</v>
      </c>
      <c r="F704" s="4">
        <f t="shared" si="45"/>
        <v>1526</v>
      </c>
      <c r="G704" s="4">
        <f t="shared" si="46"/>
        <v>0.2284431137724551</v>
      </c>
      <c r="H704" s="4">
        <f t="shared" si="47"/>
        <v>2328676</v>
      </c>
      <c r="I704" s="5">
        <f>SQRT(SUM('r-native-multi'!$D$3:D704)/COUNTIF($A$3:A704,"&lt;&gt;0"))</f>
        <v>72.669136631746355</v>
      </c>
    </row>
    <row r="705" spans="1:9">
      <c r="A705">
        <v>703</v>
      </c>
      <c r="B705">
        <v>5</v>
      </c>
      <c r="C705">
        <v>6680</v>
      </c>
      <c r="D705">
        <v>5247</v>
      </c>
      <c r="E705" s="4">
        <f t="shared" si="44"/>
        <v>0</v>
      </c>
      <c r="F705" s="4">
        <f t="shared" si="45"/>
        <v>1433</v>
      </c>
      <c r="G705" s="4">
        <f t="shared" si="46"/>
        <v>0.21452095808383234</v>
      </c>
      <c r="H705" s="4">
        <f t="shared" si="47"/>
        <v>2053489</v>
      </c>
      <c r="I705" s="5">
        <f>SQRT(SUM('r-native-multi'!$D$3:D705)/COUNTIF($A$3:A705,"&lt;&gt;0"))</f>
        <v>72.668805785437598</v>
      </c>
    </row>
    <row r="706" spans="1:9">
      <c r="A706">
        <v>704</v>
      </c>
      <c r="B706">
        <v>5</v>
      </c>
      <c r="C706">
        <v>6680</v>
      </c>
      <c r="D706">
        <v>5052</v>
      </c>
      <c r="E706" s="4">
        <f t="shared" si="44"/>
        <v>0</v>
      </c>
      <c r="F706" s="4">
        <f t="shared" si="45"/>
        <v>1628</v>
      </c>
      <c r="G706" s="4">
        <f t="shared" si="46"/>
        <v>0.2437125748502994</v>
      </c>
      <c r="H706" s="4">
        <f t="shared" si="47"/>
        <v>2650384</v>
      </c>
      <c r="I706" s="5">
        <f>SQRT(SUM('r-native-multi'!$D$3:D706)/COUNTIF($A$3:A706,"&lt;&gt;0"))</f>
        <v>72.666570014878729</v>
      </c>
    </row>
    <row r="707" spans="1:9">
      <c r="A707">
        <v>705</v>
      </c>
      <c r="B707">
        <v>5</v>
      </c>
      <c r="C707">
        <v>6680</v>
      </c>
      <c r="D707">
        <v>5251</v>
      </c>
      <c r="E707" s="4">
        <f t="shared" si="44"/>
        <v>0</v>
      </c>
      <c r="F707" s="4">
        <f t="shared" si="45"/>
        <v>1429</v>
      </c>
      <c r="G707" s="4">
        <f t="shared" si="46"/>
        <v>0.21392215568862274</v>
      </c>
      <c r="H707" s="4">
        <f t="shared" si="47"/>
        <v>2042041</v>
      </c>
      <c r="I707" s="5">
        <f>SQRT(SUM('r-native-multi'!$D$3:D707)/COUNTIF($A$3:A707,"&lt;&gt;0"))</f>
        <v>72.66628277600465</v>
      </c>
    </row>
    <row r="708" spans="1:9">
      <c r="A708">
        <v>706</v>
      </c>
      <c r="B708">
        <v>5</v>
      </c>
      <c r="C708">
        <v>6680</v>
      </c>
      <c r="D708">
        <v>5095</v>
      </c>
      <c r="E708" s="4">
        <f t="shared" si="44"/>
        <v>0</v>
      </c>
      <c r="F708" s="4">
        <f t="shared" si="45"/>
        <v>1585</v>
      </c>
      <c r="G708" s="4">
        <f t="shared" si="46"/>
        <v>0.2372754491017964</v>
      </c>
      <c r="H708" s="4">
        <f t="shared" si="47"/>
        <v>2512225</v>
      </c>
      <c r="I708" s="5">
        <f>SQRT(SUM('r-native-multi'!$D$3:D708)/COUNTIF($A$3:A708,"&lt;&gt;0"))</f>
        <v>72.664475930972941</v>
      </c>
    </row>
    <row r="709" spans="1:9">
      <c r="A709">
        <v>707</v>
      </c>
      <c r="B709">
        <v>5</v>
      </c>
      <c r="C709">
        <v>6680</v>
      </c>
      <c r="D709">
        <v>5154</v>
      </c>
      <c r="E709" s="4">
        <f t="shared" si="44"/>
        <v>0</v>
      </c>
      <c r="F709" s="4">
        <f t="shared" si="45"/>
        <v>1526</v>
      </c>
      <c r="G709" s="4">
        <f t="shared" si="46"/>
        <v>0.2284431137724551</v>
      </c>
      <c r="H709" s="4">
        <f t="shared" si="47"/>
        <v>2328676</v>
      </c>
      <c r="I709" s="5">
        <f>SQRT(SUM('r-native-multi'!$D$3:D709)/COUNTIF($A$3:A709,"&lt;&gt;0"))</f>
        <v>72.66324838730506</v>
      </c>
    </row>
    <row r="710" spans="1:9">
      <c r="A710">
        <v>708</v>
      </c>
      <c r="B710">
        <v>5</v>
      </c>
      <c r="C710">
        <v>6680</v>
      </c>
      <c r="D710">
        <v>5223</v>
      </c>
      <c r="E710" s="4">
        <f t="shared" si="44"/>
        <v>0</v>
      </c>
      <c r="F710" s="4">
        <f t="shared" si="45"/>
        <v>1457</v>
      </c>
      <c r="G710" s="4">
        <f t="shared" si="46"/>
        <v>0.21811377245508981</v>
      </c>
      <c r="H710" s="4">
        <f t="shared" si="47"/>
        <v>2122849</v>
      </c>
      <c r="I710" s="5">
        <f>SQRT(SUM('r-native-multi'!$D$3:D710)/COUNTIF($A$3:A710,"&lt;&gt;0"))</f>
        <v>72.662694910376246</v>
      </c>
    </row>
    <row r="711" spans="1:9">
      <c r="A711">
        <v>709</v>
      </c>
      <c r="B711">
        <v>5</v>
      </c>
      <c r="C711">
        <v>6680</v>
      </c>
      <c r="D711">
        <v>5187</v>
      </c>
      <c r="E711" s="4">
        <f t="shared" si="44"/>
        <v>0</v>
      </c>
      <c r="F711" s="4">
        <f t="shared" si="45"/>
        <v>1493</v>
      </c>
      <c r="G711" s="4">
        <f t="shared" si="46"/>
        <v>0.22350299401197604</v>
      </c>
      <c r="H711" s="4">
        <f t="shared" si="47"/>
        <v>2229049</v>
      </c>
      <c r="I711" s="5">
        <f>SQRT(SUM('r-native-multi'!$D$3:D711)/COUNTIF($A$3:A711,"&lt;&gt;0"))</f>
        <v>72.661793593586395</v>
      </c>
    </row>
    <row r="712" spans="1:9">
      <c r="A712">
        <v>710</v>
      </c>
      <c r="B712">
        <v>5</v>
      </c>
      <c r="C712">
        <v>6680</v>
      </c>
      <c r="D712">
        <v>5233</v>
      </c>
      <c r="E712" s="4">
        <f t="shared" si="44"/>
        <v>0</v>
      </c>
      <c r="F712" s="4">
        <f t="shared" si="45"/>
        <v>1447</v>
      </c>
      <c r="G712" s="4">
        <f t="shared" si="46"/>
        <v>0.21661676646706587</v>
      </c>
      <c r="H712" s="4">
        <f t="shared" si="47"/>
        <v>2093809</v>
      </c>
      <c r="I712" s="5">
        <f>SQRT(SUM('r-native-multi'!$D$3:D712)/COUNTIF($A$3:A712,"&lt;&gt;0"))</f>
        <v>72.66134063265838</v>
      </c>
    </row>
    <row r="713" spans="1:9">
      <c r="A713">
        <v>711</v>
      </c>
      <c r="B713">
        <v>5</v>
      </c>
      <c r="C713">
        <v>6680</v>
      </c>
      <c r="D713">
        <v>5142</v>
      </c>
      <c r="E713" s="4">
        <f t="shared" si="44"/>
        <v>0</v>
      </c>
      <c r="F713" s="4">
        <f t="shared" si="45"/>
        <v>1538</v>
      </c>
      <c r="G713" s="4">
        <f t="shared" si="46"/>
        <v>0.23023952095808384</v>
      </c>
      <c r="H713" s="4">
        <f t="shared" si="47"/>
        <v>2365444</v>
      </c>
      <c r="I713" s="5">
        <f>SQRT(SUM('r-native-multi'!$D$3:D713)/COUNTIF($A$3:A713,"&lt;&gt;0"))</f>
        <v>72.660008211181378</v>
      </c>
    </row>
    <row r="714" spans="1:9">
      <c r="A714">
        <v>712</v>
      </c>
      <c r="B714">
        <v>5</v>
      </c>
      <c r="C714">
        <v>6680</v>
      </c>
      <c r="D714">
        <v>5131</v>
      </c>
      <c r="E714" s="4">
        <f t="shared" si="44"/>
        <v>0</v>
      </c>
      <c r="F714" s="4">
        <f t="shared" si="45"/>
        <v>1549</v>
      </c>
      <c r="G714" s="4">
        <f t="shared" si="46"/>
        <v>0.23188622754491017</v>
      </c>
      <c r="H714" s="4">
        <f t="shared" si="47"/>
        <v>2399401</v>
      </c>
      <c r="I714" s="5">
        <f>SQRT(SUM('r-native-multi'!$D$3:D714)/COUNTIF($A$3:A714,"&lt;&gt;0"))</f>
        <v>72.658573192892845</v>
      </c>
    </row>
    <row r="715" spans="1:9">
      <c r="A715">
        <v>713</v>
      </c>
      <c r="B715">
        <v>5</v>
      </c>
      <c r="C715">
        <v>6680</v>
      </c>
      <c r="D715">
        <v>5239</v>
      </c>
      <c r="E715" s="4">
        <f t="shared" si="44"/>
        <v>0</v>
      </c>
      <c r="F715" s="4">
        <f t="shared" si="45"/>
        <v>1441</v>
      </c>
      <c r="G715" s="4">
        <f t="shared" si="46"/>
        <v>0.21571856287425151</v>
      </c>
      <c r="H715" s="4">
        <f t="shared" si="47"/>
        <v>2076481</v>
      </c>
      <c r="I715" s="5">
        <f>SQRT(SUM('r-native-multi'!$D$3:D715)/COUNTIF($A$3:A715,"&lt;&gt;0"))</f>
        <v>72.658184543836299</v>
      </c>
    </row>
    <row r="716" spans="1:9">
      <c r="A716">
        <v>714</v>
      </c>
      <c r="B716">
        <v>5</v>
      </c>
      <c r="C716">
        <v>6680</v>
      </c>
      <c r="D716">
        <v>5194</v>
      </c>
      <c r="E716" s="4">
        <f t="shared" si="44"/>
        <v>0</v>
      </c>
      <c r="F716" s="4">
        <f t="shared" si="45"/>
        <v>1486</v>
      </c>
      <c r="G716" s="4">
        <f t="shared" si="46"/>
        <v>0.22245508982035928</v>
      </c>
      <c r="H716" s="4">
        <f t="shared" si="47"/>
        <v>2208196</v>
      </c>
      <c r="I716" s="5">
        <f>SQRT(SUM('r-native-multi'!$D$3:D716)/COUNTIF($A$3:A716,"&lt;&gt;0"))</f>
        <v>72.657363267426589</v>
      </c>
    </row>
    <row r="717" spans="1:9">
      <c r="A717">
        <v>715</v>
      </c>
      <c r="B717">
        <v>5</v>
      </c>
      <c r="C717">
        <v>6680</v>
      </c>
      <c r="D717">
        <v>5251</v>
      </c>
      <c r="E717" s="4">
        <f t="shared" si="44"/>
        <v>0</v>
      </c>
      <c r="F717" s="4">
        <f t="shared" si="45"/>
        <v>1429</v>
      </c>
      <c r="G717" s="4">
        <f t="shared" si="46"/>
        <v>0.21392215568862274</v>
      </c>
      <c r="H717" s="4">
        <f t="shared" si="47"/>
        <v>2042041</v>
      </c>
      <c r="I717" s="5">
        <f>SQRT(SUM('r-native-multi'!$D$3:D717)/COUNTIF($A$3:A717,"&lt;&gt;0"))</f>
        <v>72.657092887433549</v>
      </c>
    </row>
    <row r="718" spans="1:9">
      <c r="A718">
        <v>716</v>
      </c>
      <c r="B718">
        <v>5</v>
      </c>
      <c r="C718">
        <v>6680</v>
      </c>
      <c r="D718">
        <v>5130</v>
      </c>
      <c r="E718" s="4">
        <f t="shared" si="44"/>
        <v>0</v>
      </c>
      <c r="F718" s="4">
        <f t="shared" si="45"/>
        <v>1550</v>
      </c>
      <c r="G718" s="4">
        <f t="shared" si="46"/>
        <v>0.23203592814371257</v>
      </c>
      <c r="H718" s="4">
        <f t="shared" si="47"/>
        <v>2402500</v>
      </c>
      <c r="I718" s="5">
        <f>SQRT(SUM('r-native-multi'!$D$3:D718)/COUNTIF($A$3:A718,"&lt;&gt;0"))</f>
        <v>72.65566028925096</v>
      </c>
    </row>
    <row r="719" spans="1:9">
      <c r="A719">
        <v>717</v>
      </c>
      <c r="B719">
        <v>5</v>
      </c>
      <c r="C719">
        <v>6680</v>
      </c>
      <c r="D719">
        <v>5113</v>
      </c>
      <c r="E719" s="4">
        <f t="shared" si="44"/>
        <v>0</v>
      </c>
      <c r="F719" s="4">
        <f t="shared" si="45"/>
        <v>1567</v>
      </c>
      <c r="G719" s="4">
        <f t="shared" si="46"/>
        <v>0.2345808383233533</v>
      </c>
      <c r="H719" s="4">
        <f t="shared" si="47"/>
        <v>2455489</v>
      </c>
      <c r="I719" s="5">
        <f>SQRT(SUM('r-native-multi'!$D$3:D719)/COUNTIF($A$3:A719,"&lt;&gt;0"))</f>
        <v>72.654068489392714</v>
      </c>
    </row>
    <row r="720" spans="1:9">
      <c r="A720">
        <v>718</v>
      </c>
      <c r="B720">
        <v>5</v>
      </c>
      <c r="C720">
        <v>6680</v>
      </c>
      <c r="D720">
        <v>5128</v>
      </c>
      <c r="E720" s="4">
        <f t="shared" si="44"/>
        <v>0</v>
      </c>
      <c r="F720" s="4">
        <f t="shared" si="45"/>
        <v>1552</v>
      </c>
      <c r="G720" s="4">
        <f t="shared" si="46"/>
        <v>0.23233532934131737</v>
      </c>
      <c r="H720" s="4">
        <f t="shared" si="47"/>
        <v>2408704</v>
      </c>
      <c r="I720" s="5">
        <f>SQRT(SUM('r-native-multi'!$D$3:D720)/COUNTIF($A$3:A720,"&lt;&gt;0"))</f>
        <v>72.65262486463547</v>
      </c>
    </row>
    <row r="721" spans="1:9">
      <c r="A721">
        <v>719</v>
      </c>
      <c r="B721">
        <v>5</v>
      </c>
      <c r="C721">
        <v>6680</v>
      </c>
      <c r="D721">
        <v>5203</v>
      </c>
      <c r="E721" s="4">
        <f t="shared" si="44"/>
        <v>0</v>
      </c>
      <c r="F721" s="4">
        <f t="shared" si="45"/>
        <v>1477</v>
      </c>
      <c r="G721" s="4">
        <f t="shared" si="46"/>
        <v>0.22110778443113774</v>
      </c>
      <c r="H721" s="4">
        <f t="shared" si="47"/>
        <v>2181529</v>
      </c>
      <c r="I721" s="5">
        <f>SQRT(SUM('r-native-multi'!$D$3:D721)/COUNTIF($A$3:A721,"&lt;&gt;0"))</f>
        <v>72.651903116336811</v>
      </c>
    </row>
    <row r="722" spans="1:9">
      <c r="A722">
        <v>720</v>
      </c>
      <c r="B722">
        <v>5</v>
      </c>
      <c r="C722">
        <v>6680</v>
      </c>
      <c r="D722">
        <v>5278</v>
      </c>
      <c r="E722" s="4">
        <f t="shared" si="44"/>
        <v>0</v>
      </c>
      <c r="F722" s="4">
        <f t="shared" si="45"/>
        <v>1402</v>
      </c>
      <c r="G722" s="4">
        <f t="shared" si="46"/>
        <v>0.20988023952095808</v>
      </c>
      <c r="H722" s="4">
        <f t="shared" si="47"/>
        <v>1965604</v>
      </c>
      <c r="I722" s="5">
        <f>SQRT(SUM('r-native-multi'!$D$3:D722)/COUNTIF($A$3:A722,"&lt;&gt;0"))</f>
        <v>72.651900258087622</v>
      </c>
    </row>
    <row r="723" spans="1:9">
      <c r="A723">
        <v>721</v>
      </c>
      <c r="B723">
        <v>5</v>
      </c>
      <c r="C723">
        <v>6680</v>
      </c>
      <c r="D723">
        <v>5283</v>
      </c>
      <c r="E723" s="4">
        <f t="shared" si="44"/>
        <v>0</v>
      </c>
      <c r="F723" s="4">
        <f t="shared" si="45"/>
        <v>1397</v>
      </c>
      <c r="G723" s="4">
        <f t="shared" si="46"/>
        <v>0.20913173652694611</v>
      </c>
      <c r="H723" s="4">
        <f t="shared" si="47"/>
        <v>1951609</v>
      </c>
      <c r="I723" s="5">
        <f>SQRT(SUM('r-native-multi'!$D$3:D723)/COUNTIF($A$3:A723,"&lt;&gt;0"))</f>
        <v>72.651945134052966</v>
      </c>
    </row>
    <row r="724" spans="1:9">
      <c r="A724">
        <v>722</v>
      </c>
      <c r="B724">
        <v>5</v>
      </c>
      <c r="C724">
        <v>6680</v>
      </c>
      <c r="D724">
        <v>5170</v>
      </c>
      <c r="E724" s="4">
        <f t="shared" si="44"/>
        <v>0</v>
      </c>
      <c r="F724" s="4">
        <f t="shared" si="45"/>
        <v>1510</v>
      </c>
      <c r="G724" s="4">
        <f t="shared" si="46"/>
        <v>0.22604790419161677</v>
      </c>
      <c r="H724" s="4">
        <f t="shared" si="47"/>
        <v>2280100</v>
      </c>
      <c r="I724" s="5">
        <f>SQRT(SUM('r-native-multi'!$D$3:D724)/COUNTIF($A$3:A724,"&lt;&gt;0"))</f>
        <v>72.650912758572687</v>
      </c>
    </row>
    <row r="725" spans="1:9">
      <c r="A725">
        <v>723</v>
      </c>
      <c r="B725">
        <v>5</v>
      </c>
      <c r="C725">
        <v>6680</v>
      </c>
      <c r="D725">
        <v>5136</v>
      </c>
      <c r="E725" s="4">
        <f t="shared" si="44"/>
        <v>0</v>
      </c>
      <c r="F725" s="4">
        <f t="shared" si="45"/>
        <v>1544</v>
      </c>
      <c r="G725" s="4">
        <f t="shared" si="46"/>
        <v>0.2311377245508982</v>
      </c>
      <c r="H725" s="4">
        <f t="shared" si="47"/>
        <v>2383936</v>
      </c>
      <c r="I725" s="5">
        <f>SQRT(SUM('r-native-multi'!$D$3:D725)/COUNTIF($A$3:A725,"&lt;&gt;0"))</f>
        <v>72.649559573503723</v>
      </c>
    </row>
    <row r="726" spans="1:9">
      <c r="A726">
        <v>724</v>
      </c>
      <c r="B726">
        <v>5</v>
      </c>
      <c r="C726">
        <v>6680</v>
      </c>
      <c r="D726">
        <v>5053</v>
      </c>
      <c r="E726" s="4">
        <f t="shared" si="44"/>
        <v>0</v>
      </c>
      <c r="F726" s="4">
        <f t="shared" si="45"/>
        <v>1627</v>
      </c>
      <c r="G726" s="4">
        <f t="shared" si="46"/>
        <v>0.243562874251497</v>
      </c>
      <c r="H726" s="4">
        <f t="shared" si="47"/>
        <v>2647129</v>
      </c>
      <c r="I726" s="5">
        <f>SQRT(SUM('r-native-multi'!$D$3:D726)/COUNTIF($A$3:A726,"&lt;&gt;0"))</f>
        <v>72.647421083306526</v>
      </c>
    </row>
    <row r="727" spans="1:9">
      <c r="A727">
        <v>725</v>
      </c>
      <c r="B727">
        <v>5</v>
      </c>
      <c r="C727">
        <v>6680</v>
      </c>
      <c r="D727">
        <v>5255</v>
      </c>
      <c r="E727" s="4">
        <f t="shared" si="44"/>
        <v>0</v>
      </c>
      <c r="F727" s="4">
        <f t="shared" si="45"/>
        <v>1425</v>
      </c>
      <c r="G727" s="4">
        <f t="shared" si="46"/>
        <v>0.21332335329341318</v>
      </c>
      <c r="H727" s="4">
        <f t="shared" si="47"/>
        <v>2030625</v>
      </c>
      <c r="I727" s="5">
        <f>SQRT(SUM('r-native-multi'!$D$3:D727)/COUNTIF($A$3:A727,"&lt;&gt;0"))</f>
        <v>72.647206083401016</v>
      </c>
    </row>
    <row r="728" spans="1:9">
      <c r="A728">
        <v>726</v>
      </c>
      <c r="B728">
        <v>5</v>
      </c>
      <c r="C728">
        <v>6680</v>
      </c>
      <c r="D728">
        <v>5221</v>
      </c>
      <c r="E728" s="4">
        <f t="shared" si="44"/>
        <v>0</v>
      </c>
      <c r="F728" s="4">
        <f t="shared" si="45"/>
        <v>1459</v>
      </c>
      <c r="G728" s="4">
        <f t="shared" si="46"/>
        <v>0.21841317365269461</v>
      </c>
      <c r="H728" s="4">
        <f t="shared" si="47"/>
        <v>2128681</v>
      </c>
      <c r="I728" s="5">
        <f>SQRT(SUM('r-native-multi'!$D$3:D728)/COUNTIF($A$3:A728,"&lt;&gt;0"))</f>
        <v>72.646669348932392</v>
      </c>
    </row>
    <row r="729" spans="1:9">
      <c r="A729">
        <v>727</v>
      </c>
      <c r="B729">
        <v>5</v>
      </c>
      <c r="C729">
        <v>6680</v>
      </c>
      <c r="D729">
        <v>5184</v>
      </c>
      <c r="E729" s="4">
        <f t="shared" ref="E729:E792" si="48">IF(AND(D729&lt;=C729*1.2,D729&gt;=C729*0.8),1,0)</f>
        <v>0</v>
      </c>
      <c r="F729" s="4">
        <f t="shared" ref="F729:F792" si="49">ABS(C729-D729)</f>
        <v>1496</v>
      </c>
      <c r="G729" s="4">
        <f t="shared" ref="G729:G792" si="50">ABS(C729-D729)/C729</f>
        <v>0.22395209580838324</v>
      </c>
      <c r="H729" s="4">
        <f t="shared" ref="H729:H792" si="51">POWER(F729,2)</f>
        <v>2238016</v>
      </c>
      <c r="I729" s="5">
        <f>SQRT(SUM('r-native-multi'!$D$3:D729)/COUNTIF($A$3:A729,"&lt;&gt;0"))</f>
        <v>72.645783798606601</v>
      </c>
    </row>
    <row r="730" spans="1:9">
      <c r="A730">
        <v>728</v>
      </c>
      <c r="B730">
        <v>5</v>
      </c>
      <c r="C730">
        <v>6680</v>
      </c>
      <c r="D730">
        <v>5166</v>
      </c>
      <c r="E730" s="4">
        <f t="shared" si="48"/>
        <v>0</v>
      </c>
      <c r="F730" s="4">
        <f t="shared" si="49"/>
        <v>1514</v>
      </c>
      <c r="G730" s="4">
        <f t="shared" si="50"/>
        <v>0.22664670658682634</v>
      </c>
      <c r="H730" s="4">
        <f t="shared" si="51"/>
        <v>2292196</v>
      </c>
      <c r="I730" s="5">
        <f>SQRT(SUM('r-native-multi'!$D$3:D730)/COUNTIF($A$3:A730,"&lt;&gt;0"))</f>
        <v>72.644730491150341</v>
      </c>
    </row>
    <row r="731" spans="1:9">
      <c r="A731">
        <v>729</v>
      </c>
      <c r="B731">
        <v>5</v>
      </c>
      <c r="C731">
        <v>6680</v>
      </c>
      <c r="D731">
        <v>5249</v>
      </c>
      <c r="E731" s="4">
        <f t="shared" si="48"/>
        <v>0</v>
      </c>
      <c r="F731" s="4">
        <f t="shared" si="49"/>
        <v>1431</v>
      </c>
      <c r="G731" s="4">
        <f t="shared" si="50"/>
        <v>0.21422155688622754</v>
      </c>
      <c r="H731" s="4">
        <f t="shared" si="51"/>
        <v>2047761</v>
      </c>
      <c r="I731" s="5">
        <f>SQRT(SUM('r-native-multi'!$D$3:D731)/COUNTIF($A$3:A731,"&lt;&gt;0"))</f>
        <v>72.64446370506073</v>
      </c>
    </row>
    <row r="732" spans="1:9">
      <c r="A732">
        <v>730</v>
      </c>
      <c r="B732">
        <v>5</v>
      </c>
      <c r="C732">
        <v>6680</v>
      </c>
      <c r="D732">
        <v>5218</v>
      </c>
      <c r="E732" s="4">
        <f t="shared" si="48"/>
        <v>0</v>
      </c>
      <c r="F732" s="4">
        <f t="shared" si="49"/>
        <v>1462</v>
      </c>
      <c r="G732" s="4">
        <f t="shared" si="50"/>
        <v>0.21886227544910181</v>
      </c>
      <c r="H732" s="4">
        <f t="shared" si="51"/>
        <v>2137444</v>
      </c>
      <c r="I732" s="5">
        <f>SQRT(SUM('r-native-multi'!$D$3:D732)/COUNTIF($A$3:A732,"&lt;&gt;0"))</f>
        <v>72.64390536240029</v>
      </c>
    </row>
    <row r="733" spans="1:9">
      <c r="A733">
        <v>731</v>
      </c>
      <c r="B733">
        <v>5</v>
      </c>
      <c r="C733">
        <v>6680</v>
      </c>
      <c r="D733">
        <v>5295</v>
      </c>
      <c r="E733" s="4">
        <f t="shared" si="48"/>
        <v>0</v>
      </c>
      <c r="F733" s="4">
        <f t="shared" si="49"/>
        <v>1385</v>
      </c>
      <c r="G733" s="4">
        <f t="shared" si="50"/>
        <v>0.20733532934131738</v>
      </c>
      <c r="H733" s="4">
        <f t="shared" si="51"/>
        <v>1918225</v>
      </c>
      <c r="I733" s="5">
        <f>SQRT(SUM('r-native-multi'!$D$3:D733)/COUNTIF($A$3:A733,"&lt;&gt;0"))</f>
        <v>72.644073555305383</v>
      </c>
    </row>
    <row r="734" spans="1:9">
      <c r="A734">
        <v>732</v>
      </c>
      <c r="B734">
        <v>5</v>
      </c>
      <c r="C734">
        <v>6680</v>
      </c>
      <c r="D734">
        <v>5258</v>
      </c>
      <c r="E734" s="4">
        <f t="shared" si="48"/>
        <v>0</v>
      </c>
      <c r="F734" s="4">
        <f t="shared" si="49"/>
        <v>1422</v>
      </c>
      <c r="G734" s="4">
        <f t="shared" si="50"/>
        <v>0.21287425149700598</v>
      </c>
      <c r="H734" s="4">
        <f t="shared" si="51"/>
        <v>2022084</v>
      </c>
      <c r="I734" s="5">
        <f>SQRT(SUM('r-native-multi'!$D$3:D734)/COUNTIF($A$3:A734,"&lt;&gt;0"))</f>
        <v>72.643893383419638</v>
      </c>
    </row>
    <row r="735" spans="1:9">
      <c r="A735">
        <v>733</v>
      </c>
      <c r="B735">
        <v>5</v>
      </c>
      <c r="C735">
        <v>6680</v>
      </c>
      <c r="D735">
        <v>5208</v>
      </c>
      <c r="E735" s="4">
        <f t="shared" si="48"/>
        <v>0</v>
      </c>
      <c r="F735" s="4">
        <f t="shared" si="49"/>
        <v>1472</v>
      </c>
      <c r="G735" s="4">
        <f t="shared" si="50"/>
        <v>0.22035928143712574</v>
      </c>
      <c r="H735" s="4">
        <f t="shared" si="51"/>
        <v>2166784</v>
      </c>
      <c r="I735" s="5">
        <f>SQRT(SUM('r-native-multi'!$D$3:D735)/COUNTIF($A$3:A735,"&lt;&gt;0"))</f>
        <v>72.643244198579168</v>
      </c>
    </row>
    <row r="736" spans="1:9">
      <c r="A736">
        <v>734</v>
      </c>
      <c r="B736">
        <v>5</v>
      </c>
      <c r="C736">
        <v>6680</v>
      </c>
      <c r="D736">
        <v>5087</v>
      </c>
      <c r="E736" s="4">
        <f t="shared" si="48"/>
        <v>0</v>
      </c>
      <c r="F736" s="4">
        <f t="shared" si="49"/>
        <v>1593</v>
      </c>
      <c r="G736" s="4">
        <f t="shared" si="50"/>
        <v>0.23847305389221557</v>
      </c>
      <c r="H736" s="4">
        <f t="shared" si="51"/>
        <v>2537649</v>
      </c>
      <c r="I736" s="5">
        <f>SQRT(SUM('r-native-multi'!$D$3:D736)/COUNTIF($A$3:A736,"&lt;&gt;0"))</f>
        <v>72.641462102223514</v>
      </c>
    </row>
    <row r="737" spans="1:9">
      <c r="A737">
        <v>735</v>
      </c>
      <c r="B737">
        <v>5</v>
      </c>
      <c r="C737">
        <v>6680</v>
      </c>
      <c r="D737">
        <v>5182</v>
      </c>
      <c r="E737" s="4">
        <f t="shared" si="48"/>
        <v>0</v>
      </c>
      <c r="F737" s="4">
        <f t="shared" si="49"/>
        <v>1498</v>
      </c>
      <c r="G737" s="4">
        <f t="shared" si="50"/>
        <v>0.22425149700598804</v>
      </c>
      <c r="H737" s="4">
        <f t="shared" si="51"/>
        <v>2244004</v>
      </c>
      <c r="I737" s="5">
        <f>SQRT(SUM('r-native-multi'!$D$3:D737)/COUNTIF($A$3:A737,"&lt;&gt;0"))</f>
        <v>72.640574483029042</v>
      </c>
    </row>
    <row r="738" spans="1:9">
      <c r="A738">
        <v>736</v>
      </c>
      <c r="B738">
        <v>5</v>
      </c>
      <c r="C738">
        <v>6680</v>
      </c>
      <c r="D738">
        <v>5135</v>
      </c>
      <c r="E738" s="4">
        <f t="shared" si="48"/>
        <v>0</v>
      </c>
      <c r="F738" s="4">
        <f t="shared" si="49"/>
        <v>1545</v>
      </c>
      <c r="G738" s="4">
        <f t="shared" si="50"/>
        <v>0.2312874251497006</v>
      </c>
      <c r="H738" s="4">
        <f t="shared" si="51"/>
        <v>2387025</v>
      </c>
      <c r="I738" s="5">
        <f>SQRT(SUM('r-native-multi'!$D$3:D738)/COUNTIF($A$3:A738,"&lt;&gt;0"))</f>
        <v>72.639249705831119</v>
      </c>
    </row>
    <row r="739" spans="1:9">
      <c r="A739">
        <v>737</v>
      </c>
      <c r="B739">
        <v>5</v>
      </c>
      <c r="C739">
        <v>6680</v>
      </c>
      <c r="D739">
        <v>5175</v>
      </c>
      <c r="E739" s="4">
        <f t="shared" si="48"/>
        <v>0</v>
      </c>
      <c r="F739" s="4">
        <f t="shared" si="49"/>
        <v>1505</v>
      </c>
      <c r="G739" s="4">
        <f t="shared" si="50"/>
        <v>0.2252994011976048</v>
      </c>
      <c r="H739" s="4">
        <f t="shared" si="51"/>
        <v>2265025</v>
      </c>
      <c r="I739" s="5">
        <f>SQRT(SUM('r-native-multi'!$D$3:D739)/COUNTIF($A$3:A739,"&lt;&gt;0"))</f>
        <v>72.638302091944183</v>
      </c>
    </row>
    <row r="740" spans="1:9">
      <c r="A740">
        <v>738</v>
      </c>
      <c r="B740">
        <v>5</v>
      </c>
      <c r="C740">
        <v>6680</v>
      </c>
      <c r="D740">
        <v>5240</v>
      </c>
      <c r="E740" s="4">
        <f t="shared" si="48"/>
        <v>0</v>
      </c>
      <c r="F740" s="4">
        <f t="shared" si="49"/>
        <v>1440</v>
      </c>
      <c r="G740" s="4">
        <f t="shared" si="50"/>
        <v>0.21556886227544911</v>
      </c>
      <c r="H740" s="4">
        <f t="shared" si="51"/>
        <v>2073600</v>
      </c>
      <c r="I740" s="5">
        <f>SQRT(SUM('r-native-multi'!$D$3:D740)/COUNTIF($A$3:A740,"&lt;&gt;0"))</f>
        <v>72.637963302512333</v>
      </c>
    </row>
    <row r="741" spans="1:9">
      <c r="A741">
        <v>739</v>
      </c>
      <c r="B741">
        <v>5</v>
      </c>
      <c r="C741">
        <v>6680</v>
      </c>
      <c r="D741">
        <v>5369</v>
      </c>
      <c r="E741" s="4">
        <f t="shared" si="48"/>
        <v>1</v>
      </c>
      <c r="F741" s="4">
        <f t="shared" si="49"/>
        <v>1311</v>
      </c>
      <c r="G741" s="4">
        <f t="shared" si="50"/>
        <v>0.19625748502994012</v>
      </c>
      <c r="H741" s="4">
        <f t="shared" si="51"/>
        <v>1718721</v>
      </c>
      <c r="I741" s="5">
        <f>SQRT(SUM('r-native-multi'!$D$3:D741)/COUNTIF($A$3:A741,"&lt;&gt;0"))</f>
        <v>72.638827001074404</v>
      </c>
    </row>
    <row r="742" spans="1:9">
      <c r="A742">
        <v>740</v>
      </c>
      <c r="B742">
        <v>5</v>
      </c>
      <c r="C742">
        <v>6680</v>
      </c>
      <c r="D742">
        <v>5188</v>
      </c>
      <c r="E742" s="4">
        <f t="shared" si="48"/>
        <v>0</v>
      </c>
      <c r="F742" s="4">
        <f t="shared" si="49"/>
        <v>1492</v>
      </c>
      <c r="G742" s="4">
        <f t="shared" si="50"/>
        <v>0.22335329341317364</v>
      </c>
      <c r="H742" s="4">
        <f t="shared" si="51"/>
        <v>2226064</v>
      </c>
      <c r="I742" s="5">
        <f>SQRT(SUM('r-native-multi'!$D$3:D742)/COUNTIF($A$3:A742,"&lt;&gt;0"))</f>
        <v>72.638004720185762</v>
      </c>
    </row>
    <row r="743" spans="1:9">
      <c r="A743">
        <v>741</v>
      </c>
      <c r="B743">
        <v>5</v>
      </c>
      <c r="C743">
        <v>6680</v>
      </c>
      <c r="D743">
        <v>5154</v>
      </c>
      <c r="E743" s="4">
        <f t="shared" si="48"/>
        <v>0</v>
      </c>
      <c r="F743" s="4">
        <f t="shared" si="49"/>
        <v>1526</v>
      </c>
      <c r="G743" s="4">
        <f t="shared" si="50"/>
        <v>0.2284431137724551</v>
      </c>
      <c r="H743" s="4">
        <f t="shared" si="51"/>
        <v>2328676</v>
      </c>
      <c r="I743" s="5">
        <f>SQRT(SUM('r-native-multi'!$D$3:D743)/COUNTIF($A$3:A743,"&lt;&gt;0"))</f>
        <v>72.636868805390776</v>
      </c>
    </row>
    <row r="744" spans="1:9">
      <c r="A744">
        <v>742</v>
      </c>
      <c r="B744">
        <v>5</v>
      </c>
      <c r="C744">
        <v>6680</v>
      </c>
      <c r="D744">
        <v>4573</v>
      </c>
      <c r="E744" s="4">
        <f t="shared" si="48"/>
        <v>0</v>
      </c>
      <c r="F744" s="4">
        <f t="shared" si="49"/>
        <v>2107</v>
      </c>
      <c r="G744" s="4">
        <f t="shared" si="50"/>
        <v>0.31541916167664669</v>
      </c>
      <c r="H744" s="4">
        <f t="shared" si="51"/>
        <v>4439449</v>
      </c>
      <c r="I744" s="5">
        <f>SQRT(SUM('r-native-multi'!$D$3:D744)/COUNTIF($A$3:A744,"&lt;&gt;0"))</f>
        <v>72.630345695879527</v>
      </c>
    </row>
    <row r="745" spans="1:9">
      <c r="A745">
        <v>743</v>
      </c>
      <c r="B745">
        <v>5</v>
      </c>
      <c r="C745">
        <v>6680</v>
      </c>
      <c r="D745">
        <v>5239</v>
      </c>
      <c r="E745" s="4">
        <f t="shared" si="48"/>
        <v>0</v>
      </c>
      <c r="F745" s="4">
        <f t="shared" si="49"/>
        <v>1441</v>
      </c>
      <c r="G745" s="4">
        <f t="shared" si="50"/>
        <v>0.21571856287425151</v>
      </c>
      <c r="H745" s="4">
        <f t="shared" si="51"/>
        <v>2076481</v>
      </c>
      <c r="I745" s="5">
        <f>SQRT(SUM('r-native-multi'!$D$3:D745)/COUNTIF($A$3:A745,"&lt;&gt;0"))</f>
        <v>72.630010593154793</v>
      </c>
    </row>
    <row r="746" spans="1:9">
      <c r="A746">
        <v>744</v>
      </c>
      <c r="B746">
        <v>5</v>
      </c>
      <c r="C746">
        <v>6680</v>
      </c>
      <c r="D746">
        <v>4978</v>
      </c>
      <c r="E746" s="4">
        <f t="shared" si="48"/>
        <v>0</v>
      </c>
      <c r="F746" s="4">
        <f t="shared" si="49"/>
        <v>1702</v>
      </c>
      <c r="G746" s="4">
        <f t="shared" si="50"/>
        <v>0.25479041916167666</v>
      </c>
      <c r="H746" s="4">
        <f t="shared" si="51"/>
        <v>2896804</v>
      </c>
      <c r="I746" s="5">
        <f>SQRT(SUM('r-native-multi'!$D$3:D746)/COUNTIF($A$3:A746,"&lt;&gt;0"))</f>
        <v>72.627261314340529</v>
      </c>
    </row>
    <row r="747" spans="1:9">
      <c r="A747">
        <v>745</v>
      </c>
      <c r="B747">
        <v>5</v>
      </c>
      <c r="C747">
        <v>6680</v>
      </c>
      <c r="D747">
        <v>5121</v>
      </c>
      <c r="E747" s="4">
        <f t="shared" si="48"/>
        <v>0</v>
      </c>
      <c r="F747" s="4">
        <f t="shared" si="49"/>
        <v>1559</v>
      </c>
      <c r="G747" s="4">
        <f t="shared" si="50"/>
        <v>0.23338323353293414</v>
      </c>
      <c r="H747" s="4">
        <f t="shared" si="51"/>
        <v>2430481</v>
      </c>
      <c r="I747" s="5">
        <f>SQRT(SUM('r-native-multi'!$D$3:D747)/COUNTIF($A$3:A747,"&lt;&gt;0"))</f>
        <v>72.625840798422786</v>
      </c>
    </row>
    <row r="748" spans="1:9">
      <c r="A748">
        <v>746</v>
      </c>
      <c r="B748">
        <v>5</v>
      </c>
      <c r="C748">
        <v>6680</v>
      </c>
      <c r="D748">
        <v>5230</v>
      </c>
      <c r="E748" s="4">
        <f t="shared" si="48"/>
        <v>0</v>
      </c>
      <c r="F748" s="4">
        <f t="shared" si="49"/>
        <v>1450</v>
      </c>
      <c r="G748" s="4">
        <f t="shared" si="50"/>
        <v>0.21706586826347304</v>
      </c>
      <c r="H748" s="4">
        <f t="shared" si="51"/>
        <v>2102500</v>
      </c>
      <c r="I748" s="5">
        <f>SQRT(SUM('r-native-multi'!$D$3:D748)/COUNTIF($A$3:A748,"&lt;&gt;0"))</f>
        <v>72.625430002926109</v>
      </c>
    </row>
    <row r="749" spans="1:9">
      <c r="A749">
        <v>747</v>
      </c>
      <c r="B749">
        <v>5</v>
      </c>
      <c r="C749">
        <v>6680</v>
      </c>
      <c r="D749">
        <v>5298</v>
      </c>
      <c r="E749" s="4">
        <f t="shared" si="48"/>
        <v>0</v>
      </c>
      <c r="F749" s="4">
        <f t="shared" si="49"/>
        <v>1382</v>
      </c>
      <c r="G749" s="4">
        <f t="shared" si="50"/>
        <v>0.20688622754491018</v>
      </c>
      <c r="H749" s="4">
        <f t="shared" si="51"/>
        <v>1909924</v>
      </c>
      <c r="I749" s="5">
        <f>SQRT(SUM('r-native-multi'!$D$3:D749)/COUNTIF($A$3:A749,"&lt;&gt;0"))</f>
        <v>72.625647020092117</v>
      </c>
    </row>
    <row r="750" spans="1:9">
      <c r="A750">
        <v>748</v>
      </c>
      <c r="B750">
        <v>5</v>
      </c>
      <c r="C750">
        <v>6680</v>
      </c>
      <c r="D750">
        <v>5265</v>
      </c>
      <c r="E750" s="4">
        <f t="shared" si="48"/>
        <v>0</v>
      </c>
      <c r="F750" s="4">
        <f t="shared" si="49"/>
        <v>1415</v>
      </c>
      <c r="G750" s="4">
        <f t="shared" si="50"/>
        <v>0.21182634730538921</v>
      </c>
      <c r="H750" s="4">
        <f t="shared" si="51"/>
        <v>2002225</v>
      </c>
      <c r="I750" s="5">
        <f>SQRT(SUM('r-native-multi'!$D$3:D750)/COUNTIF($A$3:A750,"&lt;&gt;0"))</f>
        <v>72.625559723376242</v>
      </c>
    </row>
    <row r="751" spans="1:9">
      <c r="A751">
        <v>749</v>
      </c>
      <c r="B751">
        <v>5</v>
      </c>
      <c r="C751">
        <v>6680</v>
      </c>
      <c r="D751">
        <v>5154</v>
      </c>
      <c r="E751" s="4">
        <f t="shared" si="48"/>
        <v>0</v>
      </c>
      <c r="F751" s="4">
        <f t="shared" si="49"/>
        <v>1526</v>
      </c>
      <c r="G751" s="4">
        <f t="shared" si="50"/>
        <v>0.2284431137724551</v>
      </c>
      <c r="H751" s="4">
        <f t="shared" si="51"/>
        <v>2328676</v>
      </c>
      <c r="I751" s="5">
        <f>SQRT(SUM('r-native-multi'!$D$3:D751)/COUNTIF($A$3:A751,"&lt;&gt;0"))</f>
        <v>72.624452365865878</v>
      </c>
    </row>
    <row r="752" spans="1:9">
      <c r="A752">
        <v>750</v>
      </c>
      <c r="B752">
        <v>5</v>
      </c>
      <c r="C752">
        <v>6680</v>
      </c>
      <c r="D752">
        <v>5118</v>
      </c>
      <c r="E752" s="4">
        <f t="shared" si="48"/>
        <v>0</v>
      </c>
      <c r="F752" s="4">
        <f t="shared" si="49"/>
        <v>1562</v>
      </c>
      <c r="G752" s="4">
        <f t="shared" si="50"/>
        <v>0.23383233532934131</v>
      </c>
      <c r="H752" s="4">
        <f t="shared" si="51"/>
        <v>2439844</v>
      </c>
      <c r="I752" s="5">
        <f>SQRT(SUM('r-native-multi'!$D$3:D752)/COUNTIF($A$3:A752,"&lt;&gt;0"))</f>
        <v>72.623017471506003</v>
      </c>
    </row>
    <row r="753" spans="1:9">
      <c r="A753">
        <v>751</v>
      </c>
      <c r="B753">
        <v>5</v>
      </c>
      <c r="C753">
        <v>4600</v>
      </c>
      <c r="D753">
        <v>5181</v>
      </c>
      <c r="E753" s="4">
        <f t="shared" si="48"/>
        <v>1</v>
      </c>
      <c r="F753" s="4">
        <f t="shared" si="49"/>
        <v>581</v>
      </c>
      <c r="G753" s="4">
        <f t="shared" si="50"/>
        <v>0.12630434782608696</v>
      </c>
      <c r="H753" s="4">
        <f t="shared" si="51"/>
        <v>337561</v>
      </c>
      <c r="I753" s="5">
        <f>SQRT(SUM('r-native-multi'!$D$3:D753)/COUNTIF($A$3:A753,"&lt;&gt;0"))</f>
        <v>72.622163938244341</v>
      </c>
    </row>
    <row r="754" spans="1:9">
      <c r="A754">
        <v>752</v>
      </c>
      <c r="B754">
        <v>5</v>
      </c>
      <c r="C754">
        <v>4600</v>
      </c>
      <c r="D754">
        <v>5182</v>
      </c>
      <c r="E754" s="4">
        <f t="shared" si="48"/>
        <v>1</v>
      </c>
      <c r="F754" s="4">
        <f t="shared" si="49"/>
        <v>582</v>
      </c>
      <c r="G754" s="4">
        <f t="shared" si="50"/>
        <v>0.1265217391304348</v>
      </c>
      <c r="H754" s="4">
        <f t="shared" si="51"/>
        <v>338724</v>
      </c>
      <c r="I754" s="5">
        <f>SQRT(SUM('r-native-multi'!$D$3:D754)/COUNTIF($A$3:A754,"&lt;&gt;0"))</f>
        <v>72.621321820652113</v>
      </c>
    </row>
    <row r="755" spans="1:9">
      <c r="A755">
        <v>753</v>
      </c>
      <c r="B755">
        <v>5</v>
      </c>
      <c r="C755">
        <v>4600</v>
      </c>
      <c r="D755">
        <v>5030</v>
      </c>
      <c r="E755" s="4">
        <f t="shared" si="48"/>
        <v>1</v>
      </c>
      <c r="F755" s="4">
        <f t="shared" si="49"/>
        <v>430</v>
      </c>
      <c r="G755" s="4">
        <f t="shared" si="50"/>
        <v>9.3478260869565219E-2</v>
      </c>
      <c r="H755" s="4">
        <f t="shared" si="51"/>
        <v>184900</v>
      </c>
      <c r="I755" s="5">
        <f>SQRT(SUM('r-native-multi'!$D$3:D755)/COUNTIF($A$3:A755,"&lt;&gt;0"))</f>
        <v>72.619092093750282</v>
      </c>
    </row>
    <row r="756" spans="1:9">
      <c r="A756">
        <v>754</v>
      </c>
      <c r="B756">
        <v>5</v>
      </c>
      <c r="C756">
        <v>4600</v>
      </c>
      <c r="D756">
        <v>5198</v>
      </c>
      <c r="E756" s="4">
        <f t="shared" si="48"/>
        <v>1</v>
      </c>
      <c r="F756" s="4">
        <f t="shared" si="49"/>
        <v>598</v>
      </c>
      <c r="G756" s="4">
        <f t="shared" si="50"/>
        <v>0.13</v>
      </c>
      <c r="H756" s="4">
        <f t="shared" si="51"/>
        <v>357604</v>
      </c>
      <c r="I756" s="5">
        <f>SQRT(SUM('r-native-multi'!$D$3:D756)/COUNTIF($A$3:A756,"&lt;&gt;0"))</f>
        <v>72.618402356033044</v>
      </c>
    </row>
    <row r="757" spans="1:9">
      <c r="A757">
        <v>755</v>
      </c>
      <c r="B757">
        <v>5</v>
      </c>
      <c r="C757">
        <v>4600</v>
      </c>
      <c r="D757">
        <v>5193</v>
      </c>
      <c r="E757" s="4">
        <f t="shared" si="48"/>
        <v>1</v>
      </c>
      <c r="F757" s="4">
        <f t="shared" si="49"/>
        <v>593</v>
      </c>
      <c r="G757" s="4">
        <f t="shared" si="50"/>
        <v>0.12891304347826088</v>
      </c>
      <c r="H757" s="4">
        <f t="shared" si="51"/>
        <v>351649</v>
      </c>
      <c r="I757" s="5">
        <f>SQRT(SUM('r-native-multi'!$D$3:D757)/COUNTIF($A$3:A757,"&lt;&gt;0"))</f>
        <v>72.617668840403908</v>
      </c>
    </row>
    <row r="758" spans="1:9">
      <c r="A758">
        <v>756</v>
      </c>
      <c r="B758">
        <v>5</v>
      </c>
      <c r="C758">
        <v>4600</v>
      </c>
      <c r="D758">
        <v>5149</v>
      </c>
      <c r="E758" s="4">
        <f t="shared" si="48"/>
        <v>1</v>
      </c>
      <c r="F758" s="4">
        <f t="shared" si="49"/>
        <v>549</v>
      </c>
      <c r="G758" s="4">
        <f t="shared" si="50"/>
        <v>0.11934782608695652</v>
      </c>
      <c r="H758" s="4">
        <f t="shared" si="51"/>
        <v>301401</v>
      </c>
      <c r="I758" s="5">
        <f>SQRT(SUM('r-native-multi'!$D$3:D758)/COUNTIF($A$3:A758,"&lt;&gt;0"))</f>
        <v>72.616536516563329</v>
      </c>
    </row>
    <row r="759" spans="1:9">
      <c r="A759">
        <v>757</v>
      </c>
      <c r="B759">
        <v>5</v>
      </c>
      <c r="C759">
        <v>4600</v>
      </c>
      <c r="D759">
        <v>5222</v>
      </c>
      <c r="E759" s="4">
        <f t="shared" si="48"/>
        <v>1</v>
      </c>
      <c r="F759" s="4">
        <f t="shared" si="49"/>
        <v>622</v>
      </c>
      <c r="G759" s="4">
        <f t="shared" si="50"/>
        <v>0.13521739130434782</v>
      </c>
      <c r="H759" s="4">
        <f t="shared" si="51"/>
        <v>386884</v>
      </c>
      <c r="I759" s="5">
        <f>SQRT(SUM('r-native-multi'!$D$3:D759)/COUNTIF($A$3:A759,"&lt;&gt;0"))</f>
        <v>72.616071163905403</v>
      </c>
    </row>
    <row r="760" spans="1:9">
      <c r="A760">
        <v>758</v>
      </c>
      <c r="B760">
        <v>5</v>
      </c>
      <c r="C760">
        <v>4600</v>
      </c>
      <c r="D760">
        <v>5265</v>
      </c>
      <c r="E760" s="4">
        <f t="shared" si="48"/>
        <v>1</v>
      </c>
      <c r="F760" s="4">
        <f t="shared" si="49"/>
        <v>665</v>
      </c>
      <c r="G760" s="4">
        <f t="shared" si="50"/>
        <v>0.14456521739130435</v>
      </c>
      <c r="H760" s="4">
        <f t="shared" si="51"/>
        <v>442225</v>
      </c>
      <c r="I760" s="5">
        <f>SQRT(SUM('r-native-multi'!$D$3:D760)/COUNTIF($A$3:A760,"&lt;&gt;0"))</f>
        <v>72.615997641404505</v>
      </c>
    </row>
    <row r="761" spans="1:9">
      <c r="A761">
        <v>759</v>
      </c>
      <c r="B761">
        <v>5</v>
      </c>
      <c r="C761">
        <v>4600</v>
      </c>
      <c r="D761">
        <v>5276</v>
      </c>
      <c r="E761" s="4">
        <f t="shared" si="48"/>
        <v>1</v>
      </c>
      <c r="F761" s="4">
        <f t="shared" si="49"/>
        <v>676</v>
      </c>
      <c r="G761" s="4">
        <f t="shared" si="50"/>
        <v>0.14695652173913043</v>
      </c>
      <c r="H761" s="4">
        <f t="shared" si="51"/>
        <v>456976</v>
      </c>
      <c r="I761" s="5">
        <f>SQRT(SUM('r-native-multi'!$D$3:D761)/COUNTIF($A$3:A761,"&lt;&gt;0"))</f>
        <v>72.616024102960495</v>
      </c>
    </row>
    <row r="762" spans="1:9">
      <c r="A762">
        <v>760</v>
      </c>
      <c r="B762">
        <v>5</v>
      </c>
      <c r="C762">
        <v>4600</v>
      </c>
      <c r="D762">
        <v>5221</v>
      </c>
      <c r="E762" s="4">
        <f t="shared" si="48"/>
        <v>1</v>
      </c>
      <c r="F762" s="4">
        <f t="shared" si="49"/>
        <v>621</v>
      </c>
      <c r="G762" s="4">
        <f t="shared" si="50"/>
        <v>0.13500000000000001</v>
      </c>
      <c r="H762" s="4">
        <f t="shared" si="51"/>
        <v>385641</v>
      </c>
      <c r="I762" s="5">
        <f>SQRT(SUM('r-native-multi'!$D$3:D762)/COUNTIF($A$3:A762,"&lt;&gt;0"))</f>
        <v>72.615552198221494</v>
      </c>
    </row>
    <row r="763" spans="1:9">
      <c r="A763">
        <v>761</v>
      </c>
      <c r="B763">
        <v>5</v>
      </c>
      <c r="C763">
        <v>4600</v>
      </c>
      <c r="D763">
        <v>5232</v>
      </c>
      <c r="E763" s="4">
        <f t="shared" si="48"/>
        <v>1</v>
      </c>
      <c r="F763" s="4">
        <f t="shared" si="49"/>
        <v>632</v>
      </c>
      <c r="G763" s="4">
        <f t="shared" si="50"/>
        <v>0.13739130434782609</v>
      </c>
      <c r="H763" s="4">
        <f t="shared" si="51"/>
        <v>399424</v>
      </c>
      <c r="I763" s="5">
        <f>SQRT(SUM('r-native-multi'!$D$3:D763)/COUNTIF($A$3:A763,"&lt;&gt;0"))</f>
        <v>72.615181059940468</v>
      </c>
    </row>
    <row r="764" spans="1:9">
      <c r="A764">
        <v>762</v>
      </c>
      <c r="B764">
        <v>5</v>
      </c>
      <c r="C764">
        <v>4600</v>
      </c>
      <c r="D764">
        <v>5350</v>
      </c>
      <c r="E764" s="4">
        <f t="shared" si="48"/>
        <v>1</v>
      </c>
      <c r="F764" s="4">
        <f t="shared" si="49"/>
        <v>750</v>
      </c>
      <c r="G764" s="4">
        <f t="shared" si="50"/>
        <v>0.16304347826086957</v>
      </c>
      <c r="H764" s="4">
        <f t="shared" si="51"/>
        <v>562500</v>
      </c>
      <c r="I764" s="5">
        <f>SQRT(SUM('r-native-multi'!$D$3:D764)/COUNTIF($A$3:A764,"&lt;&gt;0"))</f>
        <v>72.615877167448033</v>
      </c>
    </row>
    <row r="765" spans="1:9">
      <c r="A765">
        <v>763</v>
      </c>
      <c r="B765">
        <v>5</v>
      </c>
      <c r="C765">
        <v>4600</v>
      </c>
      <c r="D765">
        <v>5304</v>
      </c>
      <c r="E765" s="4">
        <f t="shared" si="48"/>
        <v>1</v>
      </c>
      <c r="F765" s="4">
        <f t="shared" si="49"/>
        <v>704</v>
      </c>
      <c r="G765" s="4">
        <f t="shared" si="50"/>
        <v>0.15304347826086956</v>
      </c>
      <c r="H765" s="4">
        <f t="shared" si="51"/>
        <v>495616</v>
      </c>
      <c r="I765" s="5">
        <f>SQRT(SUM('r-native-multi'!$D$3:D765)/COUNTIF($A$3:A765,"&lt;&gt;0"))</f>
        <v>72.616156328293442</v>
      </c>
    </row>
    <row r="766" spans="1:9">
      <c r="A766">
        <v>764</v>
      </c>
      <c r="B766">
        <v>5</v>
      </c>
      <c r="C766">
        <v>4600</v>
      </c>
      <c r="D766">
        <v>5281</v>
      </c>
      <c r="E766" s="4">
        <f t="shared" si="48"/>
        <v>1</v>
      </c>
      <c r="F766" s="4">
        <f t="shared" si="49"/>
        <v>681</v>
      </c>
      <c r="G766" s="4">
        <f t="shared" si="50"/>
        <v>0.14804347826086955</v>
      </c>
      <c r="H766" s="4">
        <f t="shared" si="51"/>
        <v>463761</v>
      </c>
      <c r="I766" s="5">
        <f>SQRT(SUM('r-native-multi'!$D$3:D766)/COUNTIF($A$3:A766,"&lt;&gt;0"))</f>
        <v>72.616227471183024</v>
      </c>
    </row>
    <row r="767" spans="1:9">
      <c r="A767">
        <v>765</v>
      </c>
      <c r="B767">
        <v>5</v>
      </c>
      <c r="C767">
        <v>4600</v>
      </c>
      <c r="D767">
        <v>5135</v>
      </c>
      <c r="E767" s="4">
        <f t="shared" si="48"/>
        <v>1</v>
      </c>
      <c r="F767" s="4">
        <f t="shared" si="49"/>
        <v>535</v>
      </c>
      <c r="G767" s="4">
        <f t="shared" si="50"/>
        <v>0.11630434782608695</v>
      </c>
      <c r="H767" s="4">
        <f t="shared" si="51"/>
        <v>286225</v>
      </c>
      <c r="I767" s="5">
        <f>SQRT(SUM('r-native-multi'!$D$3:D767)/COUNTIF($A$3:A767,"&lt;&gt;0"))</f>
        <v>72.614984319439316</v>
      </c>
    </row>
    <row r="768" spans="1:9">
      <c r="A768">
        <v>766</v>
      </c>
      <c r="B768">
        <v>5</v>
      </c>
      <c r="C768">
        <v>4600</v>
      </c>
      <c r="D768">
        <v>5160</v>
      </c>
      <c r="E768" s="4">
        <f t="shared" si="48"/>
        <v>1</v>
      </c>
      <c r="F768" s="4">
        <f t="shared" si="49"/>
        <v>560</v>
      </c>
      <c r="G768" s="4">
        <f t="shared" si="50"/>
        <v>0.12173913043478261</v>
      </c>
      <c r="H768" s="4">
        <f t="shared" si="51"/>
        <v>313600</v>
      </c>
      <c r="I768" s="5">
        <f>SQRT(SUM('r-native-multi'!$D$3:D768)/COUNTIF($A$3:A768,"&lt;&gt;0"))</f>
        <v>72.613969122678782</v>
      </c>
    </row>
    <row r="769" spans="1:9">
      <c r="A769">
        <v>767</v>
      </c>
      <c r="B769">
        <v>5</v>
      </c>
      <c r="C769">
        <v>4600</v>
      </c>
      <c r="D769">
        <v>5287</v>
      </c>
      <c r="E769" s="4">
        <f t="shared" si="48"/>
        <v>1</v>
      </c>
      <c r="F769" s="4">
        <f t="shared" si="49"/>
        <v>687</v>
      </c>
      <c r="G769" s="4">
        <f t="shared" si="50"/>
        <v>0.14934782608695651</v>
      </c>
      <c r="H769" s="4">
        <f t="shared" si="51"/>
        <v>471969</v>
      </c>
      <c r="I769" s="5">
        <f>SQRT(SUM('r-native-multi'!$D$3:D769)/COUNTIF($A$3:A769,"&lt;&gt;0"))</f>
        <v>72.614096705923501</v>
      </c>
    </row>
    <row r="770" spans="1:9">
      <c r="A770">
        <v>768</v>
      </c>
      <c r="B770">
        <v>5</v>
      </c>
      <c r="C770">
        <v>4600</v>
      </c>
      <c r="D770">
        <v>5260</v>
      </c>
      <c r="E770" s="4">
        <f t="shared" si="48"/>
        <v>1</v>
      </c>
      <c r="F770" s="4">
        <f t="shared" si="49"/>
        <v>660</v>
      </c>
      <c r="G770" s="4">
        <f t="shared" si="50"/>
        <v>0.14347826086956522</v>
      </c>
      <c r="H770" s="4">
        <f t="shared" si="51"/>
        <v>435600</v>
      </c>
      <c r="I770" s="5">
        <f>SQRT(SUM('r-native-multi'!$D$3:D770)/COUNTIF($A$3:A770,"&lt;&gt;0"))</f>
        <v>72.613981880787478</v>
      </c>
    </row>
    <row r="771" spans="1:9">
      <c r="A771">
        <v>769</v>
      </c>
      <c r="B771">
        <v>5</v>
      </c>
      <c r="C771">
        <v>4600</v>
      </c>
      <c r="D771">
        <v>5226</v>
      </c>
      <c r="E771" s="4">
        <f t="shared" si="48"/>
        <v>1</v>
      </c>
      <c r="F771" s="4">
        <f t="shared" si="49"/>
        <v>626</v>
      </c>
      <c r="G771" s="4">
        <f t="shared" si="50"/>
        <v>0.13608695652173913</v>
      </c>
      <c r="H771" s="4">
        <f t="shared" si="51"/>
        <v>391876</v>
      </c>
      <c r="I771" s="5">
        <f>SQRT(SUM('r-native-multi'!$D$3:D771)/COUNTIF($A$3:A771,"&lt;&gt;0"))</f>
        <v>72.613562912555508</v>
      </c>
    </row>
    <row r="772" spans="1:9">
      <c r="A772">
        <v>770</v>
      </c>
      <c r="B772">
        <v>5</v>
      </c>
      <c r="C772">
        <v>4600</v>
      </c>
      <c r="D772">
        <v>4643</v>
      </c>
      <c r="E772" s="4">
        <f t="shared" si="48"/>
        <v>1</v>
      </c>
      <c r="F772" s="4">
        <f t="shared" si="49"/>
        <v>43</v>
      </c>
      <c r="G772" s="4">
        <f t="shared" si="50"/>
        <v>9.3478260869565219E-3</v>
      </c>
      <c r="H772" s="4">
        <f t="shared" si="51"/>
        <v>1849</v>
      </c>
      <c r="I772" s="5">
        <f>SQRT(SUM('r-native-multi'!$D$3:D772)/COUNTIF($A$3:A772,"&lt;&gt;0"))</f>
        <v>72.607931304449707</v>
      </c>
    </row>
    <row r="773" spans="1:9">
      <c r="A773">
        <v>771</v>
      </c>
      <c r="B773">
        <v>5</v>
      </c>
      <c r="C773">
        <v>4600</v>
      </c>
      <c r="D773">
        <v>5142</v>
      </c>
      <c r="E773" s="4">
        <f t="shared" si="48"/>
        <v>1</v>
      </c>
      <c r="F773" s="4">
        <f t="shared" si="49"/>
        <v>542</v>
      </c>
      <c r="G773" s="4">
        <f t="shared" si="50"/>
        <v>0.11782608695652173</v>
      </c>
      <c r="H773" s="4">
        <f t="shared" si="51"/>
        <v>293764</v>
      </c>
      <c r="I773" s="5">
        <f>SQRT(SUM('r-native-multi'!$D$3:D773)/COUNTIF($A$3:A773,"&lt;&gt;0"))</f>
        <v>72.60677096980335</v>
      </c>
    </row>
    <row r="774" spans="1:9">
      <c r="A774">
        <v>772</v>
      </c>
      <c r="B774">
        <v>5</v>
      </c>
      <c r="C774">
        <v>4600</v>
      </c>
      <c r="D774">
        <v>5039</v>
      </c>
      <c r="E774" s="4">
        <f t="shared" si="48"/>
        <v>1</v>
      </c>
      <c r="F774" s="4">
        <f t="shared" si="49"/>
        <v>439</v>
      </c>
      <c r="G774" s="4">
        <f t="shared" si="50"/>
        <v>9.5434782608695659E-2</v>
      </c>
      <c r="H774" s="4">
        <f t="shared" si="51"/>
        <v>192721</v>
      </c>
      <c r="I774" s="5">
        <f>SQRT(SUM('r-native-multi'!$D$3:D774)/COUNTIF($A$3:A774,"&lt;&gt;0"))</f>
        <v>72.604694819581468</v>
      </c>
    </row>
    <row r="775" spans="1:9">
      <c r="A775">
        <v>773</v>
      </c>
      <c r="B775">
        <v>5</v>
      </c>
      <c r="C775">
        <v>4600</v>
      </c>
      <c r="D775">
        <v>5254</v>
      </c>
      <c r="E775" s="4">
        <f t="shared" si="48"/>
        <v>1</v>
      </c>
      <c r="F775" s="4">
        <f t="shared" si="49"/>
        <v>654</v>
      </c>
      <c r="G775" s="4">
        <f t="shared" si="50"/>
        <v>0.14217391304347826</v>
      </c>
      <c r="H775" s="4">
        <f t="shared" si="51"/>
        <v>427716</v>
      </c>
      <c r="I775" s="5">
        <f>SQRT(SUM('r-native-multi'!$D$3:D775)/COUNTIF($A$3:A775,"&lt;&gt;0"))</f>
        <v>72.604539432350236</v>
      </c>
    </row>
    <row r="776" spans="1:9">
      <c r="A776">
        <v>774</v>
      </c>
      <c r="B776">
        <v>5</v>
      </c>
      <c r="C776">
        <v>4600</v>
      </c>
      <c r="D776">
        <v>5134</v>
      </c>
      <c r="E776" s="4">
        <f t="shared" si="48"/>
        <v>1</v>
      </c>
      <c r="F776" s="4">
        <f t="shared" si="49"/>
        <v>534</v>
      </c>
      <c r="G776" s="4">
        <f t="shared" si="50"/>
        <v>0.11608695652173913</v>
      </c>
      <c r="H776" s="4">
        <f t="shared" si="51"/>
        <v>285156</v>
      </c>
      <c r="I776" s="5">
        <f>SQRT(SUM('r-native-multi'!$D$3:D776)/COUNTIF($A$3:A776,"&lt;&gt;0"))</f>
        <v>72.603316742881546</v>
      </c>
    </row>
    <row r="777" spans="1:9">
      <c r="A777">
        <v>775</v>
      </c>
      <c r="B777">
        <v>5</v>
      </c>
      <c r="C777">
        <v>4600</v>
      </c>
      <c r="D777">
        <v>5183</v>
      </c>
      <c r="E777" s="4">
        <f t="shared" si="48"/>
        <v>1</v>
      </c>
      <c r="F777" s="4">
        <f t="shared" si="49"/>
        <v>583</v>
      </c>
      <c r="G777" s="4">
        <f t="shared" si="50"/>
        <v>0.1267391304347826</v>
      </c>
      <c r="H777" s="4">
        <f t="shared" si="51"/>
        <v>339889</v>
      </c>
      <c r="I777" s="5">
        <f>SQRT(SUM('r-native-multi'!$D$3:D777)/COUNTIF($A$3:A777,"&lt;&gt;0"))</f>
        <v>72.60253261378341</v>
      </c>
    </row>
    <row r="778" spans="1:9">
      <c r="A778">
        <v>776</v>
      </c>
      <c r="B778">
        <v>5</v>
      </c>
      <c r="C778">
        <v>4600</v>
      </c>
      <c r="D778">
        <v>5155</v>
      </c>
      <c r="E778" s="4">
        <f t="shared" si="48"/>
        <v>1</v>
      </c>
      <c r="F778" s="4">
        <f t="shared" si="49"/>
        <v>555</v>
      </c>
      <c r="G778" s="4">
        <f t="shared" si="50"/>
        <v>0.12065217391304348</v>
      </c>
      <c r="H778" s="4">
        <f t="shared" si="51"/>
        <v>308025</v>
      </c>
      <c r="I778" s="5">
        <f>SQRT(SUM('r-native-multi'!$D$3:D778)/COUNTIF($A$3:A778,"&lt;&gt;0"))</f>
        <v>72.601502000878085</v>
      </c>
    </row>
    <row r="779" spans="1:9">
      <c r="A779">
        <v>777</v>
      </c>
      <c r="B779">
        <v>5</v>
      </c>
      <c r="C779">
        <v>4600</v>
      </c>
      <c r="D779">
        <v>5154</v>
      </c>
      <c r="E779" s="4">
        <f t="shared" si="48"/>
        <v>1</v>
      </c>
      <c r="F779" s="4">
        <f t="shared" si="49"/>
        <v>554</v>
      </c>
      <c r="G779" s="4">
        <f t="shared" si="50"/>
        <v>0.12043478260869565</v>
      </c>
      <c r="H779" s="4">
        <f t="shared" si="51"/>
        <v>306916</v>
      </c>
      <c r="I779" s="5">
        <f>SQRT(SUM('r-native-multi'!$D$3:D779)/COUNTIF($A$3:A779,"&lt;&gt;0"))</f>
        <v>72.600465162611329</v>
      </c>
    </row>
    <row r="780" spans="1:9">
      <c r="A780">
        <v>778</v>
      </c>
      <c r="B780">
        <v>5</v>
      </c>
      <c r="C780">
        <v>4600</v>
      </c>
      <c r="D780">
        <v>5133</v>
      </c>
      <c r="E780" s="4">
        <f t="shared" si="48"/>
        <v>1</v>
      </c>
      <c r="F780" s="4">
        <f t="shared" si="49"/>
        <v>533</v>
      </c>
      <c r="G780" s="4">
        <f t="shared" si="50"/>
        <v>0.11586956521739131</v>
      </c>
      <c r="H780" s="4">
        <f t="shared" si="51"/>
        <v>284089</v>
      </c>
      <c r="I780" s="5">
        <f>SQRT(SUM('r-native-multi'!$D$3:D780)/COUNTIF($A$3:A780,"&lt;&gt;0"))</f>
        <v>72.599245075993124</v>
      </c>
    </row>
    <row r="781" spans="1:9">
      <c r="A781">
        <v>779</v>
      </c>
      <c r="B781">
        <v>5</v>
      </c>
      <c r="C781">
        <v>4600</v>
      </c>
      <c r="D781">
        <v>4550</v>
      </c>
      <c r="E781" s="4">
        <f t="shared" si="48"/>
        <v>1</v>
      </c>
      <c r="F781" s="4">
        <f t="shared" si="49"/>
        <v>50</v>
      </c>
      <c r="G781" s="4">
        <f t="shared" si="50"/>
        <v>1.0869565217391304E-2</v>
      </c>
      <c r="H781" s="4">
        <f t="shared" si="51"/>
        <v>2500</v>
      </c>
      <c r="I781" s="5">
        <f>SQRT(SUM('r-native-multi'!$D$3:D781)/COUNTIF($A$3:A781,"&lt;&gt;0"))</f>
        <v>72.592873540257628</v>
      </c>
    </row>
    <row r="782" spans="1:9">
      <c r="A782">
        <v>780</v>
      </c>
      <c r="B782">
        <v>5</v>
      </c>
      <c r="C782">
        <v>4600</v>
      </c>
      <c r="D782">
        <v>5059</v>
      </c>
      <c r="E782" s="4">
        <f t="shared" si="48"/>
        <v>1</v>
      </c>
      <c r="F782" s="4">
        <f t="shared" si="49"/>
        <v>459</v>
      </c>
      <c r="G782" s="4">
        <f t="shared" si="50"/>
        <v>9.978260869565217E-2</v>
      </c>
      <c r="H782" s="4">
        <f t="shared" si="51"/>
        <v>210681</v>
      </c>
      <c r="I782" s="5">
        <f>SQRT(SUM('r-native-multi'!$D$3:D782)/COUNTIF($A$3:A782,"&lt;&gt;0"))</f>
        <v>72.591012723374561</v>
      </c>
    </row>
    <row r="783" spans="1:9">
      <c r="A783">
        <v>781</v>
      </c>
      <c r="B783">
        <v>5</v>
      </c>
      <c r="C783">
        <v>4600</v>
      </c>
      <c r="D783">
        <v>4753</v>
      </c>
      <c r="E783" s="4">
        <f t="shared" si="48"/>
        <v>1</v>
      </c>
      <c r="F783" s="4">
        <f t="shared" si="49"/>
        <v>153</v>
      </c>
      <c r="G783" s="4">
        <f t="shared" si="50"/>
        <v>3.3260869565217392E-2</v>
      </c>
      <c r="H783" s="4">
        <f t="shared" si="51"/>
        <v>23409</v>
      </c>
      <c r="I783" s="5">
        <f>SQRT(SUM('r-native-multi'!$D$3:D783)/COUNTIF($A$3:A783,"&lt;&gt;0"))</f>
        <v>72.586457786788927</v>
      </c>
    </row>
    <row r="784" spans="1:9">
      <c r="A784">
        <v>782</v>
      </c>
      <c r="B784">
        <v>5</v>
      </c>
      <c r="C784">
        <v>4600</v>
      </c>
      <c r="D784">
        <v>5047</v>
      </c>
      <c r="E784" s="4">
        <f t="shared" si="48"/>
        <v>1</v>
      </c>
      <c r="F784" s="4">
        <f t="shared" si="49"/>
        <v>447</v>
      </c>
      <c r="G784" s="4">
        <f t="shared" si="50"/>
        <v>9.7173913043478263E-2</v>
      </c>
      <c r="H784" s="4">
        <f t="shared" si="51"/>
        <v>199809</v>
      </c>
      <c r="I784" s="5">
        <f>SQRT(SUM('r-native-multi'!$D$3:D784)/COUNTIF($A$3:A784,"&lt;&gt;0"))</f>
        <v>72.584504063739587</v>
      </c>
    </row>
    <row r="785" spans="1:9">
      <c r="A785">
        <v>783</v>
      </c>
      <c r="B785">
        <v>5</v>
      </c>
      <c r="C785">
        <v>4600</v>
      </c>
      <c r="D785">
        <v>5203</v>
      </c>
      <c r="E785" s="4">
        <f t="shared" si="48"/>
        <v>1</v>
      </c>
      <c r="F785" s="4">
        <f t="shared" si="49"/>
        <v>603</v>
      </c>
      <c r="G785" s="4">
        <f t="shared" si="50"/>
        <v>0.13108695652173913</v>
      </c>
      <c r="H785" s="4">
        <f t="shared" si="51"/>
        <v>363609</v>
      </c>
      <c r="I785" s="5">
        <f>SQRT(SUM('r-native-multi'!$D$3:D785)/COUNTIF($A$3:A785,"&lt;&gt;0"))</f>
        <v>72.583927728495993</v>
      </c>
    </row>
    <row r="786" spans="1:9">
      <c r="A786">
        <v>784</v>
      </c>
      <c r="B786">
        <v>5</v>
      </c>
      <c r="C786">
        <v>4600</v>
      </c>
      <c r="D786">
        <v>4981</v>
      </c>
      <c r="E786" s="4">
        <f t="shared" si="48"/>
        <v>1</v>
      </c>
      <c r="F786" s="4">
        <f t="shared" si="49"/>
        <v>381</v>
      </c>
      <c r="G786" s="4">
        <f t="shared" si="50"/>
        <v>8.2826086956521744E-2</v>
      </c>
      <c r="H786" s="4">
        <f t="shared" si="51"/>
        <v>145161</v>
      </c>
      <c r="I786" s="5">
        <f>SQRT(SUM('r-native-multi'!$D$3:D786)/COUNTIF($A$3:A786,"&lt;&gt;0"))</f>
        <v>72.581402225222902</v>
      </c>
    </row>
    <row r="787" spans="1:9">
      <c r="A787">
        <v>785</v>
      </c>
      <c r="B787">
        <v>5</v>
      </c>
      <c r="C787">
        <v>4600</v>
      </c>
      <c r="D787">
        <v>5221</v>
      </c>
      <c r="E787" s="4">
        <f t="shared" si="48"/>
        <v>1</v>
      </c>
      <c r="F787" s="4">
        <f t="shared" si="49"/>
        <v>621</v>
      </c>
      <c r="G787" s="4">
        <f t="shared" si="50"/>
        <v>0.13500000000000001</v>
      </c>
      <c r="H787" s="4">
        <f t="shared" si="51"/>
        <v>385641</v>
      </c>
      <c r="I787" s="5">
        <f>SQRT(SUM('r-native-multi'!$D$3:D787)/COUNTIF($A$3:A787,"&lt;&gt;0"))</f>
        <v>72.580989246496216</v>
      </c>
    </row>
    <row r="788" spans="1:9">
      <c r="A788">
        <v>786</v>
      </c>
      <c r="B788">
        <v>5</v>
      </c>
      <c r="C788">
        <v>4600</v>
      </c>
      <c r="D788">
        <v>5237</v>
      </c>
      <c r="E788" s="4">
        <f t="shared" si="48"/>
        <v>1</v>
      </c>
      <c r="F788" s="4">
        <f t="shared" si="49"/>
        <v>637</v>
      </c>
      <c r="G788" s="4">
        <f t="shared" si="50"/>
        <v>0.13847826086956522</v>
      </c>
      <c r="H788" s="4">
        <f t="shared" si="51"/>
        <v>405769</v>
      </c>
      <c r="I788" s="5">
        <f>SQRT(SUM('r-native-multi'!$D$3:D788)/COUNTIF($A$3:A788,"&lt;&gt;0"))</f>
        <v>72.580717548095635</v>
      </c>
    </row>
    <row r="789" spans="1:9">
      <c r="A789">
        <v>787</v>
      </c>
      <c r="B789">
        <v>5</v>
      </c>
      <c r="C789">
        <v>4600</v>
      </c>
      <c r="D789">
        <v>5246</v>
      </c>
      <c r="E789" s="4">
        <f t="shared" si="48"/>
        <v>1</v>
      </c>
      <c r="F789" s="4">
        <f t="shared" si="49"/>
        <v>646</v>
      </c>
      <c r="G789" s="4">
        <f t="shared" si="50"/>
        <v>0.14043478260869566</v>
      </c>
      <c r="H789" s="4">
        <f t="shared" si="51"/>
        <v>417316</v>
      </c>
      <c r="I789" s="5">
        <f>SQRT(SUM('r-native-multi'!$D$3:D789)/COUNTIF($A$3:A789,"&lt;&gt;0"))</f>
        <v>72.580525319498648</v>
      </c>
    </row>
    <row r="790" spans="1:9">
      <c r="A790">
        <v>788</v>
      </c>
      <c r="B790">
        <v>5</v>
      </c>
      <c r="C790">
        <v>4600</v>
      </c>
      <c r="D790">
        <v>5189</v>
      </c>
      <c r="E790" s="4">
        <f t="shared" si="48"/>
        <v>1</v>
      </c>
      <c r="F790" s="4">
        <f t="shared" si="49"/>
        <v>589</v>
      </c>
      <c r="G790" s="4">
        <f t="shared" si="50"/>
        <v>0.12804347826086956</v>
      </c>
      <c r="H790" s="4">
        <f t="shared" si="51"/>
        <v>346921</v>
      </c>
      <c r="I790" s="5">
        <f>SQRT(SUM('r-native-multi'!$D$3:D790)/COUNTIF($A$3:A790,"&lt;&gt;0"))</f>
        <v>72.579835266481865</v>
      </c>
    </row>
    <row r="791" spans="1:9">
      <c r="A791">
        <v>789</v>
      </c>
      <c r="B791">
        <v>5</v>
      </c>
      <c r="C791">
        <v>4600</v>
      </c>
      <c r="D791">
        <v>4971</v>
      </c>
      <c r="E791" s="4">
        <f t="shared" si="48"/>
        <v>1</v>
      </c>
      <c r="F791" s="4">
        <f t="shared" si="49"/>
        <v>371</v>
      </c>
      <c r="G791" s="4">
        <f t="shared" si="50"/>
        <v>8.0652173913043482E-2</v>
      </c>
      <c r="H791" s="4">
        <f t="shared" si="51"/>
        <v>137641</v>
      </c>
      <c r="I791" s="5">
        <f>SQRT(SUM('r-native-multi'!$D$3:D791)/COUNTIF($A$3:A791,"&lt;&gt;0"))</f>
        <v>72.577243497974337</v>
      </c>
    </row>
    <row r="792" spans="1:9">
      <c r="A792">
        <v>790</v>
      </c>
      <c r="B792">
        <v>5</v>
      </c>
      <c r="C792">
        <v>4600</v>
      </c>
      <c r="D792">
        <v>5257</v>
      </c>
      <c r="E792" s="4">
        <f t="shared" si="48"/>
        <v>1</v>
      </c>
      <c r="F792" s="4">
        <f t="shared" si="49"/>
        <v>657</v>
      </c>
      <c r="G792" s="4">
        <f t="shared" si="50"/>
        <v>0.14282608695652174</v>
      </c>
      <c r="H792" s="4">
        <f t="shared" si="51"/>
        <v>431649</v>
      </c>
      <c r="I792" s="5">
        <f>SQRT(SUM('r-native-multi'!$D$3:D792)/COUNTIF($A$3:A792,"&lt;&gt;0"))</f>
        <v>72.577152313759754</v>
      </c>
    </row>
    <row r="793" spans="1:9">
      <c r="A793">
        <v>791</v>
      </c>
      <c r="B793">
        <v>5</v>
      </c>
      <c r="C793">
        <v>4600</v>
      </c>
      <c r="D793">
        <v>5151</v>
      </c>
      <c r="E793" s="4">
        <f t="shared" ref="E793:E856" si="52">IF(AND(D793&lt;=C793*1.2,D793&gt;=C793*0.8),1,0)</f>
        <v>1</v>
      </c>
      <c r="F793" s="4">
        <f t="shared" ref="F793:F856" si="53">ABS(C793-D793)</f>
        <v>551</v>
      </c>
      <c r="G793" s="4">
        <f t="shared" ref="G793:G856" si="54">ABS(C793-D793)/C793</f>
        <v>0.11978260869565217</v>
      </c>
      <c r="H793" s="4">
        <f t="shared" ref="H793:H856" si="55">POWER(F793,2)</f>
        <v>303601</v>
      </c>
      <c r="I793" s="5">
        <f>SQRT(SUM('r-native-multi'!$D$3:D793)/COUNTIF($A$3:A793,"&lt;&gt;0"))</f>
        <v>72.576138145162687</v>
      </c>
    </row>
    <row r="794" spans="1:9">
      <c r="A794">
        <v>792</v>
      </c>
      <c r="B794">
        <v>5</v>
      </c>
      <c r="C794">
        <v>4600</v>
      </c>
      <c r="D794">
        <v>5216</v>
      </c>
      <c r="E794" s="4">
        <f t="shared" si="52"/>
        <v>1</v>
      </c>
      <c r="F794" s="4">
        <f t="shared" si="53"/>
        <v>616</v>
      </c>
      <c r="G794" s="4">
        <f t="shared" si="54"/>
        <v>0.13391304347826086</v>
      </c>
      <c r="H794" s="4">
        <f t="shared" si="55"/>
        <v>379456</v>
      </c>
      <c r="I794" s="5">
        <f>SQRT(SUM('r-native-multi'!$D$3:D794)/COUNTIF($A$3:A794,"&lt;&gt;0"))</f>
        <v>72.575691940249939</v>
      </c>
    </row>
    <row r="795" spans="1:9">
      <c r="A795">
        <v>793</v>
      </c>
      <c r="B795">
        <v>5</v>
      </c>
      <c r="C795">
        <v>4600</v>
      </c>
      <c r="D795">
        <v>5128</v>
      </c>
      <c r="E795" s="4">
        <f t="shared" si="52"/>
        <v>1</v>
      </c>
      <c r="F795" s="4">
        <f t="shared" si="53"/>
        <v>528</v>
      </c>
      <c r="G795" s="4">
        <f t="shared" si="54"/>
        <v>0.11478260869565217</v>
      </c>
      <c r="H795" s="4">
        <f t="shared" si="55"/>
        <v>278784</v>
      </c>
      <c r="I795" s="5">
        <f>SQRT(SUM('r-native-multi'!$D$3:D795)/COUNTIF($A$3:A795,"&lt;&gt;0"))</f>
        <v>72.574482330210998</v>
      </c>
    </row>
    <row r="796" spans="1:9">
      <c r="A796">
        <v>794</v>
      </c>
      <c r="B796">
        <v>5</v>
      </c>
      <c r="C796">
        <v>4600</v>
      </c>
      <c r="D796">
        <v>5110</v>
      </c>
      <c r="E796" s="4">
        <f t="shared" si="52"/>
        <v>1</v>
      </c>
      <c r="F796" s="4">
        <f t="shared" si="53"/>
        <v>510</v>
      </c>
      <c r="G796" s="4">
        <f t="shared" si="54"/>
        <v>0.1108695652173913</v>
      </c>
      <c r="H796" s="4">
        <f t="shared" si="55"/>
        <v>260100</v>
      </c>
      <c r="I796" s="5">
        <f>SQRT(SUM('r-native-multi'!$D$3:D796)/COUNTIF($A$3:A796,"&lt;&gt;0"))</f>
        <v>72.57311955965271</v>
      </c>
    </row>
    <row r="797" spans="1:9">
      <c r="A797">
        <v>795</v>
      </c>
      <c r="B797">
        <v>5</v>
      </c>
      <c r="C797">
        <v>4600</v>
      </c>
      <c r="D797">
        <v>5171</v>
      </c>
      <c r="E797" s="4">
        <f t="shared" si="52"/>
        <v>1</v>
      </c>
      <c r="F797" s="4">
        <f t="shared" si="53"/>
        <v>571</v>
      </c>
      <c r="G797" s="4">
        <f t="shared" si="54"/>
        <v>0.1241304347826087</v>
      </c>
      <c r="H797" s="4">
        <f t="shared" si="55"/>
        <v>326041</v>
      </c>
      <c r="I797" s="5">
        <f>SQRT(SUM('r-native-multi'!$D$3:D797)/COUNTIF($A$3:A797,"&lt;&gt;0"))</f>
        <v>72.572288836154527</v>
      </c>
    </row>
    <row r="798" spans="1:9">
      <c r="A798">
        <v>796</v>
      </c>
      <c r="B798">
        <v>5</v>
      </c>
      <c r="C798">
        <v>4600</v>
      </c>
      <c r="D798">
        <v>4946</v>
      </c>
      <c r="E798" s="4">
        <f t="shared" si="52"/>
        <v>1</v>
      </c>
      <c r="F798" s="4">
        <f t="shared" si="53"/>
        <v>346</v>
      </c>
      <c r="G798" s="4">
        <f t="shared" si="54"/>
        <v>7.5217391304347819E-2</v>
      </c>
      <c r="H798" s="4">
        <f t="shared" si="55"/>
        <v>119716</v>
      </c>
      <c r="I798" s="5">
        <f>SQRT(SUM('r-native-multi'!$D$3:D798)/COUNTIF($A$3:A798,"&lt;&gt;0"))</f>
        <v>72.569512681664548</v>
      </c>
    </row>
    <row r="799" spans="1:9">
      <c r="A799">
        <v>797</v>
      </c>
      <c r="B799">
        <v>5</v>
      </c>
      <c r="C799">
        <v>4600</v>
      </c>
      <c r="D799">
        <v>5300</v>
      </c>
      <c r="E799" s="4">
        <f t="shared" si="52"/>
        <v>1</v>
      </c>
      <c r="F799" s="4">
        <f t="shared" si="53"/>
        <v>700</v>
      </c>
      <c r="G799" s="4">
        <f t="shared" si="54"/>
        <v>0.15217391304347827</v>
      </c>
      <c r="H799" s="4">
        <f t="shared" si="55"/>
        <v>490000</v>
      </c>
      <c r="I799" s="5">
        <f>SQRT(SUM('r-native-multi'!$D$3:D799)/COUNTIF($A$3:A799,"&lt;&gt;0"))</f>
        <v>72.569803717133539</v>
      </c>
    </row>
    <row r="800" spans="1:9">
      <c r="A800">
        <v>798</v>
      </c>
      <c r="B800">
        <v>5</v>
      </c>
      <c r="C800">
        <v>4600</v>
      </c>
      <c r="D800">
        <v>5260</v>
      </c>
      <c r="E800" s="4">
        <f t="shared" si="52"/>
        <v>1</v>
      </c>
      <c r="F800" s="4">
        <f t="shared" si="53"/>
        <v>660</v>
      </c>
      <c r="G800" s="4">
        <f t="shared" si="54"/>
        <v>0.14347826086956522</v>
      </c>
      <c r="H800" s="4">
        <f t="shared" si="55"/>
        <v>435600</v>
      </c>
      <c r="I800" s="5">
        <f>SQRT(SUM('r-native-multi'!$D$3:D800)/COUNTIF($A$3:A800,"&lt;&gt;0"))</f>
        <v>72.569748663286902</v>
      </c>
    </row>
    <row r="801" spans="1:9">
      <c r="A801">
        <v>799</v>
      </c>
      <c r="B801">
        <v>5</v>
      </c>
      <c r="C801">
        <v>4600</v>
      </c>
      <c r="D801">
        <v>5184</v>
      </c>
      <c r="E801" s="4">
        <f t="shared" si="52"/>
        <v>1</v>
      </c>
      <c r="F801" s="4">
        <f t="shared" si="53"/>
        <v>584</v>
      </c>
      <c r="G801" s="4">
        <f t="shared" si="54"/>
        <v>0.12695652173913044</v>
      </c>
      <c r="H801" s="4">
        <f t="shared" si="55"/>
        <v>341056</v>
      </c>
      <c r="I801" s="5">
        <f>SQRT(SUM('r-native-multi'!$D$3:D801)/COUNTIF($A$3:A801,"&lt;&gt;0"))</f>
        <v>72.569038381837345</v>
      </c>
    </row>
    <row r="802" spans="1:9">
      <c r="A802">
        <v>800</v>
      </c>
      <c r="B802">
        <v>5</v>
      </c>
      <c r="C802">
        <v>4600</v>
      </c>
      <c r="D802">
        <v>5189</v>
      </c>
      <c r="E802" s="4">
        <f t="shared" si="52"/>
        <v>1</v>
      </c>
      <c r="F802" s="4">
        <f t="shared" si="53"/>
        <v>589</v>
      </c>
      <c r="G802" s="4">
        <f t="shared" si="54"/>
        <v>0.12804347826086956</v>
      </c>
      <c r="H802" s="4">
        <f t="shared" si="55"/>
        <v>346921</v>
      </c>
      <c r="I802" s="5">
        <f>SQRT(SUM('r-native-multi'!$D$3:D802)/COUNTIF($A$3:A802,"&lt;&gt;0"))</f>
        <v>72.568372932014952</v>
      </c>
    </row>
    <row r="803" spans="1:9">
      <c r="A803">
        <v>801</v>
      </c>
      <c r="B803">
        <v>5</v>
      </c>
      <c r="C803">
        <v>4600</v>
      </c>
      <c r="D803">
        <v>5065</v>
      </c>
      <c r="E803" s="4">
        <f t="shared" si="52"/>
        <v>1</v>
      </c>
      <c r="F803" s="4">
        <f t="shared" si="53"/>
        <v>465</v>
      </c>
      <c r="G803" s="4">
        <f t="shared" si="54"/>
        <v>0.10108695652173913</v>
      </c>
      <c r="H803" s="4">
        <f t="shared" si="55"/>
        <v>216225</v>
      </c>
      <c r="I803" s="5">
        <f>SQRT(SUM('r-native-multi'!$D$3:D803)/COUNTIF($A$3:A803,"&lt;&gt;0"))</f>
        <v>72.5666424949939</v>
      </c>
    </row>
    <row r="804" spans="1:9">
      <c r="A804">
        <v>802</v>
      </c>
      <c r="B804">
        <v>5</v>
      </c>
      <c r="C804">
        <v>4600</v>
      </c>
      <c r="D804">
        <v>5118</v>
      </c>
      <c r="E804" s="4">
        <f t="shared" si="52"/>
        <v>1</v>
      </c>
      <c r="F804" s="4">
        <f t="shared" si="53"/>
        <v>518</v>
      </c>
      <c r="G804" s="4">
        <f t="shared" si="54"/>
        <v>0.11260869565217391</v>
      </c>
      <c r="H804" s="4">
        <f t="shared" si="55"/>
        <v>268324</v>
      </c>
      <c r="I804" s="5">
        <f>SQRT(SUM('r-native-multi'!$D$3:D804)/COUNTIF($A$3:A804,"&lt;&gt;0"))</f>
        <v>72.565371680177407</v>
      </c>
    </row>
    <row r="805" spans="1:9">
      <c r="A805">
        <v>803</v>
      </c>
      <c r="B805">
        <v>5</v>
      </c>
      <c r="C805">
        <v>4600</v>
      </c>
      <c r="D805">
        <v>5310</v>
      </c>
      <c r="E805" s="4">
        <f t="shared" si="52"/>
        <v>1</v>
      </c>
      <c r="F805" s="4">
        <f t="shared" si="53"/>
        <v>710</v>
      </c>
      <c r="G805" s="4">
        <f t="shared" si="54"/>
        <v>0.15434782608695652</v>
      </c>
      <c r="H805" s="4">
        <f t="shared" si="55"/>
        <v>504100</v>
      </c>
      <c r="I805" s="5">
        <f>SQRT(SUM('r-native-multi'!$D$3:D805)/COUNTIF($A$3:A805,"&lt;&gt;0"))</f>
        <v>72.565751521622673</v>
      </c>
    </row>
    <row r="806" spans="1:9">
      <c r="A806">
        <v>804</v>
      </c>
      <c r="B806">
        <v>5</v>
      </c>
      <c r="C806">
        <v>4600</v>
      </c>
      <c r="D806">
        <v>5239</v>
      </c>
      <c r="E806" s="4">
        <f t="shared" si="52"/>
        <v>1</v>
      </c>
      <c r="F806" s="4">
        <f t="shared" si="53"/>
        <v>639</v>
      </c>
      <c r="G806" s="4">
        <f t="shared" si="54"/>
        <v>0.13891304347826086</v>
      </c>
      <c r="H806" s="4">
        <f t="shared" si="55"/>
        <v>408321</v>
      </c>
      <c r="I806" s="5">
        <f>SQRT(SUM('r-native-multi'!$D$3:D806)/COUNTIF($A$3:A806,"&lt;&gt;0"))</f>
        <v>72.565521944821555</v>
      </c>
    </row>
    <row r="807" spans="1:9">
      <c r="A807">
        <v>805</v>
      </c>
      <c r="B807">
        <v>5</v>
      </c>
      <c r="C807">
        <v>4600</v>
      </c>
      <c r="D807">
        <v>5138</v>
      </c>
      <c r="E807" s="4">
        <f t="shared" si="52"/>
        <v>1</v>
      </c>
      <c r="F807" s="4">
        <f t="shared" si="53"/>
        <v>538</v>
      </c>
      <c r="G807" s="4">
        <f t="shared" si="54"/>
        <v>0.11695652173913043</v>
      </c>
      <c r="H807" s="4">
        <f t="shared" si="55"/>
        <v>289444</v>
      </c>
      <c r="I807" s="5">
        <f>SQRT(SUM('r-native-multi'!$D$3:D807)/COUNTIF($A$3:A807,"&lt;&gt;0"))</f>
        <v>72.564428429444163</v>
      </c>
    </row>
    <row r="808" spans="1:9">
      <c r="A808">
        <v>806</v>
      </c>
      <c r="B808">
        <v>5</v>
      </c>
      <c r="C808">
        <v>4600</v>
      </c>
      <c r="D808">
        <v>5163</v>
      </c>
      <c r="E808" s="4">
        <f t="shared" si="52"/>
        <v>1</v>
      </c>
      <c r="F808" s="4">
        <f t="shared" si="53"/>
        <v>563</v>
      </c>
      <c r="G808" s="4">
        <f t="shared" si="54"/>
        <v>0.12239130434782609</v>
      </c>
      <c r="H808" s="4">
        <f t="shared" si="55"/>
        <v>316969</v>
      </c>
      <c r="I808" s="5">
        <f>SQRT(SUM('r-native-multi'!$D$3:D808)/COUNTIF($A$3:A808,"&lt;&gt;0"))</f>
        <v>72.563551336950653</v>
      </c>
    </row>
    <row r="809" spans="1:9">
      <c r="A809">
        <v>807</v>
      </c>
      <c r="B809">
        <v>5</v>
      </c>
      <c r="C809">
        <v>4600</v>
      </c>
      <c r="D809">
        <v>5136</v>
      </c>
      <c r="E809" s="4">
        <f t="shared" si="52"/>
        <v>1</v>
      </c>
      <c r="F809" s="4">
        <f t="shared" si="53"/>
        <v>536</v>
      </c>
      <c r="G809" s="4">
        <f t="shared" si="54"/>
        <v>0.11652173913043479</v>
      </c>
      <c r="H809" s="4">
        <f t="shared" si="55"/>
        <v>287296</v>
      </c>
      <c r="I809" s="5">
        <f>SQRT(SUM('r-native-multi'!$D$3:D809)/COUNTIF($A$3:A809,"&lt;&gt;0"))</f>
        <v>72.562445866893668</v>
      </c>
    </row>
    <row r="810" spans="1:9">
      <c r="A810">
        <v>808</v>
      </c>
      <c r="B810">
        <v>5</v>
      </c>
      <c r="C810">
        <v>4600</v>
      </c>
      <c r="D810">
        <v>5228</v>
      </c>
      <c r="E810" s="4">
        <f t="shared" si="52"/>
        <v>1</v>
      </c>
      <c r="F810" s="4">
        <f t="shared" si="53"/>
        <v>628</v>
      </c>
      <c r="G810" s="4">
        <f t="shared" si="54"/>
        <v>0.13652173913043478</v>
      </c>
      <c r="H810" s="4">
        <f t="shared" si="55"/>
        <v>394384</v>
      </c>
      <c r="I810" s="5">
        <f>SQRT(SUM('r-native-multi'!$D$3:D810)/COUNTIF($A$3:A810,"&lt;&gt;0"))</f>
        <v>72.562127699218024</v>
      </c>
    </row>
    <row r="811" spans="1:9">
      <c r="A811">
        <v>809</v>
      </c>
      <c r="B811">
        <v>5</v>
      </c>
      <c r="C811">
        <v>4600</v>
      </c>
      <c r="D811">
        <v>5283</v>
      </c>
      <c r="E811" s="4">
        <f t="shared" si="52"/>
        <v>1</v>
      </c>
      <c r="F811" s="4">
        <f t="shared" si="53"/>
        <v>683</v>
      </c>
      <c r="G811" s="4">
        <f t="shared" si="54"/>
        <v>0.14847826086956523</v>
      </c>
      <c r="H811" s="4">
        <f t="shared" si="55"/>
        <v>466489</v>
      </c>
      <c r="I811" s="5">
        <f>SQRT(SUM('r-native-multi'!$D$3:D811)/COUNTIF($A$3:A811,"&lt;&gt;0"))</f>
        <v>72.56227877903865</v>
      </c>
    </row>
    <row r="812" spans="1:9">
      <c r="A812">
        <v>810</v>
      </c>
      <c r="B812">
        <v>5</v>
      </c>
      <c r="C812">
        <v>4600</v>
      </c>
      <c r="D812">
        <v>5235</v>
      </c>
      <c r="E812" s="4">
        <f t="shared" si="52"/>
        <v>1</v>
      </c>
      <c r="F812" s="4">
        <f t="shared" si="53"/>
        <v>635</v>
      </c>
      <c r="G812" s="4">
        <f t="shared" si="54"/>
        <v>0.13804347826086957</v>
      </c>
      <c r="H812" s="4">
        <f t="shared" si="55"/>
        <v>403225</v>
      </c>
      <c r="I812" s="5">
        <f>SQRT(SUM('r-native-multi'!$D$3:D812)/COUNTIF($A$3:A812,"&lt;&gt;0"))</f>
        <v>72.562021151427743</v>
      </c>
    </row>
    <row r="813" spans="1:9">
      <c r="A813">
        <v>811</v>
      </c>
      <c r="B813">
        <v>5</v>
      </c>
      <c r="C813">
        <v>4600</v>
      </c>
      <c r="D813">
        <v>5178</v>
      </c>
      <c r="E813" s="4">
        <f t="shared" si="52"/>
        <v>1</v>
      </c>
      <c r="F813" s="4">
        <f t="shared" si="53"/>
        <v>578</v>
      </c>
      <c r="G813" s="4">
        <f t="shared" si="54"/>
        <v>0.12565217391304348</v>
      </c>
      <c r="H813" s="4">
        <f t="shared" si="55"/>
        <v>334084</v>
      </c>
      <c r="I813" s="5">
        <f>SQRT(SUM('r-native-multi'!$D$3:D813)/COUNTIF($A$3:A813,"&lt;&gt;0"))</f>
        <v>72.561279854722542</v>
      </c>
    </row>
    <row r="814" spans="1:9">
      <c r="A814">
        <v>812</v>
      </c>
      <c r="B814">
        <v>5</v>
      </c>
      <c r="C814">
        <v>4600</v>
      </c>
      <c r="D814">
        <v>5354</v>
      </c>
      <c r="E814" s="4">
        <f t="shared" si="52"/>
        <v>1</v>
      </c>
      <c r="F814" s="4">
        <f t="shared" si="53"/>
        <v>754</v>
      </c>
      <c r="G814" s="4">
        <f t="shared" si="54"/>
        <v>0.16391304347826086</v>
      </c>
      <c r="H814" s="4">
        <f t="shared" si="55"/>
        <v>568516</v>
      </c>
      <c r="I814" s="5">
        <f>SQRT(SUM('r-native-multi'!$D$3:D814)/COUNTIF($A$3:A814,"&lt;&gt;0"))</f>
        <v>72.562033932855726</v>
      </c>
    </row>
    <row r="815" spans="1:9">
      <c r="A815">
        <v>813</v>
      </c>
      <c r="B815">
        <v>5</v>
      </c>
      <c r="C815">
        <v>4600</v>
      </c>
      <c r="D815">
        <v>5103</v>
      </c>
      <c r="E815" s="4">
        <f t="shared" si="52"/>
        <v>1</v>
      </c>
      <c r="F815" s="4">
        <f t="shared" si="53"/>
        <v>503</v>
      </c>
      <c r="G815" s="4">
        <f t="shared" si="54"/>
        <v>0.10934782608695652</v>
      </c>
      <c r="H815" s="4">
        <f t="shared" si="55"/>
        <v>253009</v>
      </c>
      <c r="I815" s="5">
        <f>SQRT(SUM('r-native-multi'!$D$3:D815)/COUNTIF($A$3:A815,"&lt;&gt;0"))</f>
        <v>72.560658765559765</v>
      </c>
    </row>
    <row r="816" spans="1:9">
      <c r="A816">
        <v>814</v>
      </c>
      <c r="B816">
        <v>5</v>
      </c>
      <c r="C816">
        <v>4600</v>
      </c>
      <c r="D816">
        <v>5224</v>
      </c>
      <c r="E816" s="4">
        <f t="shared" si="52"/>
        <v>1</v>
      </c>
      <c r="F816" s="4">
        <f t="shared" si="53"/>
        <v>624</v>
      </c>
      <c r="G816" s="4">
        <f t="shared" si="54"/>
        <v>0.13565217391304349</v>
      </c>
      <c r="H816" s="4">
        <f t="shared" si="55"/>
        <v>389376</v>
      </c>
      <c r="I816" s="5">
        <f>SQRT(SUM('r-native-multi'!$D$3:D816)/COUNTIF($A$3:A816,"&lt;&gt;0"))</f>
        <v>72.560311269307348</v>
      </c>
    </row>
    <row r="817" spans="1:9">
      <c r="A817">
        <v>815</v>
      </c>
      <c r="B817">
        <v>5</v>
      </c>
      <c r="C817">
        <v>4600</v>
      </c>
      <c r="D817">
        <v>4775</v>
      </c>
      <c r="E817" s="4">
        <f t="shared" si="52"/>
        <v>1</v>
      </c>
      <c r="F817" s="4">
        <f t="shared" si="53"/>
        <v>175</v>
      </c>
      <c r="G817" s="4">
        <f t="shared" si="54"/>
        <v>3.8043478260869568E-2</v>
      </c>
      <c r="H817" s="4">
        <f t="shared" si="55"/>
        <v>30625</v>
      </c>
      <c r="I817" s="5">
        <f>SQRT(SUM('r-native-multi'!$D$3:D817)/COUNTIF($A$3:A817,"&lt;&gt;0"))</f>
        <v>72.556168214785643</v>
      </c>
    </row>
    <row r="818" spans="1:9">
      <c r="A818">
        <v>816</v>
      </c>
      <c r="B818">
        <v>5</v>
      </c>
      <c r="C818">
        <v>4600</v>
      </c>
      <c r="D818">
        <v>5226</v>
      </c>
      <c r="E818" s="4">
        <f t="shared" si="52"/>
        <v>1</v>
      </c>
      <c r="F818" s="4">
        <f t="shared" si="53"/>
        <v>626</v>
      </c>
      <c r="G818" s="4">
        <f t="shared" si="54"/>
        <v>0.13608695652173913</v>
      </c>
      <c r="H818" s="4">
        <f t="shared" si="55"/>
        <v>391876</v>
      </c>
      <c r="I818" s="5">
        <f>SQRT(SUM('r-native-multi'!$D$3:D818)/COUNTIF($A$3:A818,"&lt;&gt;0"))</f>
        <v>72.555843942414995</v>
      </c>
    </row>
    <row r="819" spans="1:9">
      <c r="A819">
        <v>817</v>
      </c>
      <c r="B819">
        <v>5</v>
      </c>
      <c r="C819">
        <v>4600</v>
      </c>
      <c r="D819">
        <v>5179</v>
      </c>
      <c r="E819" s="4">
        <f t="shared" si="52"/>
        <v>1</v>
      </c>
      <c r="F819" s="4">
        <f t="shared" si="53"/>
        <v>579</v>
      </c>
      <c r="G819" s="4">
        <f t="shared" si="54"/>
        <v>0.12586956521739132</v>
      </c>
      <c r="H819" s="4">
        <f t="shared" si="55"/>
        <v>335241</v>
      </c>
      <c r="I819" s="5">
        <f>SQRT(SUM('r-native-multi'!$D$3:D819)/COUNTIF($A$3:A819,"&lt;&gt;0"))</f>
        <v>72.555124023268149</v>
      </c>
    </row>
    <row r="820" spans="1:9">
      <c r="A820">
        <v>818</v>
      </c>
      <c r="B820">
        <v>5</v>
      </c>
      <c r="C820">
        <v>4600</v>
      </c>
      <c r="D820">
        <v>5132</v>
      </c>
      <c r="E820" s="4">
        <f t="shared" si="52"/>
        <v>1</v>
      </c>
      <c r="F820" s="4">
        <f t="shared" si="53"/>
        <v>532</v>
      </c>
      <c r="G820" s="4">
        <f t="shared" si="54"/>
        <v>0.11565217391304349</v>
      </c>
      <c r="H820" s="4">
        <f t="shared" si="55"/>
        <v>283024</v>
      </c>
      <c r="I820" s="5">
        <f>SQRT(SUM('r-native-multi'!$D$3:D820)/COUNTIF($A$3:A820,"&lt;&gt;0"))</f>
        <v>72.554009896615909</v>
      </c>
    </row>
    <row r="821" spans="1:9">
      <c r="A821">
        <v>819</v>
      </c>
      <c r="B821">
        <v>5</v>
      </c>
      <c r="C821">
        <v>4600</v>
      </c>
      <c r="D821">
        <v>5157</v>
      </c>
      <c r="E821" s="4">
        <f t="shared" si="52"/>
        <v>1</v>
      </c>
      <c r="F821" s="4">
        <f t="shared" si="53"/>
        <v>557</v>
      </c>
      <c r="G821" s="4">
        <f t="shared" si="54"/>
        <v>0.12108695652173913</v>
      </c>
      <c r="H821" s="4">
        <f t="shared" si="55"/>
        <v>310249</v>
      </c>
      <c r="I821" s="5">
        <f>SQRT(SUM('r-native-multi'!$D$3:D821)/COUNTIF($A$3:A821,"&lt;&gt;0"))</f>
        <v>72.5531088372759</v>
      </c>
    </row>
    <row r="822" spans="1:9">
      <c r="A822">
        <v>820</v>
      </c>
      <c r="B822">
        <v>5</v>
      </c>
      <c r="C822">
        <v>4600</v>
      </c>
      <c r="D822">
        <v>5225</v>
      </c>
      <c r="E822" s="4">
        <f t="shared" si="52"/>
        <v>1</v>
      </c>
      <c r="F822" s="4">
        <f t="shared" si="53"/>
        <v>625</v>
      </c>
      <c r="G822" s="4">
        <f t="shared" si="54"/>
        <v>0.1358695652173913</v>
      </c>
      <c r="H822" s="4">
        <f t="shared" si="55"/>
        <v>390625</v>
      </c>
      <c r="I822" s="5">
        <f>SQRT(SUM('r-native-multi'!$D$3:D822)/COUNTIF($A$3:A822,"&lt;&gt;0"))</f>
        <v>72.552781459851531</v>
      </c>
    </row>
    <row r="823" spans="1:9">
      <c r="A823">
        <v>821</v>
      </c>
      <c r="B823">
        <v>5</v>
      </c>
      <c r="C823">
        <v>4600</v>
      </c>
      <c r="D823">
        <v>5100</v>
      </c>
      <c r="E823" s="4">
        <f t="shared" si="52"/>
        <v>1</v>
      </c>
      <c r="F823" s="4">
        <f t="shared" si="53"/>
        <v>500</v>
      </c>
      <c r="G823" s="4">
        <f t="shared" si="54"/>
        <v>0.10869565217391304</v>
      </c>
      <c r="H823" s="4">
        <f t="shared" si="55"/>
        <v>250000</v>
      </c>
      <c r="I823" s="5">
        <f>SQRT(SUM('r-native-multi'!$D$3:D823)/COUNTIF($A$3:A823,"&lt;&gt;0"))</f>
        <v>72.551405606935162</v>
      </c>
    </row>
    <row r="824" spans="1:9">
      <c r="A824">
        <v>822</v>
      </c>
      <c r="B824">
        <v>5</v>
      </c>
      <c r="C824">
        <v>4600</v>
      </c>
      <c r="D824">
        <v>5080</v>
      </c>
      <c r="E824" s="4">
        <f t="shared" si="52"/>
        <v>1</v>
      </c>
      <c r="F824" s="4">
        <f t="shared" si="53"/>
        <v>480</v>
      </c>
      <c r="G824" s="4">
        <f t="shared" si="54"/>
        <v>0.10434782608695652</v>
      </c>
      <c r="H824" s="4">
        <f t="shared" si="55"/>
        <v>230400</v>
      </c>
      <c r="I824" s="5">
        <f>SQRT(SUM('r-native-multi'!$D$3:D824)/COUNTIF($A$3:A824,"&lt;&gt;0"))</f>
        <v>72.549865391810542</v>
      </c>
    </row>
    <row r="825" spans="1:9">
      <c r="A825">
        <v>823</v>
      </c>
      <c r="B825">
        <v>5</v>
      </c>
      <c r="C825">
        <v>4600</v>
      </c>
      <c r="D825">
        <v>5247</v>
      </c>
      <c r="E825" s="4">
        <f t="shared" si="52"/>
        <v>1</v>
      </c>
      <c r="F825" s="4">
        <f t="shared" si="53"/>
        <v>647</v>
      </c>
      <c r="G825" s="4">
        <f t="shared" si="54"/>
        <v>0.14065217391304347</v>
      </c>
      <c r="H825" s="4">
        <f t="shared" si="55"/>
        <v>418609</v>
      </c>
      <c r="I825" s="5">
        <f>SQRT(SUM('r-native-multi'!$D$3:D825)/COUNTIF($A$3:A825,"&lt;&gt;0"))</f>
        <v>72.549727363110918</v>
      </c>
    </row>
    <row r="826" spans="1:9">
      <c r="A826">
        <v>824</v>
      </c>
      <c r="B826">
        <v>5</v>
      </c>
      <c r="C826">
        <v>4600</v>
      </c>
      <c r="D826">
        <v>5134</v>
      </c>
      <c r="E826" s="4">
        <f t="shared" si="52"/>
        <v>1</v>
      </c>
      <c r="F826" s="4">
        <f t="shared" si="53"/>
        <v>534</v>
      </c>
      <c r="G826" s="4">
        <f t="shared" si="54"/>
        <v>0.11608695652173913</v>
      </c>
      <c r="H826" s="4">
        <f t="shared" si="55"/>
        <v>285156</v>
      </c>
      <c r="I826" s="5">
        <f>SQRT(SUM('r-native-multi'!$D$3:D826)/COUNTIF($A$3:A826,"&lt;&gt;0"))</f>
        <v>72.548644544489719</v>
      </c>
    </row>
    <row r="827" spans="1:9">
      <c r="A827">
        <v>825</v>
      </c>
      <c r="B827">
        <v>5</v>
      </c>
      <c r="C827">
        <v>4600</v>
      </c>
      <c r="D827">
        <v>5154</v>
      </c>
      <c r="E827" s="4">
        <f t="shared" si="52"/>
        <v>1</v>
      </c>
      <c r="F827" s="4">
        <f t="shared" si="53"/>
        <v>554</v>
      </c>
      <c r="G827" s="4">
        <f t="shared" si="54"/>
        <v>0.12043478260869565</v>
      </c>
      <c r="H827" s="4">
        <f t="shared" si="55"/>
        <v>306916</v>
      </c>
      <c r="I827" s="5">
        <f>SQRT(SUM('r-native-multi'!$D$3:D827)/COUNTIF($A$3:A827,"&lt;&gt;0"))</f>
        <v>72.547731414106494</v>
      </c>
    </row>
    <row r="828" spans="1:9">
      <c r="A828">
        <v>826</v>
      </c>
      <c r="B828">
        <v>5</v>
      </c>
      <c r="C828">
        <v>4600</v>
      </c>
      <c r="D828">
        <v>5248</v>
      </c>
      <c r="E828" s="4">
        <f t="shared" si="52"/>
        <v>1</v>
      </c>
      <c r="F828" s="4">
        <f t="shared" si="53"/>
        <v>648</v>
      </c>
      <c r="G828" s="4">
        <f t="shared" si="54"/>
        <v>0.1408695652173913</v>
      </c>
      <c r="H828" s="4">
        <f t="shared" si="55"/>
        <v>419904</v>
      </c>
      <c r="I828" s="5">
        <f>SQRT(SUM('r-native-multi'!$D$3:D828)/COUNTIF($A$3:A828,"&lt;&gt;0"))</f>
        <v>72.547604810085815</v>
      </c>
    </row>
    <row r="829" spans="1:9">
      <c r="A829">
        <v>827</v>
      </c>
      <c r="B829">
        <v>5</v>
      </c>
      <c r="C829">
        <v>4600</v>
      </c>
      <c r="D829">
        <v>4880</v>
      </c>
      <c r="E829" s="4">
        <f t="shared" si="52"/>
        <v>1</v>
      </c>
      <c r="F829" s="4">
        <f t="shared" si="53"/>
        <v>280</v>
      </c>
      <c r="G829" s="4">
        <f t="shared" si="54"/>
        <v>6.0869565217391307E-2</v>
      </c>
      <c r="H829" s="4">
        <f t="shared" si="55"/>
        <v>78400</v>
      </c>
      <c r="I829" s="5">
        <f>SQRT(SUM('r-native-multi'!$D$3:D829)/COUNTIF($A$3:A829,"&lt;&gt;0"))</f>
        <v>72.544411615162232</v>
      </c>
    </row>
    <row r="830" spans="1:9">
      <c r="A830">
        <v>828</v>
      </c>
      <c r="B830">
        <v>5</v>
      </c>
      <c r="C830">
        <v>4600</v>
      </c>
      <c r="D830">
        <v>5267</v>
      </c>
      <c r="E830" s="4">
        <f t="shared" si="52"/>
        <v>1</v>
      </c>
      <c r="F830" s="4">
        <f t="shared" si="53"/>
        <v>667</v>
      </c>
      <c r="G830" s="4">
        <f t="shared" si="54"/>
        <v>0.14499999999999999</v>
      </c>
      <c r="H830" s="4">
        <f t="shared" si="55"/>
        <v>444889</v>
      </c>
      <c r="I830" s="5">
        <f>SQRT(SUM('r-native-multi'!$D$3:D830)/COUNTIF($A$3:A830,"&lt;&gt;0"))</f>
        <v>72.544447478103947</v>
      </c>
    </row>
    <row r="831" spans="1:9">
      <c r="A831">
        <v>829</v>
      </c>
      <c r="B831">
        <v>5</v>
      </c>
      <c r="C831">
        <v>4600</v>
      </c>
      <c r="D831">
        <v>5364</v>
      </c>
      <c r="E831" s="4">
        <f t="shared" si="52"/>
        <v>1</v>
      </c>
      <c r="F831" s="4">
        <f t="shared" si="53"/>
        <v>764</v>
      </c>
      <c r="G831" s="4">
        <f t="shared" si="54"/>
        <v>0.16608695652173913</v>
      </c>
      <c r="H831" s="4">
        <f t="shared" si="55"/>
        <v>583696</v>
      </c>
      <c r="I831" s="5">
        <f>SQRT(SUM('r-native-multi'!$D$3:D831)/COUNTIF($A$3:A831,"&lt;&gt;0"))</f>
        <v>72.545289709996737</v>
      </c>
    </row>
    <row r="832" spans="1:9">
      <c r="A832">
        <v>830</v>
      </c>
      <c r="B832">
        <v>5</v>
      </c>
      <c r="C832">
        <v>4600</v>
      </c>
      <c r="D832">
        <v>5216</v>
      </c>
      <c r="E832" s="4">
        <f t="shared" si="52"/>
        <v>1</v>
      </c>
      <c r="F832" s="4">
        <f t="shared" si="53"/>
        <v>616</v>
      </c>
      <c r="G832" s="4">
        <f t="shared" si="54"/>
        <v>0.13391304347826086</v>
      </c>
      <c r="H832" s="4">
        <f t="shared" si="55"/>
        <v>379456</v>
      </c>
      <c r="I832" s="5">
        <f>SQRT(SUM('r-native-multi'!$D$3:D832)/COUNTIF($A$3:A832,"&lt;&gt;0"))</f>
        <v>72.54490092764901</v>
      </c>
    </row>
    <row r="833" spans="1:9">
      <c r="A833">
        <v>831</v>
      </c>
      <c r="B833">
        <v>5</v>
      </c>
      <c r="C833">
        <v>4600</v>
      </c>
      <c r="D833">
        <v>5283</v>
      </c>
      <c r="E833" s="4">
        <f t="shared" si="52"/>
        <v>1</v>
      </c>
      <c r="F833" s="4">
        <f t="shared" si="53"/>
        <v>683</v>
      </c>
      <c r="G833" s="4">
        <f t="shared" si="54"/>
        <v>0.14847826086956523</v>
      </c>
      <c r="H833" s="4">
        <f t="shared" si="55"/>
        <v>466489</v>
      </c>
      <c r="I833" s="5">
        <f>SQRT(SUM('r-native-multi'!$D$3:D833)/COUNTIF($A$3:A833,"&lt;&gt;0"))</f>
        <v>72.545068775280029</v>
      </c>
    </row>
    <row r="834" spans="1:9">
      <c r="A834">
        <v>832</v>
      </c>
      <c r="B834">
        <v>5</v>
      </c>
      <c r="C834">
        <v>4600</v>
      </c>
      <c r="D834">
        <v>4707</v>
      </c>
      <c r="E834" s="4">
        <f t="shared" si="52"/>
        <v>1</v>
      </c>
      <c r="F834" s="4">
        <f t="shared" si="53"/>
        <v>107</v>
      </c>
      <c r="G834" s="4">
        <f t="shared" si="54"/>
        <v>2.326086956521739E-2</v>
      </c>
      <c r="H834" s="4">
        <f t="shared" si="55"/>
        <v>11449</v>
      </c>
      <c r="I834" s="5">
        <f>SQRT(SUM('r-native-multi'!$D$3:D834)/COUNTIF($A$3:A834,"&lt;&gt;0"))</f>
        <v>72.540464503507394</v>
      </c>
    </row>
    <row r="835" spans="1:9">
      <c r="A835">
        <v>833</v>
      </c>
      <c r="B835">
        <v>5</v>
      </c>
      <c r="C835">
        <v>4600</v>
      </c>
      <c r="D835">
        <v>5207</v>
      </c>
      <c r="E835" s="4">
        <f t="shared" si="52"/>
        <v>1</v>
      </c>
      <c r="F835" s="4">
        <f t="shared" si="53"/>
        <v>607</v>
      </c>
      <c r="G835" s="4">
        <f t="shared" si="54"/>
        <v>0.13195652173913044</v>
      </c>
      <c r="H835" s="4">
        <f t="shared" si="55"/>
        <v>368449</v>
      </c>
      <c r="I835" s="5">
        <f>SQRT(SUM('r-native-multi'!$D$3:D835)/COUNTIF($A$3:A835,"&lt;&gt;0"))</f>
        <v>72.540008416931215</v>
      </c>
    </row>
    <row r="836" spans="1:9">
      <c r="A836">
        <v>834</v>
      </c>
      <c r="B836">
        <v>5</v>
      </c>
      <c r="C836">
        <v>4600</v>
      </c>
      <c r="D836">
        <v>5144</v>
      </c>
      <c r="E836" s="4">
        <f t="shared" si="52"/>
        <v>1</v>
      </c>
      <c r="F836" s="4">
        <f t="shared" si="53"/>
        <v>544</v>
      </c>
      <c r="G836" s="4">
        <f t="shared" si="54"/>
        <v>0.11826086956521739</v>
      </c>
      <c r="H836" s="4">
        <f t="shared" si="55"/>
        <v>295936</v>
      </c>
      <c r="I836" s="5">
        <f>SQRT(SUM('r-native-multi'!$D$3:D836)/COUNTIF($A$3:A836,"&lt;&gt;0"))</f>
        <v>72.53903274088519</v>
      </c>
    </row>
    <row r="837" spans="1:9">
      <c r="A837">
        <v>835</v>
      </c>
      <c r="B837">
        <v>5</v>
      </c>
      <c r="C837">
        <v>4600</v>
      </c>
      <c r="D837">
        <v>5241</v>
      </c>
      <c r="E837" s="4">
        <f t="shared" si="52"/>
        <v>1</v>
      </c>
      <c r="F837" s="4">
        <f t="shared" si="53"/>
        <v>641</v>
      </c>
      <c r="G837" s="4">
        <f t="shared" si="54"/>
        <v>0.13934782608695653</v>
      </c>
      <c r="H837" s="4">
        <f t="shared" si="55"/>
        <v>410881</v>
      </c>
      <c r="I837" s="5">
        <f>SQRT(SUM('r-native-multi'!$D$3:D837)/COUNTIF($A$3:A837,"&lt;&gt;0"))</f>
        <v>72.538860120248032</v>
      </c>
    </row>
    <row r="838" spans="1:9">
      <c r="A838">
        <v>836</v>
      </c>
      <c r="B838">
        <v>5</v>
      </c>
      <c r="C838">
        <v>4600</v>
      </c>
      <c r="D838">
        <v>5230</v>
      </c>
      <c r="E838" s="4">
        <f t="shared" si="52"/>
        <v>1</v>
      </c>
      <c r="F838" s="4">
        <f t="shared" si="53"/>
        <v>630</v>
      </c>
      <c r="G838" s="4">
        <f t="shared" si="54"/>
        <v>0.13695652173913042</v>
      </c>
      <c r="H838" s="4">
        <f t="shared" si="55"/>
        <v>396900</v>
      </c>
      <c r="I838" s="5">
        <f>SQRT(SUM('r-native-multi'!$D$3:D838)/COUNTIF($A$3:A838,"&lt;&gt;0"))</f>
        <v>72.538597216408874</v>
      </c>
    </row>
    <row r="839" spans="1:9">
      <c r="A839">
        <v>837</v>
      </c>
      <c r="B839">
        <v>5</v>
      </c>
      <c r="C839">
        <v>4600</v>
      </c>
      <c r="D839">
        <v>4740</v>
      </c>
      <c r="E839" s="4">
        <f t="shared" si="52"/>
        <v>1</v>
      </c>
      <c r="F839" s="4">
        <f t="shared" si="53"/>
        <v>140</v>
      </c>
      <c r="G839" s="4">
        <f t="shared" si="54"/>
        <v>3.0434782608695653E-2</v>
      </c>
      <c r="H839" s="4">
        <f t="shared" si="55"/>
        <v>19600</v>
      </c>
      <c r="I839" s="5">
        <f>SQRT(SUM('r-native-multi'!$D$3:D839)/COUNTIF($A$3:A839,"&lt;&gt;0"))</f>
        <v>72.534299553442182</v>
      </c>
    </row>
    <row r="840" spans="1:9">
      <c r="A840">
        <v>838</v>
      </c>
      <c r="B840">
        <v>5</v>
      </c>
      <c r="C840">
        <v>4600</v>
      </c>
      <c r="D840">
        <v>5164</v>
      </c>
      <c r="E840" s="4">
        <f t="shared" si="52"/>
        <v>1</v>
      </c>
      <c r="F840" s="4">
        <f t="shared" si="53"/>
        <v>564</v>
      </c>
      <c r="G840" s="4">
        <f t="shared" si="54"/>
        <v>0.12260869565217392</v>
      </c>
      <c r="H840" s="4">
        <f t="shared" si="55"/>
        <v>318096</v>
      </c>
      <c r="I840" s="5">
        <f>SQRT(SUM('r-native-multi'!$D$3:D840)/COUNTIF($A$3:A840,"&lt;&gt;0"))</f>
        <v>72.533499790685966</v>
      </c>
    </row>
    <row r="841" spans="1:9">
      <c r="A841">
        <v>839</v>
      </c>
      <c r="B841">
        <v>5</v>
      </c>
      <c r="C841">
        <v>4600</v>
      </c>
      <c r="D841">
        <v>5149</v>
      </c>
      <c r="E841" s="4">
        <f t="shared" si="52"/>
        <v>1</v>
      </c>
      <c r="F841" s="4">
        <f t="shared" si="53"/>
        <v>549</v>
      </c>
      <c r="G841" s="4">
        <f t="shared" si="54"/>
        <v>0.11934782608695652</v>
      </c>
      <c r="H841" s="4">
        <f t="shared" si="55"/>
        <v>301401</v>
      </c>
      <c r="I841" s="5">
        <f>SQRT(SUM('r-native-multi'!$D$3:D841)/COUNTIF($A$3:A841,"&lt;&gt;0"))</f>
        <v>72.532578681600882</v>
      </c>
    </row>
    <row r="842" spans="1:9">
      <c r="A842">
        <v>840</v>
      </c>
      <c r="B842">
        <v>5</v>
      </c>
      <c r="C842">
        <v>4600</v>
      </c>
      <c r="D842">
        <v>5158</v>
      </c>
      <c r="E842" s="4">
        <f t="shared" si="52"/>
        <v>1</v>
      </c>
      <c r="F842" s="4">
        <f t="shared" si="53"/>
        <v>558</v>
      </c>
      <c r="G842" s="4">
        <f t="shared" si="54"/>
        <v>0.12130434782608696</v>
      </c>
      <c r="H842" s="4">
        <f t="shared" si="55"/>
        <v>311364</v>
      </c>
      <c r="I842" s="5">
        <f>SQRT(SUM('r-native-multi'!$D$3:D842)/COUNTIF($A$3:A842,"&lt;&gt;0"))</f>
        <v>72.531733613311502</v>
      </c>
    </row>
    <row r="843" spans="1:9">
      <c r="A843">
        <v>841</v>
      </c>
      <c r="B843">
        <v>5</v>
      </c>
      <c r="C843">
        <v>4600</v>
      </c>
      <c r="D843">
        <v>5171</v>
      </c>
      <c r="E843" s="4">
        <f t="shared" si="52"/>
        <v>1</v>
      </c>
      <c r="F843" s="4">
        <f t="shared" si="53"/>
        <v>571</v>
      </c>
      <c r="G843" s="4">
        <f t="shared" si="54"/>
        <v>0.1241304347826087</v>
      </c>
      <c r="H843" s="4">
        <f t="shared" si="55"/>
        <v>326041</v>
      </c>
      <c r="I843" s="5">
        <f>SQRT(SUM('r-native-multi'!$D$3:D843)/COUNTIF($A$3:A843,"&lt;&gt;0"))</f>
        <v>72.530997104841958</v>
      </c>
    </row>
    <row r="844" spans="1:9">
      <c r="A844">
        <v>842</v>
      </c>
      <c r="B844">
        <v>5</v>
      </c>
      <c r="C844">
        <v>4600</v>
      </c>
      <c r="D844">
        <v>5183</v>
      </c>
      <c r="E844" s="4">
        <f t="shared" si="52"/>
        <v>1</v>
      </c>
      <c r="F844" s="4">
        <f t="shared" si="53"/>
        <v>583</v>
      </c>
      <c r="G844" s="4">
        <f t="shared" si="54"/>
        <v>0.1267391304347826</v>
      </c>
      <c r="H844" s="4">
        <f t="shared" si="55"/>
        <v>339889</v>
      </c>
      <c r="I844" s="5">
        <f>SQRT(SUM('r-native-multi'!$D$3:D844)/COUNTIF($A$3:A844,"&lt;&gt;0"))</f>
        <v>72.530360585418521</v>
      </c>
    </row>
    <row r="845" spans="1:9">
      <c r="A845">
        <v>843</v>
      </c>
      <c r="B845">
        <v>5</v>
      </c>
      <c r="C845">
        <v>4600</v>
      </c>
      <c r="D845">
        <v>5158</v>
      </c>
      <c r="E845" s="4">
        <f t="shared" si="52"/>
        <v>1</v>
      </c>
      <c r="F845" s="4">
        <f t="shared" si="53"/>
        <v>558</v>
      </c>
      <c r="G845" s="4">
        <f t="shared" si="54"/>
        <v>0.12130434782608696</v>
      </c>
      <c r="H845" s="4">
        <f t="shared" si="55"/>
        <v>311364</v>
      </c>
      <c r="I845" s="5">
        <f>SQRT(SUM('r-native-multi'!$D$3:D845)/COUNTIF($A$3:A845,"&lt;&gt;0"))</f>
        <v>72.529521130019475</v>
      </c>
    </row>
    <row r="846" spans="1:9">
      <c r="A846">
        <v>844</v>
      </c>
      <c r="B846">
        <v>5</v>
      </c>
      <c r="C846">
        <v>4600</v>
      </c>
      <c r="D846">
        <v>5121</v>
      </c>
      <c r="E846" s="4">
        <f t="shared" si="52"/>
        <v>1</v>
      </c>
      <c r="F846" s="4">
        <f t="shared" si="53"/>
        <v>521</v>
      </c>
      <c r="G846" s="4">
        <f t="shared" si="54"/>
        <v>0.11326086956521739</v>
      </c>
      <c r="H846" s="4">
        <f t="shared" si="55"/>
        <v>271441</v>
      </c>
      <c r="I846" s="5">
        <f>SQRT(SUM('r-native-multi'!$D$3:D846)/COUNTIF($A$3:A846,"&lt;&gt;0"))</f>
        <v>72.52838143612523</v>
      </c>
    </row>
    <row r="847" spans="1:9">
      <c r="A847">
        <v>845</v>
      </c>
      <c r="B847">
        <v>5</v>
      </c>
      <c r="C847">
        <v>4600</v>
      </c>
      <c r="D847">
        <v>5195</v>
      </c>
      <c r="E847" s="4">
        <f t="shared" si="52"/>
        <v>1</v>
      </c>
      <c r="F847" s="4">
        <f t="shared" si="53"/>
        <v>595</v>
      </c>
      <c r="G847" s="4">
        <f t="shared" si="54"/>
        <v>0.12934782608695652</v>
      </c>
      <c r="H847" s="4">
        <f t="shared" si="55"/>
        <v>354025</v>
      </c>
      <c r="I847" s="5">
        <f>SQRT(SUM('r-native-multi'!$D$3:D847)/COUNTIF($A$3:A847,"&lt;&gt;0"))</f>
        <v>72.527848150875471</v>
      </c>
    </row>
    <row r="848" spans="1:9">
      <c r="A848">
        <v>846</v>
      </c>
      <c r="B848">
        <v>5</v>
      </c>
      <c r="C848">
        <v>4600</v>
      </c>
      <c r="D848">
        <v>5173</v>
      </c>
      <c r="E848" s="4">
        <f t="shared" si="52"/>
        <v>1</v>
      </c>
      <c r="F848" s="4">
        <f t="shared" si="53"/>
        <v>573</v>
      </c>
      <c r="G848" s="4">
        <f t="shared" si="54"/>
        <v>0.12456521739130434</v>
      </c>
      <c r="H848" s="4">
        <f t="shared" si="55"/>
        <v>328329</v>
      </c>
      <c r="I848" s="5">
        <f>SQRT(SUM('r-native-multi'!$D$3:D848)/COUNTIF($A$3:A848,"&lt;&gt;0"))</f>
        <v>72.527136846812155</v>
      </c>
    </row>
    <row r="849" spans="1:9">
      <c r="A849">
        <v>847</v>
      </c>
      <c r="B849">
        <v>5</v>
      </c>
      <c r="C849">
        <v>4600</v>
      </c>
      <c r="D849">
        <v>5190</v>
      </c>
      <c r="E849" s="4">
        <f t="shared" si="52"/>
        <v>1</v>
      </c>
      <c r="F849" s="4">
        <f t="shared" si="53"/>
        <v>590</v>
      </c>
      <c r="G849" s="4">
        <f t="shared" si="54"/>
        <v>0.1282608695652174</v>
      </c>
      <c r="H849" s="4">
        <f t="shared" si="55"/>
        <v>348100</v>
      </c>
      <c r="I849" s="5">
        <f>SQRT(SUM('r-native-multi'!$D$3:D849)/COUNTIF($A$3:A849,"&lt;&gt;0"))</f>
        <v>72.526565584386745</v>
      </c>
    </row>
    <row r="850" spans="1:9">
      <c r="A850">
        <v>848</v>
      </c>
      <c r="B850">
        <v>5</v>
      </c>
      <c r="C850">
        <v>4600</v>
      </c>
      <c r="D850">
        <v>5272</v>
      </c>
      <c r="E850" s="4">
        <f t="shared" si="52"/>
        <v>1</v>
      </c>
      <c r="F850" s="4">
        <f t="shared" si="53"/>
        <v>672</v>
      </c>
      <c r="G850" s="4">
        <f t="shared" si="54"/>
        <v>0.14608695652173914</v>
      </c>
      <c r="H850" s="4">
        <f t="shared" si="55"/>
        <v>451584</v>
      </c>
      <c r="I850" s="5">
        <f>SQRT(SUM('r-native-multi'!$D$3:D850)/COUNTIF($A$3:A850,"&lt;&gt;0"))</f>
        <v>72.526662306237554</v>
      </c>
    </row>
    <row r="851" spans="1:9">
      <c r="A851">
        <v>849</v>
      </c>
      <c r="B851">
        <v>5</v>
      </c>
      <c r="C851">
        <v>4600</v>
      </c>
      <c r="D851">
        <v>5093</v>
      </c>
      <c r="E851" s="4">
        <f t="shared" si="52"/>
        <v>1</v>
      </c>
      <c r="F851" s="4">
        <f t="shared" si="53"/>
        <v>493</v>
      </c>
      <c r="G851" s="4">
        <f t="shared" si="54"/>
        <v>0.10717391304347826</v>
      </c>
      <c r="H851" s="4">
        <f t="shared" si="55"/>
        <v>243049</v>
      </c>
      <c r="I851" s="5">
        <f>SQRT(SUM('r-native-multi'!$D$3:D851)/COUNTIF($A$3:A851,"&lt;&gt;0"))</f>
        <v>72.525305278719756</v>
      </c>
    </row>
    <row r="852" spans="1:9">
      <c r="A852">
        <v>850</v>
      </c>
      <c r="B852">
        <v>5</v>
      </c>
      <c r="C852">
        <v>4600</v>
      </c>
      <c r="D852">
        <v>5128</v>
      </c>
      <c r="E852" s="4">
        <f t="shared" si="52"/>
        <v>1</v>
      </c>
      <c r="F852" s="4">
        <f t="shared" si="53"/>
        <v>528</v>
      </c>
      <c r="G852" s="4">
        <f t="shared" si="54"/>
        <v>0.11478260869565217</v>
      </c>
      <c r="H852" s="4">
        <f t="shared" si="55"/>
        <v>278784</v>
      </c>
      <c r="I852" s="5">
        <f>SQRT(SUM('r-native-multi'!$D$3:D852)/COUNTIF($A$3:A852,"&lt;&gt;0"))</f>
        <v>72.52423530022466</v>
      </c>
    </row>
    <row r="853" spans="1:9">
      <c r="A853">
        <v>851</v>
      </c>
      <c r="B853">
        <v>5</v>
      </c>
      <c r="C853">
        <v>4600</v>
      </c>
      <c r="D853">
        <v>5214</v>
      </c>
      <c r="E853" s="4">
        <f t="shared" si="52"/>
        <v>1</v>
      </c>
      <c r="F853" s="4">
        <f t="shared" si="53"/>
        <v>614</v>
      </c>
      <c r="G853" s="4">
        <f t="shared" si="54"/>
        <v>0.13347826086956521</v>
      </c>
      <c r="H853" s="4">
        <f t="shared" si="55"/>
        <v>376996</v>
      </c>
      <c r="I853" s="5">
        <f>SQRT(SUM('r-native-multi'!$D$3:D853)/COUNTIF($A$3:A853,"&lt;&gt;0"))</f>
        <v>72.523864543470268</v>
      </c>
    </row>
    <row r="854" spans="1:9">
      <c r="A854">
        <v>852</v>
      </c>
      <c r="B854">
        <v>5</v>
      </c>
      <c r="C854">
        <v>4600</v>
      </c>
      <c r="D854">
        <v>5195</v>
      </c>
      <c r="E854" s="4">
        <f t="shared" si="52"/>
        <v>1</v>
      </c>
      <c r="F854" s="4">
        <f t="shared" si="53"/>
        <v>595</v>
      </c>
      <c r="G854" s="4">
        <f t="shared" si="54"/>
        <v>0.12934782608695652</v>
      </c>
      <c r="H854" s="4">
        <f t="shared" si="55"/>
        <v>354025</v>
      </c>
      <c r="I854" s="5">
        <f>SQRT(SUM('r-native-multi'!$D$3:D854)/COUNTIF($A$3:A854,"&lt;&gt;0"))</f>
        <v>72.523340908467688</v>
      </c>
    </row>
    <row r="855" spans="1:9">
      <c r="A855">
        <v>853</v>
      </c>
      <c r="B855">
        <v>5</v>
      </c>
      <c r="C855">
        <v>4600</v>
      </c>
      <c r="D855">
        <v>5269</v>
      </c>
      <c r="E855" s="4">
        <f t="shared" si="52"/>
        <v>1</v>
      </c>
      <c r="F855" s="4">
        <f t="shared" si="53"/>
        <v>669</v>
      </c>
      <c r="G855" s="4">
        <f t="shared" si="54"/>
        <v>0.14543478260869566</v>
      </c>
      <c r="H855" s="4">
        <f t="shared" si="55"/>
        <v>447561</v>
      </c>
      <c r="I855" s="5">
        <f>SQRT(SUM('r-native-multi'!$D$3:D855)/COUNTIF($A$3:A855,"&lt;&gt;0"))</f>
        <v>72.523416600787286</v>
      </c>
    </row>
    <row r="856" spans="1:9">
      <c r="A856">
        <v>854</v>
      </c>
      <c r="B856">
        <v>5</v>
      </c>
      <c r="C856">
        <v>4600</v>
      </c>
      <c r="D856">
        <v>5223</v>
      </c>
      <c r="E856" s="4">
        <f t="shared" si="52"/>
        <v>1</v>
      </c>
      <c r="F856" s="4">
        <f t="shared" si="53"/>
        <v>623</v>
      </c>
      <c r="G856" s="4">
        <f t="shared" si="54"/>
        <v>0.13543478260869565</v>
      </c>
      <c r="H856" s="4">
        <f t="shared" si="55"/>
        <v>388129</v>
      </c>
      <c r="I856" s="5">
        <f>SQRT(SUM('r-native-multi'!$D$3:D856)/COUNTIF($A$3:A856,"&lt;&gt;0"))</f>
        <v>72.523120758117457</v>
      </c>
    </row>
    <row r="857" spans="1:9">
      <c r="A857">
        <v>855</v>
      </c>
      <c r="B857">
        <v>5</v>
      </c>
      <c r="C857">
        <v>4600</v>
      </c>
      <c r="D857">
        <v>5170</v>
      </c>
      <c r="E857" s="4">
        <f t="shared" ref="E857:E902" si="56">IF(AND(D857&lt;=C857*1.2,D857&gt;=C857*0.8),1,0)</f>
        <v>1</v>
      </c>
      <c r="F857" s="4">
        <f t="shared" ref="F857:F902" si="57">ABS(C857-D857)</f>
        <v>570</v>
      </c>
      <c r="G857" s="4">
        <f t="shared" ref="G857:G902" si="58">ABS(C857-D857)/C857</f>
        <v>0.12391304347826088</v>
      </c>
      <c r="H857" s="4">
        <f t="shared" ref="H857:H902" si="59">POWER(F857,2)</f>
        <v>324900</v>
      </c>
      <c r="I857" s="5">
        <f>SQRT(SUM('r-native-multi'!$D$3:D857)/COUNTIF($A$3:A857,"&lt;&gt;0"))</f>
        <v>72.522398234021708</v>
      </c>
    </row>
    <row r="858" spans="1:9">
      <c r="A858">
        <v>856</v>
      </c>
      <c r="B858">
        <v>5</v>
      </c>
      <c r="C858">
        <v>4600</v>
      </c>
      <c r="D858">
        <v>5209</v>
      </c>
      <c r="E858" s="4">
        <f t="shared" si="56"/>
        <v>1</v>
      </c>
      <c r="F858" s="4">
        <f t="shared" si="57"/>
        <v>609</v>
      </c>
      <c r="G858" s="4">
        <f t="shared" si="58"/>
        <v>0.13239130434782609</v>
      </c>
      <c r="H858" s="4">
        <f t="shared" si="59"/>
        <v>370881</v>
      </c>
      <c r="I858" s="5">
        <f>SQRT(SUM('r-native-multi'!$D$3:D858)/COUNTIF($A$3:A858,"&lt;&gt;0"))</f>
        <v>72.521991508344897</v>
      </c>
    </row>
    <row r="859" spans="1:9">
      <c r="A859">
        <v>857</v>
      </c>
      <c r="B859">
        <v>5</v>
      </c>
      <c r="C859">
        <v>4600</v>
      </c>
      <c r="D859">
        <v>5183</v>
      </c>
      <c r="E859" s="4">
        <f t="shared" si="56"/>
        <v>1</v>
      </c>
      <c r="F859" s="4">
        <f t="shared" si="57"/>
        <v>583</v>
      </c>
      <c r="G859" s="4">
        <f t="shared" si="58"/>
        <v>0.1267391304347826</v>
      </c>
      <c r="H859" s="4">
        <f t="shared" si="59"/>
        <v>339889</v>
      </c>
      <c r="I859" s="5">
        <f>SQRT(SUM('r-native-multi'!$D$3:D859)/COUNTIF($A$3:A859,"&lt;&gt;0"))</f>
        <v>72.52137656128059</v>
      </c>
    </row>
    <row r="860" spans="1:9">
      <c r="A860">
        <v>858</v>
      </c>
      <c r="B860">
        <v>5</v>
      </c>
      <c r="C860">
        <v>4600</v>
      </c>
      <c r="D860">
        <v>5206</v>
      </c>
      <c r="E860" s="4">
        <f t="shared" si="56"/>
        <v>1</v>
      </c>
      <c r="F860" s="4">
        <f t="shared" si="57"/>
        <v>606</v>
      </c>
      <c r="G860" s="4">
        <f t="shared" si="58"/>
        <v>0.13173913043478261</v>
      </c>
      <c r="H860" s="4">
        <f t="shared" si="59"/>
        <v>367236</v>
      </c>
      <c r="I860" s="5">
        <f>SQRT(SUM('r-native-multi'!$D$3:D860)/COUNTIF($A$3:A860,"&lt;&gt;0"))</f>
        <v>72.520947861896289</v>
      </c>
    </row>
    <row r="861" spans="1:9">
      <c r="A861">
        <v>859</v>
      </c>
      <c r="B861">
        <v>5</v>
      </c>
      <c r="C861">
        <v>4600</v>
      </c>
      <c r="D861">
        <v>5150</v>
      </c>
      <c r="E861" s="4">
        <f t="shared" si="56"/>
        <v>1</v>
      </c>
      <c r="F861" s="4">
        <f t="shared" si="57"/>
        <v>550</v>
      </c>
      <c r="G861" s="4">
        <f t="shared" si="58"/>
        <v>0.11956521739130435</v>
      </c>
      <c r="H861" s="4">
        <f t="shared" si="59"/>
        <v>302500</v>
      </c>
      <c r="I861" s="5">
        <f>SQRT(SUM('r-native-multi'!$D$3:D861)/COUNTIF($A$3:A861,"&lt;&gt;0"))</f>
        <v>72.520070683369013</v>
      </c>
    </row>
    <row r="862" spans="1:9">
      <c r="A862">
        <v>860</v>
      </c>
      <c r="B862">
        <v>5</v>
      </c>
      <c r="C862">
        <v>4600</v>
      </c>
      <c r="D862">
        <v>5212</v>
      </c>
      <c r="E862" s="4">
        <f t="shared" si="56"/>
        <v>1</v>
      </c>
      <c r="F862" s="4">
        <f t="shared" si="57"/>
        <v>612</v>
      </c>
      <c r="G862" s="4">
        <f t="shared" si="58"/>
        <v>0.13304347826086957</v>
      </c>
      <c r="H862" s="4">
        <f t="shared" si="59"/>
        <v>374544</v>
      </c>
      <c r="I862" s="5">
        <f>SQRT(SUM('r-native-multi'!$D$3:D862)/COUNTIF($A$3:A862,"&lt;&gt;0"))</f>
        <v>72.519692594173947</v>
      </c>
    </row>
    <row r="863" spans="1:9">
      <c r="A863">
        <v>861</v>
      </c>
      <c r="B863">
        <v>5</v>
      </c>
      <c r="C863">
        <v>4600</v>
      </c>
      <c r="D863">
        <v>4826</v>
      </c>
      <c r="E863" s="4">
        <f t="shared" si="56"/>
        <v>1</v>
      </c>
      <c r="F863" s="4">
        <f t="shared" si="57"/>
        <v>226</v>
      </c>
      <c r="G863" s="4">
        <f t="shared" si="58"/>
        <v>4.9130434782608694E-2</v>
      </c>
      <c r="H863" s="4">
        <f t="shared" si="59"/>
        <v>51076</v>
      </c>
      <c r="I863" s="5">
        <f>SQRT(SUM('r-native-multi'!$D$3:D863)/COUNTIF($A$3:A863,"&lt;&gt;0"))</f>
        <v>72.516224305023258</v>
      </c>
    </row>
    <row r="864" spans="1:9">
      <c r="A864">
        <v>862</v>
      </c>
      <c r="B864">
        <v>5</v>
      </c>
      <c r="C864">
        <v>4600</v>
      </c>
      <c r="D864">
        <v>5188</v>
      </c>
      <c r="E864" s="4">
        <f t="shared" si="56"/>
        <v>1</v>
      </c>
      <c r="F864" s="4">
        <f t="shared" si="57"/>
        <v>588</v>
      </c>
      <c r="G864" s="4">
        <f t="shared" si="58"/>
        <v>0.12782608695652173</v>
      </c>
      <c r="H864" s="4">
        <f t="shared" si="59"/>
        <v>345744</v>
      </c>
      <c r="I864" s="5">
        <f>SQRT(SUM('r-native-multi'!$D$3:D864)/COUNTIF($A$3:A864,"&lt;&gt;0"))</f>
        <v>72.515659561714898</v>
      </c>
    </row>
    <row r="865" spans="1:9">
      <c r="A865">
        <v>863</v>
      </c>
      <c r="B865">
        <v>5</v>
      </c>
      <c r="C865">
        <v>4600</v>
      </c>
      <c r="D865">
        <v>5253</v>
      </c>
      <c r="E865" s="4">
        <f t="shared" si="56"/>
        <v>1</v>
      </c>
      <c r="F865" s="4">
        <f t="shared" si="57"/>
        <v>653</v>
      </c>
      <c r="G865" s="4">
        <f t="shared" si="58"/>
        <v>0.14195652173913043</v>
      </c>
      <c r="H865" s="4">
        <f t="shared" si="59"/>
        <v>426409</v>
      </c>
      <c r="I865" s="5">
        <f>SQRT(SUM('r-native-multi'!$D$3:D865)/COUNTIF($A$3:A865,"&lt;&gt;0"))</f>
        <v>72.515615451824544</v>
      </c>
    </row>
    <row r="866" spans="1:9">
      <c r="A866">
        <v>864</v>
      </c>
      <c r="B866">
        <v>5</v>
      </c>
      <c r="C866">
        <v>4600</v>
      </c>
      <c r="D866">
        <v>5256</v>
      </c>
      <c r="E866" s="4">
        <f t="shared" si="56"/>
        <v>1</v>
      </c>
      <c r="F866" s="4">
        <f t="shared" si="57"/>
        <v>656</v>
      </c>
      <c r="G866" s="4">
        <f t="shared" si="58"/>
        <v>0.14260869565217391</v>
      </c>
      <c r="H866" s="4">
        <f t="shared" si="59"/>
        <v>430336</v>
      </c>
      <c r="I866" s="5">
        <f>SQRT(SUM('r-native-multi'!$D$3:D866)/COUNTIF($A$3:A866,"&lt;&gt;0"))</f>
        <v>72.515595385227812</v>
      </c>
    </row>
    <row r="867" spans="1:9">
      <c r="A867">
        <v>865</v>
      </c>
      <c r="B867">
        <v>5</v>
      </c>
      <c r="C867">
        <v>4600</v>
      </c>
      <c r="D867">
        <v>5162</v>
      </c>
      <c r="E867" s="4">
        <f t="shared" si="56"/>
        <v>1</v>
      </c>
      <c r="F867" s="4">
        <f t="shared" si="57"/>
        <v>562</v>
      </c>
      <c r="G867" s="4">
        <f t="shared" si="58"/>
        <v>0.12217391304347826</v>
      </c>
      <c r="H867" s="4">
        <f t="shared" si="59"/>
        <v>315844</v>
      </c>
      <c r="I867" s="5">
        <f>SQRT(SUM('r-native-multi'!$D$3:D867)/COUNTIF($A$3:A867,"&lt;&gt;0"))</f>
        <v>72.514826070259588</v>
      </c>
    </row>
    <row r="868" spans="1:9">
      <c r="A868">
        <v>866</v>
      </c>
      <c r="B868">
        <v>5</v>
      </c>
      <c r="C868">
        <v>4600</v>
      </c>
      <c r="D868">
        <v>5156</v>
      </c>
      <c r="E868" s="4">
        <f t="shared" si="56"/>
        <v>1</v>
      </c>
      <c r="F868" s="4">
        <f t="shared" si="57"/>
        <v>556</v>
      </c>
      <c r="G868" s="4">
        <f t="shared" si="58"/>
        <v>0.1208695652173913</v>
      </c>
      <c r="H868" s="4">
        <f t="shared" si="59"/>
        <v>309136</v>
      </c>
      <c r="I868" s="5">
        <f>SQRT(SUM('r-native-multi'!$D$3:D868)/COUNTIF($A$3:A868,"&lt;&gt;0"))</f>
        <v>72.514010751001109</v>
      </c>
    </row>
    <row r="869" spans="1:9">
      <c r="A869">
        <v>867</v>
      </c>
      <c r="B869">
        <v>5</v>
      </c>
      <c r="C869">
        <v>4600</v>
      </c>
      <c r="D869">
        <v>5143</v>
      </c>
      <c r="E869" s="4">
        <f t="shared" si="56"/>
        <v>1</v>
      </c>
      <c r="F869" s="4">
        <f t="shared" si="57"/>
        <v>543</v>
      </c>
      <c r="G869" s="4">
        <f t="shared" si="58"/>
        <v>0.11804347826086957</v>
      </c>
      <c r="H869" s="4">
        <f t="shared" si="59"/>
        <v>294849</v>
      </c>
      <c r="I869" s="5">
        <f>SQRT(SUM('r-native-multi'!$D$3:D869)/COUNTIF($A$3:A869,"&lt;&gt;0"))</f>
        <v>72.513093913632844</v>
      </c>
    </row>
    <row r="870" spans="1:9">
      <c r="A870">
        <v>868</v>
      </c>
      <c r="B870">
        <v>5</v>
      </c>
      <c r="C870">
        <v>4600</v>
      </c>
      <c r="D870">
        <v>5068</v>
      </c>
      <c r="E870" s="4">
        <f t="shared" si="56"/>
        <v>1</v>
      </c>
      <c r="F870" s="4">
        <f t="shared" si="57"/>
        <v>468</v>
      </c>
      <c r="G870" s="4">
        <f t="shared" si="58"/>
        <v>0.10173913043478261</v>
      </c>
      <c r="H870" s="4">
        <f t="shared" si="59"/>
        <v>219024</v>
      </c>
      <c r="I870" s="5">
        <f>SQRT(SUM('r-native-multi'!$D$3:D870)/COUNTIF($A$3:A870,"&lt;&gt;0"))</f>
        <v>72.511583374674032</v>
      </c>
    </row>
    <row r="871" spans="1:9">
      <c r="A871">
        <v>869</v>
      </c>
      <c r="B871">
        <v>5</v>
      </c>
      <c r="C871">
        <v>4600</v>
      </c>
      <c r="D871">
        <v>5221</v>
      </c>
      <c r="E871" s="4">
        <f t="shared" si="56"/>
        <v>1</v>
      </c>
      <c r="F871" s="4">
        <f t="shared" si="57"/>
        <v>621</v>
      </c>
      <c r="G871" s="4">
        <f t="shared" si="58"/>
        <v>0.13500000000000001</v>
      </c>
      <c r="H871" s="4">
        <f t="shared" si="59"/>
        <v>385641</v>
      </c>
      <c r="I871" s="5">
        <f>SQRT(SUM('r-native-multi'!$D$3:D871)/COUNTIF($A$3:A871,"&lt;&gt;0"))</f>
        <v>72.511290339486806</v>
      </c>
    </row>
    <row r="872" spans="1:9">
      <c r="A872">
        <v>870</v>
      </c>
      <c r="B872">
        <v>5</v>
      </c>
      <c r="C872">
        <v>4600</v>
      </c>
      <c r="D872">
        <v>4937</v>
      </c>
      <c r="E872" s="4">
        <f t="shared" si="56"/>
        <v>1</v>
      </c>
      <c r="F872" s="4">
        <f t="shared" si="57"/>
        <v>337</v>
      </c>
      <c r="G872" s="4">
        <f t="shared" si="58"/>
        <v>7.3260869565217393E-2</v>
      </c>
      <c r="H872" s="4">
        <f t="shared" si="59"/>
        <v>113569</v>
      </c>
      <c r="I872" s="5">
        <f>SQRT(SUM('r-native-multi'!$D$3:D872)/COUNTIF($A$3:A872,"&lt;&gt;0"))</f>
        <v>72.508746995135681</v>
      </c>
    </row>
    <row r="873" spans="1:9">
      <c r="A873">
        <v>871</v>
      </c>
      <c r="B873">
        <v>5</v>
      </c>
      <c r="C873">
        <v>4600</v>
      </c>
      <c r="D873">
        <v>5171</v>
      </c>
      <c r="E873" s="4">
        <f t="shared" si="56"/>
        <v>1</v>
      </c>
      <c r="F873" s="4">
        <f t="shared" si="57"/>
        <v>571</v>
      </c>
      <c r="G873" s="4">
        <f t="shared" si="58"/>
        <v>0.1241304347826087</v>
      </c>
      <c r="H873" s="4">
        <f t="shared" si="59"/>
        <v>326041</v>
      </c>
      <c r="I873" s="5">
        <f>SQRT(SUM('r-native-multi'!$D$3:D873)/COUNTIF($A$3:A873,"&lt;&gt;0"))</f>
        <v>72.508062024532052</v>
      </c>
    </row>
    <row r="874" spans="1:9">
      <c r="A874">
        <v>872</v>
      </c>
      <c r="B874">
        <v>5</v>
      </c>
      <c r="C874">
        <v>4600</v>
      </c>
      <c r="D874">
        <v>5207</v>
      </c>
      <c r="E874" s="4">
        <f t="shared" si="56"/>
        <v>1</v>
      </c>
      <c r="F874" s="4">
        <f t="shared" si="57"/>
        <v>607</v>
      </c>
      <c r="G874" s="4">
        <f t="shared" si="58"/>
        <v>0.13195652173913044</v>
      </c>
      <c r="H874" s="4">
        <f t="shared" si="59"/>
        <v>368449</v>
      </c>
      <c r="I874" s="5">
        <f>SQRT(SUM('r-native-multi'!$D$3:D874)/COUNTIF($A$3:A874,"&lt;&gt;0"))</f>
        <v>72.507663309005551</v>
      </c>
    </row>
    <row r="875" spans="1:9">
      <c r="A875">
        <v>873</v>
      </c>
      <c r="B875">
        <v>5</v>
      </c>
      <c r="C875">
        <v>4600</v>
      </c>
      <c r="D875">
        <v>5178</v>
      </c>
      <c r="E875" s="4">
        <f t="shared" si="56"/>
        <v>1</v>
      </c>
      <c r="F875" s="4">
        <f t="shared" si="57"/>
        <v>578</v>
      </c>
      <c r="G875" s="4">
        <f t="shared" si="58"/>
        <v>0.12565217391304348</v>
      </c>
      <c r="H875" s="4">
        <f t="shared" si="59"/>
        <v>334084</v>
      </c>
      <c r="I875" s="5">
        <f>SQRT(SUM('r-native-multi'!$D$3:D875)/COUNTIF($A$3:A875,"&lt;&gt;0"))</f>
        <v>72.507036432251581</v>
      </c>
    </row>
    <row r="876" spans="1:9">
      <c r="A876">
        <v>874</v>
      </c>
      <c r="B876">
        <v>5</v>
      </c>
      <c r="C876">
        <v>4600</v>
      </c>
      <c r="D876">
        <v>4998</v>
      </c>
      <c r="E876" s="4">
        <f t="shared" si="56"/>
        <v>1</v>
      </c>
      <c r="F876" s="4">
        <f t="shared" si="57"/>
        <v>398</v>
      </c>
      <c r="G876" s="4">
        <f t="shared" si="58"/>
        <v>8.6521739130434788E-2</v>
      </c>
      <c r="H876" s="4">
        <f t="shared" si="59"/>
        <v>158404</v>
      </c>
      <c r="I876" s="5">
        <f>SQRT(SUM('r-native-multi'!$D$3:D876)/COUNTIF($A$3:A876,"&lt;&gt;0"))</f>
        <v>72.504990753813118</v>
      </c>
    </row>
    <row r="877" spans="1:9">
      <c r="A877">
        <v>875</v>
      </c>
      <c r="B877">
        <v>5</v>
      </c>
      <c r="C877">
        <v>4600</v>
      </c>
      <c r="D877">
        <v>5239</v>
      </c>
      <c r="E877" s="4">
        <f t="shared" si="56"/>
        <v>1</v>
      </c>
      <c r="F877" s="4">
        <f t="shared" si="57"/>
        <v>639</v>
      </c>
      <c r="G877" s="4">
        <f t="shared" si="58"/>
        <v>0.13891304347826086</v>
      </c>
      <c r="H877" s="4">
        <f t="shared" si="59"/>
        <v>408321</v>
      </c>
      <c r="I877" s="5">
        <f>SQRT(SUM('r-native-multi'!$D$3:D877)/COUNTIF($A$3:A877,"&lt;&gt;0"))</f>
        <v>72.504849098919877</v>
      </c>
    </row>
    <row r="878" spans="1:9">
      <c r="A878">
        <v>876</v>
      </c>
      <c r="B878">
        <v>5</v>
      </c>
      <c r="C878">
        <v>4600</v>
      </c>
      <c r="D878">
        <v>5213</v>
      </c>
      <c r="E878" s="4">
        <f t="shared" si="56"/>
        <v>1</v>
      </c>
      <c r="F878" s="4">
        <f t="shared" si="57"/>
        <v>613</v>
      </c>
      <c r="G878" s="4">
        <f t="shared" si="58"/>
        <v>0.1332608695652174</v>
      </c>
      <c r="H878" s="4">
        <f t="shared" si="59"/>
        <v>375769</v>
      </c>
      <c r="I878" s="5">
        <f>SQRT(SUM('r-native-multi'!$D$3:D878)/COUNTIF($A$3:A878,"&lt;&gt;0"))</f>
        <v>72.504503087991225</v>
      </c>
    </row>
    <row r="879" spans="1:9">
      <c r="A879">
        <v>877</v>
      </c>
      <c r="B879">
        <v>5</v>
      </c>
      <c r="C879">
        <v>4600</v>
      </c>
      <c r="D879">
        <v>5336</v>
      </c>
      <c r="E879" s="4">
        <f t="shared" si="56"/>
        <v>1</v>
      </c>
      <c r="F879" s="4">
        <f t="shared" si="57"/>
        <v>736</v>
      </c>
      <c r="G879" s="4">
        <f t="shared" si="58"/>
        <v>0.16</v>
      </c>
      <c r="H879" s="4">
        <f t="shared" si="59"/>
        <v>541696</v>
      </c>
      <c r="I879" s="5">
        <f>SQRT(SUM('r-native-multi'!$D$3:D879)/COUNTIF($A$3:A879,"&lt;&gt;0"))</f>
        <v>72.505125049853334</v>
      </c>
    </row>
    <row r="880" spans="1:9">
      <c r="A880">
        <v>878</v>
      </c>
      <c r="B880">
        <v>5</v>
      </c>
      <c r="C880">
        <v>4600</v>
      </c>
      <c r="D880">
        <v>5172</v>
      </c>
      <c r="E880" s="4">
        <f t="shared" si="56"/>
        <v>1</v>
      </c>
      <c r="F880" s="4">
        <f t="shared" si="57"/>
        <v>572</v>
      </c>
      <c r="G880" s="4">
        <f t="shared" si="58"/>
        <v>0.12434782608695652</v>
      </c>
      <c r="H880" s="4">
        <f t="shared" si="59"/>
        <v>327184</v>
      </c>
      <c r="I880" s="5">
        <f>SQRT(SUM('r-native-multi'!$D$3:D880)/COUNTIF($A$3:A880,"&lt;&gt;0"))</f>
        <v>72.504457486095816</v>
      </c>
    </row>
    <row r="881" spans="1:9">
      <c r="A881">
        <v>879</v>
      </c>
      <c r="B881">
        <v>5</v>
      </c>
      <c r="C881">
        <v>4600</v>
      </c>
      <c r="D881">
        <v>5145</v>
      </c>
      <c r="E881" s="4">
        <f t="shared" si="56"/>
        <v>1</v>
      </c>
      <c r="F881" s="4">
        <f t="shared" si="57"/>
        <v>545</v>
      </c>
      <c r="G881" s="4">
        <f t="shared" si="58"/>
        <v>0.11847826086956521</v>
      </c>
      <c r="H881" s="4">
        <f t="shared" si="59"/>
        <v>297025</v>
      </c>
      <c r="I881" s="5">
        <f>SQRT(SUM('r-native-multi'!$D$3:D881)/COUNTIF($A$3:A881,"&lt;&gt;0"))</f>
        <v>72.503579606424708</v>
      </c>
    </row>
    <row r="882" spans="1:9">
      <c r="A882">
        <v>880</v>
      </c>
      <c r="B882">
        <v>5</v>
      </c>
      <c r="C882">
        <v>4600</v>
      </c>
      <c r="D882">
        <v>5261</v>
      </c>
      <c r="E882" s="4">
        <f t="shared" si="56"/>
        <v>1</v>
      </c>
      <c r="F882" s="4">
        <f t="shared" si="57"/>
        <v>661</v>
      </c>
      <c r="G882" s="4">
        <f t="shared" si="58"/>
        <v>0.14369565217391303</v>
      </c>
      <c r="H882" s="4">
        <f t="shared" si="59"/>
        <v>436921</v>
      </c>
      <c r="I882" s="5">
        <f>SQRT(SUM('r-native-multi'!$D$3:D882)/COUNTIF($A$3:A882,"&lt;&gt;0"))</f>
        <v>72.503612762650405</v>
      </c>
    </row>
    <row r="883" spans="1:9">
      <c r="A883">
        <v>881</v>
      </c>
      <c r="B883">
        <v>5</v>
      </c>
      <c r="C883">
        <v>4600</v>
      </c>
      <c r="D883">
        <v>5208</v>
      </c>
      <c r="E883" s="4">
        <f t="shared" si="56"/>
        <v>1</v>
      </c>
      <c r="F883" s="4">
        <f t="shared" si="57"/>
        <v>608</v>
      </c>
      <c r="G883" s="4">
        <f t="shared" si="58"/>
        <v>0.13217391304347825</v>
      </c>
      <c r="H883" s="4">
        <f t="shared" si="59"/>
        <v>369664</v>
      </c>
      <c r="I883" s="5">
        <f>SQRT(SUM('r-native-multi'!$D$3:D883)/COUNTIF($A$3:A883,"&lt;&gt;0"))</f>
        <v>72.503230974230448</v>
      </c>
    </row>
    <row r="884" spans="1:9">
      <c r="A884">
        <v>882</v>
      </c>
      <c r="B884">
        <v>5</v>
      </c>
      <c r="C884">
        <v>4600</v>
      </c>
      <c r="D884">
        <v>5192</v>
      </c>
      <c r="E884" s="4">
        <f t="shared" si="56"/>
        <v>1</v>
      </c>
      <c r="F884" s="4">
        <f t="shared" si="57"/>
        <v>592</v>
      </c>
      <c r="G884" s="4">
        <f t="shared" si="58"/>
        <v>0.12869565217391304</v>
      </c>
      <c r="H884" s="4">
        <f t="shared" si="59"/>
        <v>350464</v>
      </c>
      <c r="I884" s="5">
        <f>SQRT(SUM('r-native-multi'!$D$3:D884)/COUNTIF($A$3:A884,"&lt;&gt;0"))</f>
        <v>72.502724946835983</v>
      </c>
    </row>
    <row r="885" spans="1:9">
      <c r="A885">
        <v>883</v>
      </c>
      <c r="B885">
        <v>5</v>
      </c>
      <c r="C885">
        <v>4600</v>
      </c>
      <c r="D885">
        <v>5287</v>
      </c>
      <c r="E885" s="4">
        <f t="shared" si="56"/>
        <v>1</v>
      </c>
      <c r="F885" s="4">
        <f t="shared" si="57"/>
        <v>687</v>
      </c>
      <c r="G885" s="4">
        <f t="shared" si="58"/>
        <v>0.14934782608695651</v>
      </c>
      <c r="H885" s="4">
        <f t="shared" si="59"/>
        <v>471969</v>
      </c>
      <c r="I885" s="5">
        <f>SQRT(SUM('r-native-multi'!$D$3:D885)/COUNTIF($A$3:A885,"&lt;&gt;0"))</f>
        <v>72.502962020173726</v>
      </c>
    </row>
    <row r="886" spans="1:9">
      <c r="A886">
        <v>884</v>
      </c>
      <c r="B886">
        <v>5</v>
      </c>
      <c r="C886">
        <v>4600</v>
      </c>
      <c r="D886">
        <v>5127</v>
      </c>
      <c r="E886" s="4">
        <f t="shared" si="56"/>
        <v>1</v>
      </c>
      <c r="F886" s="4">
        <f t="shared" si="57"/>
        <v>527</v>
      </c>
      <c r="G886" s="4">
        <f t="shared" si="58"/>
        <v>0.11456521739130435</v>
      </c>
      <c r="H886" s="4">
        <f t="shared" si="59"/>
        <v>277729</v>
      </c>
      <c r="I886" s="5">
        <f>SQRT(SUM('r-native-multi'!$D$3:D886)/COUNTIF($A$3:A886,"&lt;&gt;0"))</f>
        <v>72.501950356041206</v>
      </c>
    </row>
    <row r="887" spans="1:9">
      <c r="A887">
        <v>885</v>
      </c>
      <c r="B887">
        <v>5</v>
      </c>
      <c r="C887">
        <v>4600</v>
      </c>
      <c r="D887">
        <v>5072</v>
      </c>
      <c r="E887" s="4">
        <f t="shared" si="56"/>
        <v>1</v>
      </c>
      <c r="F887" s="4">
        <f t="shared" si="57"/>
        <v>472</v>
      </c>
      <c r="G887" s="4">
        <f t="shared" si="58"/>
        <v>0.10260869565217391</v>
      </c>
      <c r="H887" s="4">
        <f t="shared" si="59"/>
        <v>222784</v>
      </c>
      <c r="I887" s="5">
        <f>SQRT(SUM('r-native-multi'!$D$3:D887)/COUNTIF($A$3:A887,"&lt;&gt;0"))</f>
        <v>72.500512369122688</v>
      </c>
    </row>
    <row r="888" spans="1:9">
      <c r="A888">
        <v>886</v>
      </c>
      <c r="B888">
        <v>5</v>
      </c>
      <c r="C888">
        <v>4600</v>
      </c>
      <c r="D888">
        <v>5245</v>
      </c>
      <c r="E888" s="4">
        <f t="shared" si="56"/>
        <v>1</v>
      </c>
      <c r="F888" s="4">
        <f t="shared" si="57"/>
        <v>645</v>
      </c>
      <c r="G888" s="4">
        <f t="shared" si="58"/>
        <v>0.14021739130434782</v>
      </c>
      <c r="H888" s="4">
        <f t="shared" si="59"/>
        <v>416025</v>
      </c>
      <c r="I888" s="5">
        <f>SQRT(SUM('r-native-multi'!$D$3:D888)/COUNTIF($A$3:A888,"&lt;&gt;0"))</f>
        <v>72.500424222313001</v>
      </c>
    </row>
    <row r="889" spans="1:9">
      <c r="A889">
        <v>887</v>
      </c>
      <c r="B889">
        <v>5</v>
      </c>
      <c r="C889">
        <v>4600</v>
      </c>
      <c r="D889">
        <v>5117</v>
      </c>
      <c r="E889" s="4">
        <f t="shared" si="56"/>
        <v>1</v>
      </c>
      <c r="F889" s="4">
        <f t="shared" si="57"/>
        <v>517</v>
      </c>
      <c r="G889" s="4">
        <f t="shared" si="58"/>
        <v>0.11239130434782608</v>
      </c>
      <c r="H889" s="4">
        <f t="shared" si="59"/>
        <v>267289</v>
      </c>
      <c r="I889" s="5">
        <f>SQRT(SUM('r-native-multi'!$D$3:D889)/COUNTIF($A$3:A889,"&lt;&gt;0"))</f>
        <v>72.499341053647356</v>
      </c>
    </row>
    <row r="890" spans="1:9">
      <c r="A890">
        <v>888</v>
      </c>
      <c r="B890">
        <v>5</v>
      </c>
      <c r="C890">
        <v>4600</v>
      </c>
      <c r="D890">
        <v>5242</v>
      </c>
      <c r="E890" s="4">
        <f t="shared" si="56"/>
        <v>1</v>
      </c>
      <c r="F890" s="4">
        <f t="shared" si="57"/>
        <v>642</v>
      </c>
      <c r="G890" s="4">
        <f t="shared" si="58"/>
        <v>0.13956521739130434</v>
      </c>
      <c r="H890" s="4">
        <f t="shared" si="59"/>
        <v>412164</v>
      </c>
      <c r="I890" s="5">
        <f>SQRT(SUM('r-native-multi'!$D$3:D890)/COUNTIF($A$3:A890,"&lt;&gt;0"))</f>
        <v>72.499231123602357</v>
      </c>
    </row>
    <row r="891" spans="1:9">
      <c r="A891">
        <v>889</v>
      </c>
      <c r="B891">
        <v>5</v>
      </c>
      <c r="C891">
        <v>4600</v>
      </c>
      <c r="D891">
        <v>5131</v>
      </c>
      <c r="E891" s="4">
        <f t="shared" si="56"/>
        <v>1</v>
      </c>
      <c r="F891" s="4">
        <f t="shared" si="57"/>
        <v>531</v>
      </c>
      <c r="G891" s="4">
        <f t="shared" si="58"/>
        <v>0.11543478260869565</v>
      </c>
      <c r="H891" s="4">
        <f t="shared" si="59"/>
        <v>281961</v>
      </c>
      <c r="I891" s="5">
        <f>SQRT(SUM('r-native-multi'!$D$3:D891)/COUNTIF($A$3:A891,"&lt;&gt;0"))</f>
        <v>72.498260325894819</v>
      </c>
    </row>
    <row r="892" spans="1:9">
      <c r="A892">
        <v>890</v>
      </c>
      <c r="B892">
        <v>5</v>
      </c>
      <c r="C892">
        <v>4600</v>
      </c>
      <c r="D892">
        <v>5125</v>
      </c>
      <c r="E892" s="4">
        <f t="shared" si="56"/>
        <v>1</v>
      </c>
      <c r="F892" s="4">
        <f t="shared" si="57"/>
        <v>525</v>
      </c>
      <c r="G892" s="4">
        <f t="shared" si="58"/>
        <v>0.11413043478260869</v>
      </c>
      <c r="H892" s="4">
        <f t="shared" si="59"/>
        <v>275625</v>
      </c>
      <c r="I892" s="5">
        <f>SQRT(SUM('r-native-multi'!$D$3:D892)/COUNTIF($A$3:A892,"&lt;&gt;0"))</f>
        <v>72.497245201440265</v>
      </c>
    </row>
    <row r="893" spans="1:9">
      <c r="A893">
        <v>891</v>
      </c>
      <c r="B893">
        <v>5</v>
      </c>
      <c r="C893">
        <v>4600</v>
      </c>
      <c r="D893">
        <v>5323</v>
      </c>
      <c r="E893" s="4">
        <f t="shared" si="56"/>
        <v>1</v>
      </c>
      <c r="F893" s="4">
        <f t="shared" si="57"/>
        <v>723</v>
      </c>
      <c r="G893" s="4">
        <f t="shared" si="58"/>
        <v>0.15717391304347825</v>
      </c>
      <c r="H893" s="4">
        <f t="shared" si="59"/>
        <v>522729</v>
      </c>
      <c r="I893" s="5">
        <f>SQRT(SUM('r-native-multi'!$D$3:D893)/COUNTIF($A$3:A893,"&lt;&gt;0"))</f>
        <v>72.497764971934998</v>
      </c>
    </row>
    <row r="894" spans="1:9">
      <c r="A894">
        <v>892</v>
      </c>
      <c r="B894">
        <v>5</v>
      </c>
      <c r="C894">
        <v>4600</v>
      </c>
      <c r="D894">
        <v>5154</v>
      </c>
      <c r="E894" s="4">
        <f t="shared" si="56"/>
        <v>1</v>
      </c>
      <c r="F894" s="4">
        <f t="shared" si="57"/>
        <v>554</v>
      </c>
      <c r="G894" s="4">
        <f t="shared" si="58"/>
        <v>0.12043478260869565</v>
      </c>
      <c r="H894" s="4">
        <f t="shared" si="59"/>
        <v>306916</v>
      </c>
      <c r="I894" s="5">
        <f>SQRT(SUM('r-native-multi'!$D$3:D894)/COUNTIF($A$3:A894,"&lt;&gt;0"))</f>
        <v>72.496976896921879</v>
      </c>
    </row>
    <row r="895" spans="1:9">
      <c r="A895">
        <v>893</v>
      </c>
      <c r="B895">
        <v>5</v>
      </c>
      <c r="C895">
        <v>4600</v>
      </c>
      <c r="D895">
        <v>5106</v>
      </c>
      <c r="E895" s="4">
        <f t="shared" si="56"/>
        <v>1</v>
      </c>
      <c r="F895" s="4">
        <f t="shared" si="57"/>
        <v>506</v>
      </c>
      <c r="G895" s="4">
        <f t="shared" si="58"/>
        <v>0.11</v>
      </c>
      <c r="H895" s="4">
        <f t="shared" si="59"/>
        <v>256036</v>
      </c>
      <c r="I895" s="5">
        <f>SQRT(SUM('r-native-multi'!$D$3:D895)/COUNTIF($A$3:A895,"&lt;&gt;0"))</f>
        <v>72.495819858640701</v>
      </c>
    </row>
    <row r="896" spans="1:9">
      <c r="A896">
        <v>894</v>
      </c>
      <c r="B896">
        <v>5</v>
      </c>
      <c r="C896">
        <v>4600</v>
      </c>
      <c r="D896">
        <v>5246</v>
      </c>
      <c r="E896" s="4">
        <f t="shared" si="56"/>
        <v>1</v>
      </c>
      <c r="F896" s="4">
        <f t="shared" si="57"/>
        <v>646</v>
      </c>
      <c r="G896" s="4">
        <f t="shared" si="58"/>
        <v>0.14043478260869566</v>
      </c>
      <c r="H896" s="4">
        <f t="shared" si="59"/>
        <v>417316</v>
      </c>
      <c r="I896" s="5">
        <f>SQRT(SUM('r-native-multi'!$D$3:D896)/COUNTIF($A$3:A896,"&lt;&gt;0"))</f>
        <v>72.495745458748729</v>
      </c>
    </row>
    <row r="897" spans="1:9">
      <c r="A897">
        <v>895</v>
      </c>
      <c r="B897">
        <v>5</v>
      </c>
      <c r="C897">
        <v>4600</v>
      </c>
      <c r="D897">
        <v>5168</v>
      </c>
      <c r="E897" s="4">
        <f t="shared" si="56"/>
        <v>1</v>
      </c>
      <c r="F897" s="4">
        <f t="shared" si="57"/>
        <v>568</v>
      </c>
      <c r="G897" s="4">
        <f t="shared" si="58"/>
        <v>0.12347826086956522</v>
      </c>
      <c r="H897" s="4">
        <f t="shared" si="59"/>
        <v>322624</v>
      </c>
      <c r="I897" s="5">
        <f>SQRT(SUM('r-native-multi'!$D$3:D897)/COUNTIF($A$3:A897,"&lt;&gt;0"))</f>
        <v>72.495070146394966</v>
      </c>
    </row>
    <row r="898" spans="1:9">
      <c r="A898">
        <v>896</v>
      </c>
      <c r="B898">
        <v>5</v>
      </c>
      <c r="C898">
        <v>4600</v>
      </c>
      <c r="D898">
        <v>5115</v>
      </c>
      <c r="E898" s="4">
        <f t="shared" si="56"/>
        <v>1</v>
      </c>
      <c r="F898" s="4">
        <f t="shared" si="57"/>
        <v>515</v>
      </c>
      <c r="G898" s="4">
        <f t="shared" si="58"/>
        <v>0.11195652173913044</v>
      </c>
      <c r="H898" s="4">
        <f t="shared" si="59"/>
        <v>265225</v>
      </c>
      <c r="I898" s="5">
        <f>SQRT(SUM('r-native-multi'!$D$3:D898)/COUNTIF($A$3:A898,"&lt;&gt;0"))</f>
        <v>72.493988359134207</v>
      </c>
    </row>
    <row r="899" spans="1:9">
      <c r="A899">
        <v>897</v>
      </c>
      <c r="B899">
        <v>5</v>
      </c>
      <c r="C899">
        <v>4600</v>
      </c>
      <c r="D899">
        <v>5130</v>
      </c>
      <c r="E899" s="4">
        <f t="shared" si="56"/>
        <v>1</v>
      </c>
      <c r="F899" s="4">
        <f t="shared" si="57"/>
        <v>530</v>
      </c>
      <c r="G899" s="4">
        <f t="shared" si="58"/>
        <v>0.11521739130434783</v>
      </c>
      <c r="H899" s="4">
        <f t="shared" si="59"/>
        <v>280900</v>
      </c>
      <c r="I899" s="5">
        <f>SQRT(SUM('r-native-multi'!$D$3:D899)/COUNTIF($A$3:A899,"&lt;&gt;0"))</f>
        <v>72.49302430593707</v>
      </c>
    </row>
    <row r="900" spans="1:9">
      <c r="A900">
        <v>898</v>
      </c>
      <c r="B900">
        <v>5</v>
      </c>
      <c r="C900">
        <v>4600</v>
      </c>
      <c r="D900">
        <v>4909</v>
      </c>
      <c r="E900" s="4">
        <f t="shared" si="56"/>
        <v>1</v>
      </c>
      <c r="F900" s="4">
        <f t="shared" si="57"/>
        <v>309</v>
      </c>
      <c r="G900" s="4">
        <f t="shared" si="58"/>
        <v>6.7173913043478264E-2</v>
      </c>
      <c r="H900" s="4">
        <f t="shared" si="59"/>
        <v>95481</v>
      </c>
      <c r="I900" s="5">
        <f>SQRT(SUM('r-native-multi'!$D$3:D900)/COUNTIF($A$3:A900,"&lt;&gt;0"))</f>
        <v>72.49036492308143</v>
      </c>
    </row>
    <row r="901" spans="1:9">
      <c r="A901">
        <v>899</v>
      </c>
      <c r="B901">
        <v>5</v>
      </c>
      <c r="C901">
        <v>4600</v>
      </c>
      <c r="D901">
        <v>5188</v>
      </c>
      <c r="E901" s="4">
        <f t="shared" si="56"/>
        <v>1</v>
      </c>
      <c r="F901" s="4">
        <f t="shared" si="57"/>
        <v>588</v>
      </c>
      <c r="G901" s="4">
        <f t="shared" si="58"/>
        <v>0.12782608695652173</v>
      </c>
      <c r="H901" s="4">
        <f t="shared" si="59"/>
        <v>345744</v>
      </c>
      <c r="I901" s="5">
        <f>SQRT(SUM('r-native-multi'!$D$3:D901)/COUNTIF($A$3:A901,"&lt;&gt;0"))</f>
        <v>72.489851999687488</v>
      </c>
    </row>
    <row r="902" spans="1:9">
      <c r="A902">
        <v>900</v>
      </c>
      <c r="B902">
        <v>5</v>
      </c>
      <c r="C902">
        <v>4600</v>
      </c>
      <c r="D902">
        <v>4933</v>
      </c>
      <c r="E902" s="4">
        <f t="shared" si="56"/>
        <v>1</v>
      </c>
      <c r="F902" s="4">
        <f t="shared" si="57"/>
        <v>333</v>
      </c>
      <c r="G902" s="4">
        <f t="shared" si="58"/>
        <v>7.2391304347826091E-2</v>
      </c>
      <c r="H902" s="4">
        <f t="shared" si="59"/>
        <v>110889</v>
      </c>
      <c r="I902" s="5">
        <f>SQRT(SUM('r-native-multi'!$D$3:D902)/COUNTIF($A$3:A902,"&lt;&gt;0"))</f>
        <v>72.487385875827457</v>
      </c>
    </row>
  </sheetData>
  <mergeCells count="8">
    <mergeCell ref="I1:I2"/>
    <mergeCell ref="A1:A2"/>
    <mergeCell ref="B1:B2"/>
    <mergeCell ref="C1:D1"/>
    <mergeCell ref="E1:E2"/>
    <mergeCell ref="F1:F2"/>
    <mergeCell ref="H1:H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02"/>
  <sheetViews>
    <sheetView tabSelected="1" workbookViewId="0">
      <selection activeCell="A3" sqref="A3:D15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10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11</v>
      </c>
      <c r="H1" s="42" t="s">
        <v>12</v>
      </c>
    </row>
    <row r="2" spans="1:10">
      <c r="A2" s="43"/>
      <c r="B2" s="43"/>
      <c r="C2" s="22" t="s">
        <v>6</v>
      </c>
      <c r="D2" s="22" t="s">
        <v>8</v>
      </c>
      <c r="E2" s="43"/>
      <c r="F2" s="43"/>
      <c r="G2" s="43"/>
      <c r="H2" s="43"/>
    </row>
    <row r="3" spans="1:10">
      <c r="A3">
        <v>1</v>
      </c>
      <c r="B3">
        <v>5</v>
      </c>
      <c r="C3">
        <v>4600</v>
      </c>
      <c r="D3">
        <v>2102</v>
      </c>
      <c r="E3" s="4">
        <f>IF(AND(D3&lt;=C3*1.2,D3&gt;=C3*0.8),1,0)</f>
        <v>0</v>
      </c>
      <c r="F3" s="4">
        <f>ABS(C3-D3)</f>
        <v>2498</v>
      </c>
      <c r="G3" s="4">
        <f>POWER(F3,2)</f>
        <v>6240004</v>
      </c>
      <c r="H3" s="5">
        <f>SQRT(SUM('r-native-fixed'!$D$3:D3)/COUNTIF($A$3:A3,"&lt;&gt;0"))</f>
        <v>45.847573545390603</v>
      </c>
      <c r="I3">
        <f>4600*0.8</f>
        <v>3680</v>
      </c>
      <c r="J3">
        <f>4600*1.2</f>
        <v>5520</v>
      </c>
    </row>
    <row r="4" spans="1:10">
      <c r="A4">
        <v>2</v>
      </c>
      <c r="B4">
        <v>5</v>
      </c>
      <c r="C4">
        <v>4600</v>
      </c>
      <c r="D4">
        <v>4440</v>
      </c>
      <c r="E4" s="4">
        <f t="shared" ref="E4:E67" si="0">IF(AND(D4&lt;=C4*1.2,D4&gt;=C4*0.8),1,0)</f>
        <v>1</v>
      </c>
      <c r="F4" s="4">
        <f t="shared" ref="F4:F67" si="1">ABS(C4-D4)</f>
        <v>160</v>
      </c>
      <c r="G4" s="4">
        <f t="shared" ref="G4:G67" si="2">POWER(F4,2)</f>
        <v>25600</v>
      </c>
      <c r="H4" s="5">
        <f>SQRT(SUM('r-native-fixed'!$D$3:D4)/COUNTIF($A$3:A4,"&lt;&gt;0"))</f>
        <v>57.192656871315222</v>
      </c>
    </row>
    <row r="5" spans="1:10">
      <c r="A5">
        <v>3</v>
      </c>
      <c r="B5">
        <v>5</v>
      </c>
      <c r="C5">
        <v>4600</v>
      </c>
      <c r="D5">
        <v>4627</v>
      </c>
      <c r="E5" s="4">
        <f t="shared" si="0"/>
        <v>1</v>
      </c>
      <c r="F5" s="4">
        <f t="shared" si="1"/>
        <v>27</v>
      </c>
      <c r="G5" s="4">
        <f t="shared" si="2"/>
        <v>729</v>
      </c>
      <c r="H5" s="5">
        <f>SQRT(SUM('r-native-fixed'!$D$3:D5)/COUNTIF($A$3:A5,"&lt;&gt;0"))</f>
        <v>61.0163912403872</v>
      </c>
    </row>
    <row r="6" spans="1:10">
      <c r="A6">
        <v>4</v>
      </c>
      <c r="B6">
        <v>5</v>
      </c>
      <c r="C6">
        <v>4600</v>
      </c>
      <c r="D6">
        <v>4448</v>
      </c>
      <c r="E6" s="4">
        <f t="shared" si="0"/>
        <v>1</v>
      </c>
      <c r="F6" s="4">
        <f t="shared" si="1"/>
        <v>152</v>
      </c>
      <c r="G6" s="4">
        <f t="shared" si="2"/>
        <v>23104</v>
      </c>
      <c r="H6" s="5">
        <f>SQRT(SUM('r-native-fixed'!$D$3:D6)/COUNTIF($A$3:A6,"&lt;&gt;0"))</f>
        <v>62.483997951475544</v>
      </c>
    </row>
    <row r="7" spans="1:10">
      <c r="A7">
        <v>5</v>
      </c>
      <c r="B7">
        <v>5</v>
      </c>
      <c r="C7">
        <v>4600</v>
      </c>
      <c r="D7">
        <v>4524</v>
      </c>
      <c r="E7" s="4">
        <f t="shared" si="0"/>
        <v>1</v>
      </c>
      <c r="F7" s="4">
        <f t="shared" si="1"/>
        <v>76</v>
      </c>
      <c r="G7" s="4">
        <f t="shared" si="2"/>
        <v>5776</v>
      </c>
      <c r="H7" s="5">
        <f>SQRT(SUM('r-native-fixed'!$D$3:D7)/COUNTIF($A$3:A7,"&lt;&gt;0"))</f>
        <v>63.468102224660853</v>
      </c>
    </row>
    <row r="8" spans="1:10">
      <c r="A8">
        <v>6</v>
      </c>
      <c r="B8">
        <v>5</v>
      </c>
      <c r="C8">
        <v>4600</v>
      </c>
      <c r="D8">
        <v>4645</v>
      </c>
      <c r="E8" s="4">
        <f t="shared" si="0"/>
        <v>1</v>
      </c>
      <c r="F8" s="4">
        <f t="shared" si="1"/>
        <v>45</v>
      </c>
      <c r="G8" s="4">
        <f t="shared" si="2"/>
        <v>2025</v>
      </c>
      <c r="H8" s="5">
        <f>SQRT(SUM('r-native-fixed'!$D$3:D8)/COUNTIF($A$3:A8,"&lt;&gt;0"))</f>
        <v>64.272855856885656</v>
      </c>
    </row>
    <row r="9" spans="1:10">
      <c r="A9">
        <v>7</v>
      </c>
      <c r="B9">
        <v>5</v>
      </c>
      <c r="C9">
        <v>4600</v>
      </c>
      <c r="D9">
        <v>4631</v>
      </c>
      <c r="E9" s="4">
        <f t="shared" si="0"/>
        <v>1</v>
      </c>
      <c r="F9" s="4">
        <f t="shared" si="1"/>
        <v>31</v>
      </c>
      <c r="G9" s="4">
        <f t="shared" si="2"/>
        <v>961</v>
      </c>
      <c r="H9" s="5">
        <f>SQRT(SUM('r-native-fixed'!$D$3:D9)/COUNTIF($A$3:A9,"&lt;&gt;0"))</f>
        <v>64.826141111657819</v>
      </c>
    </row>
    <row r="10" spans="1:10">
      <c r="A10">
        <v>8</v>
      </c>
      <c r="B10">
        <v>5</v>
      </c>
      <c r="C10">
        <v>4600</v>
      </c>
      <c r="D10">
        <v>4589</v>
      </c>
      <c r="E10" s="4">
        <f t="shared" si="0"/>
        <v>1</v>
      </c>
      <c r="F10" s="4">
        <f t="shared" si="1"/>
        <v>11</v>
      </c>
      <c r="G10" s="4">
        <f t="shared" si="2"/>
        <v>121</v>
      </c>
      <c r="H10" s="5">
        <f>SQRT(SUM('r-native-fixed'!$D$3:D10)/COUNTIF($A$3:A10,"&lt;&gt;0"))</f>
        <v>65.197776035690055</v>
      </c>
    </row>
    <row r="11" spans="1:10">
      <c r="A11">
        <v>9</v>
      </c>
      <c r="B11">
        <v>5</v>
      </c>
      <c r="C11">
        <v>4600</v>
      </c>
      <c r="D11">
        <v>4594</v>
      </c>
      <c r="E11" s="4">
        <f t="shared" si="0"/>
        <v>1</v>
      </c>
      <c r="F11" s="4">
        <f t="shared" si="1"/>
        <v>6</v>
      </c>
      <c r="G11" s="4">
        <f t="shared" si="2"/>
        <v>36</v>
      </c>
      <c r="H11" s="5">
        <f>SQRT(SUM('r-native-fixed'!$D$3:D11)/COUNTIF($A$3:A11,"&lt;&gt;0"))</f>
        <v>65.489609014628329</v>
      </c>
    </row>
    <row r="12" spans="1:10">
      <c r="A12">
        <v>10</v>
      </c>
      <c r="B12">
        <v>5</v>
      </c>
      <c r="C12">
        <v>4600</v>
      </c>
      <c r="D12">
        <v>4511</v>
      </c>
      <c r="E12" s="4">
        <f t="shared" si="0"/>
        <v>1</v>
      </c>
      <c r="F12" s="4">
        <f t="shared" si="1"/>
        <v>89</v>
      </c>
      <c r="G12" s="4">
        <f t="shared" si="2"/>
        <v>7921</v>
      </c>
      <c r="H12" s="5">
        <f>SQRT(SUM('r-native-fixed'!$D$3:D12)/COUNTIF($A$3:A12,"&lt;&gt;0"))</f>
        <v>65.658967399739083</v>
      </c>
    </row>
    <row r="13" spans="1:10">
      <c r="A13">
        <v>11</v>
      </c>
      <c r="B13">
        <v>5</v>
      </c>
      <c r="C13">
        <v>4600</v>
      </c>
      <c r="D13">
        <v>4577</v>
      </c>
      <c r="E13" s="4">
        <f t="shared" si="0"/>
        <v>1</v>
      </c>
      <c r="F13" s="4">
        <f t="shared" si="1"/>
        <v>23</v>
      </c>
      <c r="G13" s="4">
        <f t="shared" si="2"/>
        <v>529</v>
      </c>
      <c r="H13" s="5">
        <f>SQRT(SUM('r-native-fixed'!$D$3:D13)/COUNTIF($A$3:A13,"&lt;&gt;0"))</f>
        <v>65.842787967041062</v>
      </c>
    </row>
    <row r="14" spans="1:10">
      <c r="A14">
        <v>12</v>
      </c>
      <c r="B14">
        <v>5</v>
      </c>
      <c r="C14">
        <v>4600</v>
      </c>
      <c r="D14">
        <v>4605</v>
      </c>
      <c r="E14" s="4">
        <f t="shared" si="0"/>
        <v>1</v>
      </c>
      <c r="F14" s="4">
        <f t="shared" si="1"/>
        <v>5</v>
      </c>
      <c r="G14" s="4">
        <f t="shared" si="2"/>
        <v>25</v>
      </c>
      <c r="H14" s="5">
        <f>SQRT(SUM('r-native-fixed'!$D$3:D14)/COUNTIF($A$3:A14,"&lt;&gt;0"))</f>
        <v>66.013256244484708</v>
      </c>
    </row>
    <row r="15" spans="1:10">
      <c r="A15">
        <v>13</v>
      </c>
      <c r="B15">
        <v>5</v>
      </c>
      <c r="C15">
        <v>4600</v>
      </c>
      <c r="D15">
        <v>4482</v>
      </c>
      <c r="E15" s="4">
        <f t="shared" si="0"/>
        <v>1</v>
      </c>
      <c r="F15" s="4">
        <f t="shared" si="1"/>
        <v>118</v>
      </c>
      <c r="G15" s="4">
        <f t="shared" si="2"/>
        <v>13924</v>
      </c>
      <c r="H15" s="5">
        <f>SQRT(SUM('r-native-fixed'!$D$3:D15)/COUNTIF($A$3:A15,"&lt;&gt;0"))</f>
        <v>66.085608813929312</v>
      </c>
    </row>
    <row r="16" spans="1:10">
      <c r="A16">
        <v>14</v>
      </c>
      <c r="B16">
        <v>5</v>
      </c>
      <c r="C16">
        <v>4600</v>
      </c>
      <c r="D16">
        <v>4354</v>
      </c>
      <c r="E16" s="4">
        <f t="shared" si="0"/>
        <v>1</v>
      </c>
      <c r="F16" s="4">
        <f t="shared" si="1"/>
        <v>246</v>
      </c>
      <c r="G16" s="4">
        <f t="shared" si="2"/>
        <v>60516</v>
      </c>
      <c r="H16" s="5">
        <f>SQRT(SUM('r-native-fixed'!$D$3:D16)/COUNTIF($A$3:A16,"&lt;&gt;0"))</f>
        <v>66.078416618871429</v>
      </c>
    </row>
    <row r="17" spans="1:8">
      <c r="A17">
        <v>15</v>
      </c>
      <c r="B17">
        <v>5</v>
      </c>
      <c r="C17">
        <v>4600</v>
      </c>
      <c r="D17">
        <v>4559</v>
      </c>
      <c r="E17" s="4">
        <f t="shared" si="0"/>
        <v>1</v>
      </c>
      <c r="F17" s="4">
        <f t="shared" si="1"/>
        <v>41</v>
      </c>
      <c r="G17" s="4">
        <f t="shared" si="2"/>
        <v>1681</v>
      </c>
      <c r="H17" s="5">
        <f>SQRT(SUM('r-native-fixed'!$D$3:D17)/COUNTIF($A$3:A17,"&lt;&gt;0"))</f>
        <v>66.175524176239051</v>
      </c>
    </row>
    <row r="18" spans="1:8">
      <c r="A18">
        <v>16</v>
      </c>
      <c r="B18">
        <v>5</v>
      </c>
      <c r="C18">
        <v>4600</v>
      </c>
      <c r="D18">
        <v>4564</v>
      </c>
      <c r="E18" s="4">
        <f t="shared" si="0"/>
        <v>1</v>
      </c>
      <c r="F18" s="4">
        <f t="shared" si="1"/>
        <v>36</v>
      </c>
      <c r="G18" s="4">
        <f t="shared" si="2"/>
        <v>1296</v>
      </c>
      <c r="H18" s="5">
        <f>SQRT(SUM('r-native-fixed'!$D$3:D18)/COUNTIF($A$3:A18,"&lt;&gt;0"))</f>
        <v>66.262734625126967</v>
      </c>
    </row>
    <row r="19" spans="1:8">
      <c r="A19">
        <v>17</v>
      </c>
      <c r="B19">
        <v>5</v>
      </c>
      <c r="C19">
        <v>4600</v>
      </c>
      <c r="D19">
        <v>4575</v>
      </c>
      <c r="E19" s="4">
        <f t="shared" si="0"/>
        <v>1</v>
      </c>
      <c r="F19" s="4">
        <f t="shared" si="1"/>
        <v>25</v>
      </c>
      <c r="G19" s="4">
        <f t="shared" si="2"/>
        <v>625</v>
      </c>
      <c r="H19" s="5">
        <f>SQRT(SUM('r-native-fixed'!$D$3:D19)/COUNTIF($A$3:A19,"&lt;&gt;0"))</f>
        <v>66.344466500938253</v>
      </c>
    </row>
    <row r="20" spans="1:8">
      <c r="A20">
        <v>18</v>
      </c>
      <c r="B20">
        <v>5</v>
      </c>
      <c r="C20">
        <v>4600</v>
      </c>
      <c r="D20">
        <v>4479</v>
      </c>
      <c r="E20" s="4">
        <f t="shared" si="0"/>
        <v>1</v>
      </c>
      <c r="F20" s="4">
        <f t="shared" si="1"/>
        <v>121</v>
      </c>
      <c r="G20" s="4">
        <f t="shared" si="2"/>
        <v>14641</v>
      </c>
      <c r="H20" s="5">
        <f>SQRT(SUM('r-native-fixed'!$D$3:D20)/COUNTIF($A$3:A20,"&lt;&gt;0"))</f>
        <v>66.376870134775785</v>
      </c>
    </row>
    <row r="21" spans="1:8">
      <c r="A21">
        <v>19</v>
      </c>
      <c r="B21">
        <v>5</v>
      </c>
      <c r="C21">
        <v>4600</v>
      </c>
      <c r="D21">
        <v>3738</v>
      </c>
      <c r="E21" s="4">
        <f t="shared" si="0"/>
        <v>1</v>
      </c>
      <c r="F21" s="4">
        <f t="shared" si="1"/>
        <v>862</v>
      </c>
      <c r="G21" s="4">
        <f t="shared" si="2"/>
        <v>743044</v>
      </c>
      <c r="H21" s="5">
        <f>SQRT(SUM('r-native-fixed'!$D$3:D21)/COUNTIF($A$3:A21,"&lt;&gt;0"))</f>
        <v>66.111548477594013</v>
      </c>
    </row>
    <row r="22" spans="1:8">
      <c r="A22">
        <v>20</v>
      </c>
      <c r="B22">
        <v>5</v>
      </c>
      <c r="C22">
        <v>4600</v>
      </c>
      <c r="D22">
        <v>4487</v>
      </c>
      <c r="E22" s="4">
        <f t="shared" si="0"/>
        <v>1</v>
      </c>
      <c r="F22" s="4">
        <f t="shared" si="1"/>
        <v>113</v>
      </c>
      <c r="G22" s="4">
        <f t="shared" si="2"/>
        <v>12769</v>
      </c>
      <c r="H22" s="5">
        <f>SQRT(SUM('r-native-fixed'!$D$3:D22)/COUNTIF($A$3:A22,"&lt;&gt;0"))</f>
        <v>66.155498637679401</v>
      </c>
    </row>
    <row r="23" spans="1:8">
      <c r="A23">
        <v>21</v>
      </c>
      <c r="B23">
        <v>5</v>
      </c>
      <c r="C23">
        <v>4600</v>
      </c>
      <c r="D23">
        <v>4420</v>
      </c>
      <c r="E23" s="4">
        <f t="shared" si="0"/>
        <v>1</v>
      </c>
      <c r="F23" s="4">
        <f t="shared" si="1"/>
        <v>180</v>
      </c>
      <c r="G23" s="4">
        <f t="shared" si="2"/>
        <v>32400</v>
      </c>
      <c r="H23" s="5">
        <f>SQRT(SUM('r-native-fixed'!$D$3:D23)/COUNTIF($A$3:A23,"&lt;&gt;0"))</f>
        <v>66.17113454988548</v>
      </c>
    </row>
    <row r="24" spans="1:8">
      <c r="A24">
        <v>22</v>
      </c>
      <c r="B24">
        <v>5</v>
      </c>
      <c r="C24">
        <v>4600</v>
      </c>
      <c r="D24">
        <v>4512</v>
      </c>
      <c r="E24" s="4">
        <f t="shared" si="0"/>
        <v>1</v>
      </c>
      <c r="F24" s="4">
        <f t="shared" si="1"/>
        <v>88</v>
      </c>
      <c r="G24" s="4">
        <f t="shared" si="2"/>
        <v>7744</v>
      </c>
      <c r="H24" s="5">
        <f>SQRT(SUM('r-native-fixed'!$D$3:D24)/COUNTIF($A$3:A24,"&lt;&gt;0"))</f>
        <v>66.216929996654315</v>
      </c>
    </row>
    <row r="25" spans="1:8">
      <c r="A25">
        <v>23</v>
      </c>
      <c r="B25">
        <v>5</v>
      </c>
      <c r="C25">
        <v>4600</v>
      </c>
      <c r="D25">
        <v>4585</v>
      </c>
      <c r="E25" s="4">
        <f t="shared" si="0"/>
        <v>1</v>
      </c>
      <c r="F25" s="4">
        <f t="shared" si="1"/>
        <v>15</v>
      </c>
      <c r="G25" s="4">
        <f t="shared" si="2"/>
        <v>225</v>
      </c>
      <c r="H25" s="5">
        <f>SQRT(SUM('r-native-fixed'!$D$3:D25)/COUNTIF($A$3:A25,"&lt;&gt;0"))</f>
        <v>66.28266217004132</v>
      </c>
    </row>
    <row r="26" spans="1:8">
      <c r="A26">
        <v>24</v>
      </c>
      <c r="B26">
        <v>5</v>
      </c>
      <c r="C26">
        <v>4600</v>
      </c>
      <c r="D26">
        <v>4646</v>
      </c>
      <c r="E26" s="4">
        <f t="shared" si="0"/>
        <v>1</v>
      </c>
      <c r="F26" s="4">
        <f t="shared" si="1"/>
        <v>46</v>
      </c>
      <c r="G26" s="4">
        <f t="shared" si="2"/>
        <v>2116</v>
      </c>
      <c r="H26" s="5">
        <f>SQRT(SUM('r-native-fixed'!$D$3:D26)/COUNTIF($A$3:A26,"&lt;&gt;0"))</f>
        <v>66.362012225871112</v>
      </c>
    </row>
    <row r="27" spans="1:8">
      <c r="A27">
        <v>25</v>
      </c>
      <c r="B27">
        <v>5</v>
      </c>
      <c r="C27">
        <v>4600</v>
      </c>
      <c r="D27">
        <v>4469</v>
      </c>
      <c r="E27" s="4">
        <f t="shared" si="0"/>
        <v>1</v>
      </c>
      <c r="F27" s="4">
        <f t="shared" si="1"/>
        <v>131</v>
      </c>
      <c r="G27" s="4">
        <f t="shared" si="2"/>
        <v>17161</v>
      </c>
      <c r="H27" s="5">
        <f>SQRT(SUM('r-native-fixed'!$D$3:D27)/COUNTIF($A$3:A27,"&lt;&gt;0"))</f>
        <v>66.381623963262612</v>
      </c>
    </row>
    <row r="28" spans="1:8">
      <c r="A28">
        <v>26</v>
      </c>
      <c r="B28">
        <v>5</v>
      </c>
      <c r="C28">
        <v>4600</v>
      </c>
      <c r="D28">
        <v>4463</v>
      </c>
      <c r="E28" s="4">
        <f t="shared" si="0"/>
        <v>1</v>
      </c>
      <c r="F28" s="4">
        <f t="shared" si="1"/>
        <v>137</v>
      </c>
      <c r="G28" s="4">
        <f t="shared" si="2"/>
        <v>18769</v>
      </c>
      <c r="H28" s="5">
        <f>SQRT(SUM('r-native-fixed'!$D$3:D28)/COUNTIF($A$3:A28,"&lt;&gt;0"))</f>
        <v>66.397984214073148</v>
      </c>
    </row>
    <row r="29" spans="1:8">
      <c r="A29">
        <v>27</v>
      </c>
      <c r="B29">
        <v>5</v>
      </c>
      <c r="C29">
        <v>4600</v>
      </c>
      <c r="D29">
        <v>4536</v>
      </c>
      <c r="E29" s="4">
        <f t="shared" si="0"/>
        <v>1</v>
      </c>
      <c r="F29" s="4">
        <f t="shared" si="1"/>
        <v>64</v>
      </c>
      <c r="G29" s="4">
        <f t="shared" si="2"/>
        <v>4096</v>
      </c>
      <c r="H29" s="5">
        <f>SQRT(SUM('r-native-fixed'!$D$3:D29)/COUNTIF($A$3:A29,"&lt;&gt;0"))</f>
        <v>66.43348107247887</v>
      </c>
    </row>
    <row r="30" spans="1:8">
      <c r="A30">
        <v>28</v>
      </c>
      <c r="B30">
        <v>5</v>
      </c>
      <c r="C30">
        <v>4600</v>
      </c>
      <c r="D30">
        <v>4637</v>
      </c>
      <c r="E30" s="4">
        <f t="shared" si="0"/>
        <v>1</v>
      </c>
      <c r="F30" s="4">
        <f t="shared" si="1"/>
        <v>37</v>
      </c>
      <c r="G30" s="4">
        <f t="shared" si="2"/>
        <v>1369</v>
      </c>
      <c r="H30" s="5">
        <f>SQRT(SUM('r-native-fixed'!$D$3:D30)/COUNTIF($A$3:A30,"&lt;&gt;0"))</f>
        <v>66.493555004548043</v>
      </c>
    </row>
    <row r="31" spans="1:8">
      <c r="A31">
        <v>29</v>
      </c>
      <c r="B31">
        <v>5</v>
      </c>
      <c r="C31">
        <v>4600</v>
      </c>
      <c r="D31">
        <v>4537</v>
      </c>
      <c r="E31" s="4">
        <f t="shared" si="0"/>
        <v>1</v>
      </c>
      <c r="F31" s="4">
        <f t="shared" si="1"/>
        <v>63</v>
      </c>
      <c r="G31" s="4">
        <f t="shared" si="2"/>
        <v>3969</v>
      </c>
      <c r="H31" s="5">
        <f>SQRT(SUM('r-native-fixed'!$D$3:D31)/COUNTIF($A$3:A31,"&lt;&gt;0"))</f>
        <v>66.523524488295322</v>
      </c>
    </row>
    <row r="32" spans="1:8">
      <c r="A32">
        <v>30</v>
      </c>
      <c r="B32">
        <v>5</v>
      </c>
      <c r="C32">
        <v>4600</v>
      </c>
      <c r="D32">
        <v>4618</v>
      </c>
      <c r="E32" s="4">
        <f t="shared" si="0"/>
        <v>1</v>
      </c>
      <c r="F32" s="4">
        <f t="shared" si="1"/>
        <v>18</v>
      </c>
      <c r="G32" s="4">
        <f t="shared" si="2"/>
        <v>324</v>
      </c>
      <c r="H32" s="5">
        <f>SQRT(SUM('r-native-fixed'!$D$3:D32)/COUNTIF($A$3:A32,"&lt;&gt;0"))</f>
        <v>66.571765787006129</v>
      </c>
    </row>
    <row r="33" spans="1:8">
      <c r="A33">
        <v>31</v>
      </c>
      <c r="B33">
        <v>5</v>
      </c>
      <c r="C33">
        <v>4600</v>
      </c>
      <c r="D33">
        <v>4557</v>
      </c>
      <c r="E33" s="4">
        <f t="shared" si="0"/>
        <v>1</v>
      </c>
      <c r="F33" s="4">
        <f t="shared" si="1"/>
        <v>43</v>
      </c>
      <c r="G33" s="4">
        <f t="shared" si="2"/>
        <v>1849</v>
      </c>
      <c r="H33" s="5">
        <f>SQRT(SUM('r-native-fixed'!$D$3:D33)/COUNTIF($A$3:A33,"&lt;&gt;0"))</f>
        <v>66.602092382127296</v>
      </c>
    </row>
    <row r="34" spans="1:8">
      <c r="A34">
        <v>32</v>
      </c>
      <c r="B34">
        <v>5</v>
      </c>
      <c r="C34">
        <v>4600</v>
      </c>
      <c r="D34">
        <v>4575</v>
      </c>
      <c r="E34" s="4">
        <f t="shared" si="0"/>
        <v>1</v>
      </c>
      <c r="F34" s="4">
        <f t="shared" si="1"/>
        <v>25</v>
      </c>
      <c r="G34" s="4">
        <f t="shared" si="2"/>
        <v>625</v>
      </c>
      <c r="H34" s="5">
        <f>SQRT(SUM('r-native-fixed'!$D$3:D34)/COUNTIF($A$3:A34,"&lt;&gt;0"))</f>
        <v>66.634731934630011</v>
      </c>
    </row>
    <row r="35" spans="1:8">
      <c r="A35">
        <v>33</v>
      </c>
      <c r="B35">
        <v>5</v>
      </c>
      <c r="C35">
        <v>4600</v>
      </c>
      <c r="D35">
        <v>4571</v>
      </c>
      <c r="E35" s="4">
        <f t="shared" si="0"/>
        <v>1</v>
      </c>
      <c r="F35" s="4">
        <f t="shared" si="1"/>
        <v>29</v>
      </c>
      <c r="G35" s="4">
        <f t="shared" si="2"/>
        <v>841</v>
      </c>
      <c r="H35" s="5">
        <f>SQRT(SUM('r-native-fixed'!$D$3:D35)/COUNTIF($A$3:A35,"&lt;&gt;0"))</f>
        <v>66.664469660768432</v>
      </c>
    </row>
    <row r="36" spans="1:8">
      <c r="A36">
        <v>34</v>
      </c>
      <c r="B36">
        <v>5</v>
      </c>
      <c r="C36">
        <v>4600</v>
      </c>
      <c r="D36">
        <v>4556</v>
      </c>
      <c r="E36" s="4">
        <f t="shared" si="0"/>
        <v>1</v>
      </c>
      <c r="F36" s="4">
        <f t="shared" si="1"/>
        <v>44</v>
      </c>
      <c r="G36" s="4">
        <f t="shared" si="2"/>
        <v>1936</v>
      </c>
      <c r="H36" s="5">
        <f>SQRT(SUM('r-native-fixed'!$D$3:D36)/COUNTIF($A$3:A36,"&lt;&gt;0"))</f>
        <v>66.689138369532017</v>
      </c>
    </row>
    <row r="37" spans="1:8">
      <c r="A37">
        <v>35</v>
      </c>
      <c r="B37">
        <v>5</v>
      </c>
      <c r="C37">
        <v>4600</v>
      </c>
      <c r="D37">
        <v>4523</v>
      </c>
      <c r="E37" s="4">
        <f t="shared" si="0"/>
        <v>1</v>
      </c>
      <c r="F37" s="4">
        <f t="shared" si="1"/>
        <v>77</v>
      </c>
      <c r="G37" s="4">
        <f t="shared" si="2"/>
        <v>5929</v>
      </c>
      <c r="H37" s="5">
        <f>SQRT(SUM('r-native-fixed'!$D$3:D37)/COUNTIF($A$3:A37,"&lt;&gt;0"))</f>
        <v>66.705322126499027</v>
      </c>
    </row>
    <row r="38" spans="1:8">
      <c r="A38">
        <v>36</v>
      </c>
      <c r="B38">
        <v>5</v>
      </c>
      <c r="C38">
        <v>4600</v>
      </c>
      <c r="D38">
        <v>4587</v>
      </c>
      <c r="E38" s="4">
        <f t="shared" si="0"/>
        <v>1</v>
      </c>
      <c r="F38" s="4">
        <f t="shared" si="1"/>
        <v>13</v>
      </c>
      <c r="G38" s="4">
        <f t="shared" si="2"/>
        <v>169</v>
      </c>
      <c r="H38" s="5">
        <f>SQRT(SUM('r-native-fixed'!$D$3:D38)/COUNTIF($A$3:A38,"&lt;&gt;0"))</f>
        <v>66.73392440630677</v>
      </c>
    </row>
    <row r="39" spans="1:8">
      <c r="A39">
        <v>37</v>
      </c>
      <c r="B39">
        <v>5</v>
      </c>
      <c r="C39">
        <v>4600</v>
      </c>
      <c r="D39">
        <v>4363</v>
      </c>
      <c r="E39" s="4">
        <f t="shared" si="0"/>
        <v>1</v>
      </c>
      <c r="F39" s="4">
        <f t="shared" si="1"/>
        <v>237</v>
      </c>
      <c r="G39" s="4">
        <f t="shared" si="2"/>
        <v>56169</v>
      </c>
      <c r="H39" s="5">
        <f>SQRT(SUM('r-native-fixed'!$D$3:D39)/COUNTIF($A$3:A39,"&lt;&gt;0"))</f>
        <v>66.715612662801604</v>
      </c>
    </row>
    <row r="40" spans="1:8">
      <c r="A40">
        <v>38</v>
      </c>
      <c r="B40">
        <v>5</v>
      </c>
      <c r="C40">
        <v>4600</v>
      </c>
      <c r="D40">
        <v>4508</v>
      </c>
      <c r="E40" s="4">
        <f t="shared" si="0"/>
        <v>1</v>
      </c>
      <c r="F40" s="4">
        <f t="shared" si="1"/>
        <v>92</v>
      </c>
      <c r="G40" s="4">
        <f t="shared" si="2"/>
        <v>8464</v>
      </c>
      <c r="H40" s="5">
        <f>SQRT(SUM('r-native-fixed'!$D$3:D40)/COUNTIF($A$3:A40,"&lt;&gt;0"))</f>
        <v>66.72685879172289</v>
      </c>
    </row>
    <row r="41" spans="1:8">
      <c r="A41">
        <v>39</v>
      </c>
      <c r="B41">
        <v>5</v>
      </c>
      <c r="C41">
        <v>4600</v>
      </c>
      <c r="D41">
        <v>4606</v>
      </c>
      <c r="E41" s="4">
        <f t="shared" si="0"/>
        <v>1</v>
      </c>
      <c r="F41" s="4">
        <f t="shared" si="1"/>
        <v>6</v>
      </c>
      <c r="G41" s="4">
        <f t="shared" si="2"/>
        <v>36</v>
      </c>
      <c r="H41" s="5">
        <f>SQRT(SUM('r-native-fixed'!$D$3:D41)/COUNTIF($A$3:A41,"&lt;&gt;0"))</f>
        <v>66.756349933247975</v>
      </c>
    </row>
    <row r="42" spans="1:8">
      <c r="A42">
        <v>40</v>
      </c>
      <c r="B42">
        <v>5</v>
      </c>
      <c r="C42">
        <v>4600</v>
      </c>
      <c r="D42">
        <v>4578</v>
      </c>
      <c r="E42" s="4">
        <f t="shared" si="0"/>
        <v>1</v>
      </c>
      <c r="F42" s="4">
        <f t="shared" si="1"/>
        <v>22</v>
      </c>
      <c r="G42" s="4">
        <f t="shared" si="2"/>
        <v>484</v>
      </c>
      <c r="H42" s="5">
        <f>SQRT(SUM('r-native-fixed'!$D$3:D42)/COUNTIF($A$3:A42,"&lt;&gt;0"))</f>
        <v>66.77911350115393</v>
      </c>
    </row>
    <row r="43" spans="1:8">
      <c r="A43">
        <v>41</v>
      </c>
      <c r="B43">
        <v>5</v>
      </c>
      <c r="C43">
        <v>4600</v>
      </c>
      <c r="D43">
        <v>4577</v>
      </c>
      <c r="E43" s="4">
        <f t="shared" si="0"/>
        <v>1</v>
      </c>
      <c r="F43" s="4">
        <f t="shared" si="1"/>
        <v>23</v>
      </c>
      <c r="G43" s="4">
        <f t="shared" si="2"/>
        <v>529</v>
      </c>
      <c r="H43" s="5">
        <f>SQRT(SUM('r-native-fixed'!$D$3:D43)/COUNTIF($A$3:A43,"&lt;&gt;0"))</f>
        <v>66.80057689249945</v>
      </c>
    </row>
    <row r="44" spans="1:8">
      <c r="A44">
        <v>42</v>
      </c>
      <c r="B44">
        <v>5</v>
      </c>
      <c r="C44">
        <v>4600</v>
      </c>
      <c r="D44">
        <v>4629</v>
      </c>
      <c r="E44" s="4">
        <f t="shared" si="0"/>
        <v>1</v>
      </c>
      <c r="F44" s="4">
        <f t="shared" si="1"/>
        <v>29</v>
      </c>
      <c r="G44" s="4">
        <f t="shared" si="2"/>
        <v>841</v>
      </c>
      <c r="H44" s="5">
        <f>SQRT(SUM('r-native-fixed'!$D$3:D44)/COUNTIF($A$3:A44,"&lt;&gt;0"))</f>
        <v>66.830275431766069</v>
      </c>
    </row>
    <row r="45" spans="1:8">
      <c r="A45">
        <v>43</v>
      </c>
      <c r="B45">
        <v>5</v>
      </c>
      <c r="C45">
        <v>4600</v>
      </c>
      <c r="D45">
        <v>4528</v>
      </c>
      <c r="E45" s="4">
        <f t="shared" si="0"/>
        <v>1</v>
      </c>
      <c r="F45" s="4">
        <f t="shared" si="1"/>
        <v>72</v>
      </c>
      <c r="G45" s="4">
        <f t="shared" si="2"/>
        <v>5184</v>
      </c>
      <c r="H45" s="5">
        <f>SQRT(SUM('r-native-fixed'!$D$3:D45)/COUNTIF($A$3:A45,"&lt;&gt;0"))</f>
        <v>66.841012336981834</v>
      </c>
    </row>
    <row r="46" spans="1:8">
      <c r="A46">
        <v>44</v>
      </c>
      <c r="B46">
        <v>5</v>
      </c>
      <c r="C46">
        <v>4600</v>
      </c>
      <c r="D46">
        <v>4501</v>
      </c>
      <c r="E46" s="4">
        <f t="shared" si="0"/>
        <v>1</v>
      </c>
      <c r="F46" s="4">
        <f t="shared" si="1"/>
        <v>99</v>
      </c>
      <c r="G46" s="4">
        <f t="shared" si="2"/>
        <v>9801</v>
      </c>
      <c r="H46" s="5">
        <f>SQRT(SUM('r-native-fixed'!$D$3:D46)/COUNTIF($A$3:A46,"&lt;&gt;0"))</f>
        <v>66.846669870138427</v>
      </c>
    </row>
    <row r="47" spans="1:8">
      <c r="A47">
        <v>45</v>
      </c>
      <c r="B47">
        <v>5</v>
      </c>
      <c r="C47">
        <v>4600</v>
      </c>
      <c r="D47">
        <v>4582</v>
      </c>
      <c r="E47" s="4">
        <f t="shared" si="0"/>
        <v>1</v>
      </c>
      <c r="F47" s="4">
        <f t="shared" si="1"/>
        <v>18</v>
      </c>
      <c r="G47" s="4">
        <f t="shared" si="2"/>
        <v>324</v>
      </c>
      <c r="H47" s="5">
        <f>SQRT(SUM('r-native-fixed'!$D$3:D47)/COUNTIF($A$3:A47,"&lt;&gt;0"))</f>
        <v>66.865536713616535</v>
      </c>
    </row>
    <row r="48" spans="1:8">
      <c r="A48">
        <v>46</v>
      </c>
      <c r="B48">
        <v>5</v>
      </c>
      <c r="C48">
        <v>4600</v>
      </c>
      <c r="D48">
        <v>4577</v>
      </c>
      <c r="E48" s="4">
        <f t="shared" si="0"/>
        <v>1</v>
      </c>
      <c r="F48" s="4">
        <f t="shared" si="1"/>
        <v>23</v>
      </c>
      <c r="G48" s="4">
        <f t="shared" si="2"/>
        <v>529</v>
      </c>
      <c r="H48" s="5">
        <f>SQRT(SUM('r-native-fixed'!$D$3:D48)/COUNTIF($A$3:A48,"&lt;&gt;0"))</f>
        <v>66.882765701083912</v>
      </c>
    </row>
    <row r="49" spans="1:8">
      <c r="A49">
        <v>47</v>
      </c>
      <c r="B49">
        <v>5</v>
      </c>
      <c r="C49">
        <v>4600</v>
      </c>
      <c r="D49">
        <v>4620</v>
      </c>
      <c r="E49" s="4">
        <f t="shared" si="0"/>
        <v>1</v>
      </c>
      <c r="F49" s="4">
        <f t="shared" si="1"/>
        <v>20</v>
      </c>
      <c r="G49" s="4">
        <f t="shared" si="2"/>
        <v>400</v>
      </c>
      <c r="H49" s="5">
        <f>SQRT(SUM('r-native-fixed'!$D$3:D49)/COUNTIF($A$3:A49,"&lt;&gt;0"))</f>
        <v>66.906094878679724</v>
      </c>
    </row>
    <row r="50" spans="1:8">
      <c r="A50">
        <v>48</v>
      </c>
      <c r="B50">
        <v>5</v>
      </c>
      <c r="C50">
        <v>4600</v>
      </c>
      <c r="D50">
        <v>4615</v>
      </c>
      <c r="E50" s="4">
        <f t="shared" si="0"/>
        <v>1</v>
      </c>
      <c r="F50" s="4">
        <f t="shared" si="1"/>
        <v>15</v>
      </c>
      <c r="G50" s="4">
        <f t="shared" si="2"/>
        <v>225</v>
      </c>
      <c r="H50" s="5">
        <f>SQRT(SUM('r-native-fixed'!$D$3:D50)/COUNTIF($A$3:A50,"&lt;&gt;0"))</f>
        <v>66.927666177747454</v>
      </c>
    </row>
    <row r="51" spans="1:8">
      <c r="A51">
        <v>49</v>
      </c>
      <c r="B51">
        <v>5</v>
      </c>
      <c r="C51">
        <v>4600</v>
      </c>
      <c r="D51">
        <v>4464</v>
      </c>
      <c r="E51" s="4">
        <f t="shared" si="0"/>
        <v>1</v>
      </c>
      <c r="F51" s="4">
        <f t="shared" si="1"/>
        <v>136</v>
      </c>
      <c r="G51" s="4">
        <f t="shared" si="2"/>
        <v>18496</v>
      </c>
      <c r="H51" s="5">
        <f>SQRT(SUM('r-native-fixed'!$D$3:D51)/COUNTIF($A$3:A51,"&lt;&gt;0"))</f>
        <v>66.92533152700851</v>
      </c>
    </row>
    <row r="52" spans="1:8">
      <c r="A52">
        <v>50</v>
      </c>
      <c r="B52">
        <v>5</v>
      </c>
      <c r="C52">
        <v>4600</v>
      </c>
      <c r="D52">
        <v>3986</v>
      </c>
      <c r="E52" s="4">
        <f t="shared" si="0"/>
        <v>1</v>
      </c>
      <c r="F52" s="4">
        <f t="shared" si="1"/>
        <v>614</v>
      </c>
      <c r="G52" s="4">
        <f t="shared" si="2"/>
        <v>376996</v>
      </c>
      <c r="H52" s="5">
        <f>SQRT(SUM('r-native-fixed'!$D$3:D52)/COUNTIF($A$3:A52,"&lt;&gt;0"))</f>
        <v>66.851626756571903</v>
      </c>
    </row>
    <row r="53" spans="1:8">
      <c r="A53">
        <v>51</v>
      </c>
      <c r="B53">
        <v>5</v>
      </c>
      <c r="C53">
        <v>4600</v>
      </c>
      <c r="D53">
        <v>4562</v>
      </c>
      <c r="E53" s="4">
        <f t="shared" si="0"/>
        <v>1</v>
      </c>
      <c r="F53" s="4">
        <f t="shared" si="1"/>
        <v>38</v>
      </c>
      <c r="G53" s="4">
        <f t="shared" si="2"/>
        <v>1444</v>
      </c>
      <c r="H53" s="5">
        <f>SQRT(SUM('r-native-fixed'!$D$3:D53)/COUNTIF($A$3:A53,"&lt;&gt;0"))</f>
        <v>66.865243470084863</v>
      </c>
    </row>
    <row r="54" spans="1:8">
      <c r="A54">
        <v>52</v>
      </c>
      <c r="B54">
        <v>5</v>
      </c>
      <c r="C54">
        <v>4600</v>
      </c>
      <c r="D54">
        <v>3854</v>
      </c>
      <c r="E54" s="4">
        <f t="shared" si="0"/>
        <v>1</v>
      </c>
      <c r="F54" s="4">
        <f t="shared" si="1"/>
        <v>746</v>
      </c>
      <c r="G54" s="4">
        <f t="shared" si="2"/>
        <v>556516</v>
      </c>
      <c r="H54" s="5">
        <f>SQRT(SUM('r-native-fixed'!$D$3:D54)/COUNTIF($A$3:A54,"&lt;&gt;0"))</f>
        <v>66.776464071154251</v>
      </c>
    </row>
    <row r="55" spans="1:8">
      <c r="A55">
        <v>53</v>
      </c>
      <c r="B55">
        <v>5</v>
      </c>
      <c r="C55">
        <v>4600</v>
      </c>
      <c r="D55">
        <v>4485</v>
      </c>
      <c r="E55" s="4">
        <f t="shared" si="0"/>
        <v>1</v>
      </c>
      <c r="F55" s="4">
        <f t="shared" si="1"/>
        <v>115</v>
      </c>
      <c r="G55" s="4">
        <f t="shared" si="2"/>
        <v>13225</v>
      </c>
      <c r="H55" s="5">
        <f>SQRT(SUM('r-native-fixed'!$D$3:D55)/COUNTIF($A$3:A55,"&lt;&gt;0"))</f>
        <v>66.780123582248464</v>
      </c>
    </row>
    <row r="56" spans="1:8">
      <c r="A56">
        <v>54</v>
      </c>
      <c r="B56">
        <v>5</v>
      </c>
      <c r="C56">
        <v>4600</v>
      </c>
      <c r="D56">
        <v>4570</v>
      </c>
      <c r="E56" s="4">
        <f t="shared" si="0"/>
        <v>1</v>
      </c>
      <c r="F56" s="4">
        <f t="shared" si="1"/>
        <v>30</v>
      </c>
      <c r="G56" s="4">
        <f t="shared" si="2"/>
        <v>900</v>
      </c>
      <c r="H56" s="5">
        <f>SQRT(SUM('r-native-fixed'!$D$3:D56)/COUNTIF($A$3:A56,"&lt;&gt;0"))</f>
        <v>66.795431203261415</v>
      </c>
    </row>
    <row r="57" spans="1:8">
      <c r="A57">
        <v>55</v>
      </c>
      <c r="B57">
        <v>5</v>
      </c>
      <c r="C57">
        <v>4600</v>
      </c>
      <c r="D57">
        <v>4432</v>
      </c>
      <c r="E57" s="4">
        <f t="shared" si="0"/>
        <v>1</v>
      </c>
      <c r="F57" s="4">
        <f t="shared" si="1"/>
        <v>168</v>
      </c>
      <c r="G57" s="4">
        <f t="shared" si="2"/>
        <v>28224</v>
      </c>
      <c r="H57" s="5">
        <f>SQRT(SUM('r-native-fixed'!$D$3:D57)/COUNTIF($A$3:A57,"&lt;&gt;0"))</f>
        <v>66.791398466351254</v>
      </c>
    </row>
    <row r="58" spans="1:8">
      <c r="A58">
        <v>56</v>
      </c>
      <c r="B58">
        <v>5</v>
      </c>
      <c r="C58">
        <v>4600</v>
      </c>
      <c r="D58">
        <v>4582</v>
      </c>
      <c r="E58" s="4">
        <f t="shared" si="0"/>
        <v>1</v>
      </c>
      <c r="F58" s="4">
        <f t="shared" si="1"/>
        <v>18</v>
      </c>
      <c r="G58" s="4">
        <f t="shared" si="2"/>
        <v>324</v>
      </c>
      <c r="H58" s="5">
        <f>SQRT(SUM('r-native-fixed'!$D$3:D58)/COUNTIF($A$3:A58,"&lt;&gt;0"))</f>
        <v>66.807559452505075</v>
      </c>
    </row>
    <row r="59" spans="1:8">
      <c r="A59">
        <v>57</v>
      </c>
      <c r="B59">
        <v>5</v>
      </c>
      <c r="C59">
        <v>4600</v>
      </c>
      <c r="D59">
        <v>4592</v>
      </c>
      <c r="E59" s="4">
        <f t="shared" si="0"/>
        <v>1</v>
      </c>
      <c r="F59" s="4">
        <f t="shared" si="1"/>
        <v>8</v>
      </c>
      <c r="G59" s="4">
        <f t="shared" si="2"/>
        <v>64</v>
      </c>
      <c r="H59" s="5">
        <f>SQRT(SUM('r-native-fixed'!$D$3:D59)/COUNTIF($A$3:A59,"&lt;&gt;0"))</f>
        <v>66.824462376661316</v>
      </c>
    </row>
    <row r="60" spans="1:8">
      <c r="A60">
        <v>58</v>
      </c>
      <c r="B60">
        <v>5</v>
      </c>
      <c r="C60">
        <v>4600</v>
      </c>
      <c r="D60">
        <v>4559</v>
      </c>
      <c r="E60" s="4">
        <f t="shared" si="0"/>
        <v>1</v>
      </c>
      <c r="F60" s="4">
        <f t="shared" si="1"/>
        <v>41</v>
      </c>
      <c r="G60" s="4">
        <f t="shared" si="2"/>
        <v>1681</v>
      </c>
      <c r="H60" s="5">
        <f>SQRT(SUM('r-native-fixed'!$D$3:D60)/COUNTIF($A$3:A60,"&lt;&gt;0"))</f>
        <v>66.836522124173783</v>
      </c>
    </row>
    <row r="61" spans="1:8">
      <c r="A61">
        <v>59</v>
      </c>
      <c r="B61">
        <v>5</v>
      </c>
      <c r="C61">
        <v>4600</v>
      </c>
      <c r="D61">
        <v>4616</v>
      </c>
      <c r="E61" s="4">
        <f t="shared" si="0"/>
        <v>1</v>
      </c>
      <c r="F61" s="4">
        <f t="shared" si="1"/>
        <v>16</v>
      </c>
      <c r="G61" s="4">
        <f t="shared" si="2"/>
        <v>256</v>
      </c>
      <c r="H61" s="5">
        <f>SQRT(SUM('r-native-fixed'!$D$3:D61)/COUNTIF($A$3:A61,"&lt;&gt;0"))</f>
        <v>66.855396699119282</v>
      </c>
    </row>
    <row r="62" spans="1:8">
      <c r="A62">
        <v>60</v>
      </c>
      <c r="B62">
        <v>5</v>
      </c>
      <c r="C62">
        <v>4600</v>
      </c>
      <c r="D62">
        <v>4579</v>
      </c>
      <c r="E62" s="4">
        <f t="shared" si="0"/>
        <v>1</v>
      </c>
      <c r="F62" s="4">
        <f t="shared" si="1"/>
        <v>21</v>
      </c>
      <c r="G62" s="4">
        <f t="shared" si="2"/>
        <v>441</v>
      </c>
      <c r="H62" s="5">
        <f>SQRT(SUM('r-native-fixed'!$D$3:D62)/COUNTIF($A$3:A62,"&lt;&gt;0"))</f>
        <v>66.869026212938579</v>
      </c>
    </row>
    <row r="63" spans="1:8">
      <c r="A63">
        <v>61</v>
      </c>
      <c r="B63">
        <v>5</v>
      </c>
      <c r="C63">
        <v>4600</v>
      </c>
      <c r="D63">
        <v>4283</v>
      </c>
      <c r="E63" s="4">
        <f t="shared" si="0"/>
        <v>1</v>
      </c>
      <c r="F63" s="4">
        <f t="shared" si="1"/>
        <v>317</v>
      </c>
      <c r="G63" s="4">
        <f t="shared" si="2"/>
        <v>100489</v>
      </c>
      <c r="H63" s="5">
        <f>SQRT(SUM('r-native-fixed'!$D$3:D63)/COUNTIF($A$3:A63,"&lt;&gt;0"))</f>
        <v>66.845920213430588</v>
      </c>
    </row>
    <row r="64" spans="1:8">
      <c r="A64">
        <v>62</v>
      </c>
      <c r="B64">
        <v>5</v>
      </c>
      <c r="C64">
        <v>4600</v>
      </c>
      <c r="D64">
        <v>4336</v>
      </c>
      <c r="E64" s="4">
        <f t="shared" si="0"/>
        <v>1</v>
      </c>
      <c r="F64" s="4">
        <f t="shared" si="1"/>
        <v>264</v>
      </c>
      <c r="G64" s="4">
        <f t="shared" si="2"/>
        <v>69696</v>
      </c>
      <c r="H64" s="5">
        <f>SQRT(SUM('r-native-fixed'!$D$3:D64)/COUNTIF($A$3:A64,"&lt;&gt;0"))</f>
        <v>66.829947893768932</v>
      </c>
    </row>
    <row r="65" spans="1:8">
      <c r="A65">
        <v>63</v>
      </c>
      <c r="B65">
        <v>5</v>
      </c>
      <c r="C65">
        <v>4600</v>
      </c>
      <c r="D65">
        <v>4534</v>
      </c>
      <c r="E65" s="4">
        <f t="shared" si="0"/>
        <v>1</v>
      </c>
      <c r="F65" s="4">
        <f t="shared" si="1"/>
        <v>66</v>
      </c>
      <c r="G65" s="4">
        <f t="shared" si="2"/>
        <v>4356</v>
      </c>
      <c r="H65" s="5">
        <f>SQRT(SUM('r-native-fixed'!$D$3:D65)/COUNTIF($A$3:A65,"&lt;&gt;0"))</f>
        <v>66.837994137447453</v>
      </c>
    </row>
    <row r="66" spans="1:8">
      <c r="A66">
        <v>64</v>
      </c>
      <c r="B66">
        <v>5</v>
      </c>
      <c r="C66">
        <v>4600</v>
      </c>
      <c r="D66">
        <v>4497</v>
      </c>
      <c r="E66" s="4">
        <f t="shared" si="0"/>
        <v>1</v>
      </c>
      <c r="F66" s="4">
        <f t="shared" si="1"/>
        <v>103</v>
      </c>
      <c r="G66" s="4">
        <f t="shared" si="2"/>
        <v>10609</v>
      </c>
      <c r="H66" s="5">
        <f>SQRT(SUM('r-native-fixed'!$D$3:D66)/COUNTIF($A$3:A66,"&lt;&gt;0"))</f>
        <v>66.841463553695476</v>
      </c>
    </row>
    <row r="67" spans="1:8">
      <c r="A67">
        <v>65</v>
      </c>
      <c r="B67">
        <v>5</v>
      </c>
      <c r="C67">
        <v>4600</v>
      </c>
      <c r="D67">
        <v>4371</v>
      </c>
      <c r="E67" s="4">
        <f t="shared" si="0"/>
        <v>1</v>
      </c>
      <c r="F67" s="4">
        <f t="shared" si="1"/>
        <v>229</v>
      </c>
      <c r="G67" s="4">
        <f t="shared" si="2"/>
        <v>52441</v>
      </c>
      <c r="H67" s="5">
        <f>SQRT(SUM('r-native-fixed'!$D$3:D67)/COUNTIF($A$3:A67,"&lt;&gt;0"))</f>
        <v>66.830324761236255</v>
      </c>
    </row>
    <row r="68" spans="1:8">
      <c r="A68">
        <v>66</v>
      </c>
      <c r="B68">
        <v>5</v>
      </c>
      <c r="C68">
        <v>4600</v>
      </c>
      <c r="D68">
        <v>4581</v>
      </c>
      <c r="E68" s="4">
        <f t="shared" ref="E68:E131" si="3">IF(AND(D68&lt;=C68*1.2,D68&gt;=C68*0.8),1,0)</f>
        <v>1</v>
      </c>
      <c r="F68" s="4">
        <f t="shared" ref="F68:F131" si="4">ABS(C68-D68)</f>
        <v>19</v>
      </c>
      <c r="G68" s="4">
        <f t="shared" ref="G68:G131" si="5">POWER(F68,2)</f>
        <v>361</v>
      </c>
      <c r="H68" s="5">
        <f>SQRT(SUM('r-native-fixed'!$D$3:D68)/COUNTIF($A$3:A68,"&lt;&gt;0"))</f>
        <v>66.843326540727332</v>
      </c>
    </row>
    <row r="69" spans="1:8">
      <c r="A69">
        <v>67</v>
      </c>
      <c r="B69">
        <v>5</v>
      </c>
      <c r="C69">
        <v>4600</v>
      </c>
      <c r="D69">
        <v>4553</v>
      </c>
      <c r="E69" s="4">
        <f t="shared" si="3"/>
        <v>1</v>
      </c>
      <c r="F69" s="4">
        <f t="shared" si="4"/>
        <v>47</v>
      </c>
      <c r="G69" s="4">
        <f t="shared" si="5"/>
        <v>2209</v>
      </c>
      <c r="H69" s="5">
        <f>SQRT(SUM('r-native-fixed'!$D$3:D69)/COUNTIF($A$3:A69,"&lt;&gt;0"))</f>
        <v>66.852812262930925</v>
      </c>
    </row>
    <row r="70" spans="1:8">
      <c r="A70">
        <v>68</v>
      </c>
      <c r="B70">
        <v>5</v>
      </c>
      <c r="C70">
        <v>4600</v>
      </c>
      <c r="D70">
        <v>4535</v>
      </c>
      <c r="E70" s="4">
        <f t="shared" si="3"/>
        <v>1</v>
      </c>
      <c r="F70" s="4">
        <f t="shared" si="4"/>
        <v>65</v>
      </c>
      <c r="G70" s="4">
        <f t="shared" si="5"/>
        <v>4225</v>
      </c>
      <c r="H70" s="5">
        <f>SQRT(SUM('r-native-fixed'!$D$3:D70)/COUNTIF($A$3:A70,"&lt;&gt;0"))</f>
        <v>66.860038183374925</v>
      </c>
    </row>
    <row r="71" spans="1:8">
      <c r="A71">
        <v>69</v>
      </c>
      <c r="B71">
        <v>5</v>
      </c>
      <c r="C71">
        <v>4600</v>
      </c>
      <c r="D71">
        <v>4573</v>
      </c>
      <c r="E71" s="4">
        <f t="shared" si="3"/>
        <v>1</v>
      </c>
      <c r="F71" s="4">
        <f t="shared" si="4"/>
        <v>27</v>
      </c>
      <c r="G71" s="4">
        <f t="shared" si="5"/>
        <v>729</v>
      </c>
      <c r="H71" s="5">
        <f>SQRT(SUM('r-native-fixed'!$D$3:D71)/COUNTIF($A$3:A71,"&lt;&gt;0"))</f>
        <v>66.871171839503504</v>
      </c>
    </row>
    <row r="72" spans="1:8">
      <c r="A72">
        <v>70</v>
      </c>
      <c r="B72">
        <v>5</v>
      </c>
      <c r="C72">
        <v>4600</v>
      </c>
      <c r="D72">
        <v>4364</v>
      </c>
      <c r="E72" s="4">
        <f t="shared" si="3"/>
        <v>1</v>
      </c>
      <c r="F72" s="4">
        <f t="shared" si="4"/>
        <v>236</v>
      </c>
      <c r="G72" s="4">
        <f t="shared" si="5"/>
        <v>55696</v>
      </c>
      <c r="H72" s="5">
        <f>SQRT(SUM('r-native-fixed'!$D$3:D72)/COUNTIF($A$3:A72,"&lt;&gt;0"))</f>
        <v>66.859661124734131</v>
      </c>
    </row>
    <row r="73" spans="1:8">
      <c r="A73">
        <v>71</v>
      </c>
      <c r="B73">
        <v>5</v>
      </c>
      <c r="C73">
        <v>4600</v>
      </c>
      <c r="D73">
        <v>4505</v>
      </c>
      <c r="E73" s="4">
        <f t="shared" si="3"/>
        <v>1</v>
      </c>
      <c r="F73" s="4">
        <f t="shared" si="4"/>
        <v>95</v>
      </c>
      <c r="G73" s="4">
        <f t="shared" si="5"/>
        <v>9025</v>
      </c>
      <c r="H73" s="5">
        <f>SQRT(SUM('r-native-fixed'!$D$3:D73)/COUNTIF($A$3:A73,"&lt;&gt;0"))</f>
        <v>66.863324964827413</v>
      </c>
    </row>
    <row r="74" spans="1:8">
      <c r="A74">
        <v>72</v>
      </c>
      <c r="B74">
        <v>5</v>
      </c>
      <c r="C74">
        <v>4600</v>
      </c>
      <c r="D74">
        <v>4550</v>
      </c>
      <c r="E74" s="4">
        <f t="shared" si="3"/>
        <v>1</v>
      </c>
      <c r="F74" s="4">
        <f t="shared" si="4"/>
        <v>50</v>
      </c>
      <c r="G74" s="4">
        <f t="shared" si="5"/>
        <v>2500</v>
      </c>
      <c r="H74" s="5">
        <f>SQRT(SUM('r-native-fixed'!$D$3:D74)/COUNTIF($A$3:A74,"&lt;&gt;0"))</f>
        <v>66.871560139984439</v>
      </c>
    </row>
    <row r="75" spans="1:8">
      <c r="A75">
        <v>73</v>
      </c>
      <c r="B75">
        <v>5</v>
      </c>
      <c r="C75">
        <v>4600</v>
      </c>
      <c r="D75">
        <v>4541</v>
      </c>
      <c r="E75" s="4">
        <f t="shared" si="3"/>
        <v>1</v>
      </c>
      <c r="F75" s="4">
        <f t="shared" si="4"/>
        <v>59</v>
      </c>
      <c r="G75" s="4">
        <f t="shared" si="5"/>
        <v>3481</v>
      </c>
      <c r="H75" s="5">
        <f>SQRT(SUM('r-native-fixed'!$D$3:D75)/COUNTIF($A$3:A75,"&lt;&gt;0"))</f>
        <v>66.878647000799404</v>
      </c>
    </row>
    <row r="76" spans="1:8">
      <c r="A76">
        <v>74</v>
      </c>
      <c r="B76">
        <v>5</v>
      </c>
      <c r="C76">
        <v>4600</v>
      </c>
      <c r="D76">
        <v>4424</v>
      </c>
      <c r="E76" s="4">
        <f t="shared" si="3"/>
        <v>1</v>
      </c>
      <c r="F76" s="4">
        <f t="shared" si="4"/>
        <v>176</v>
      </c>
      <c r="G76" s="4">
        <f t="shared" si="5"/>
        <v>30976</v>
      </c>
      <c r="H76" s="5">
        <f>SQRT(SUM('r-native-fixed'!$D$3:D76)/COUNTIF($A$3:A76,"&lt;&gt;0"))</f>
        <v>66.873721255771272</v>
      </c>
    </row>
    <row r="77" spans="1:8">
      <c r="A77">
        <v>75</v>
      </c>
      <c r="B77">
        <v>5</v>
      </c>
      <c r="C77">
        <v>4600</v>
      </c>
      <c r="D77">
        <v>4526</v>
      </c>
      <c r="E77" s="4">
        <f t="shared" si="3"/>
        <v>1</v>
      </c>
      <c r="F77" s="4">
        <f t="shared" si="4"/>
        <v>74</v>
      </c>
      <c r="G77" s="4">
        <f t="shared" si="5"/>
        <v>5476</v>
      </c>
      <c r="H77" s="5">
        <f>SQRT(SUM('r-native-fixed'!$D$3:D77)/COUNTIF($A$3:A77,"&lt;&gt;0"))</f>
        <v>66.879094890207156</v>
      </c>
    </row>
    <row r="78" spans="1:8">
      <c r="A78">
        <v>76</v>
      </c>
      <c r="B78">
        <v>5</v>
      </c>
      <c r="C78">
        <v>4600</v>
      </c>
      <c r="D78">
        <v>4602</v>
      </c>
      <c r="E78" s="4">
        <f t="shared" si="3"/>
        <v>1</v>
      </c>
      <c r="F78" s="4">
        <f t="shared" si="4"/>
        <v>2</v>
      </c>
      <c r="G78" s="4">
        <f t="shared" si="5"/>
        <v>4</v>
      </c>
      <c r="H78" s="5">
        <f>SQRT(SUM('r-native-fixed'!$D$3:D78)/COUNTIF($A$3:A78,"&lt;&gt;0"))</f>
        <v>66.891801873583404</v>
      </c>
    </row>
    <row r="79" spans="1:8">
      <c r="A79">
        <v>77</v>
      </c>
      <c r="B79">
        <v>5</v>
      </c>
      <c r="C79">
        <v>4600</v>
      </c>
      <c r="D79">
        <v>4459</v>
      </c>
      <c r="E79" s="4">
        <f t="shared" si="3"/>
        <v>1</v>
      </c>
      <c r="F79" s="4">
        <f t="shared" si="4"/>
        <v>141</v>
      </c>
      <c r="G79" s="4">
        <f t="shared" si="5"/>
        <v>19881</v>
      </c>
      <c r="H79" s="5">
        <f>SQRT(SUM('r-native-fixed'!$D$3:D79)/COUNTIF($A$3:A79,"&lt;&gt;0"))</f>
        <v>66.890295920347725</v>
      </c>
    </row>
    <row r="80" spans="1:8">
      <c r="A80">
        <v>78</v>
      </c>
      <c r="B80">
        <v>5</v>
      </c>
      <c r="C80">
        <v>4600</v>
      </c>
      <c r="D80">
        <v>4574</v>
      </c>
      <c r="E80" s="4">
        <f t="shared" si="3"/>
        <v>1</v>
      </c>
      <c r="F80" s="4">
        <f t="shared" si="4"/>
        <v>26</v>
      </c>
      <c r="G80" s="4">
        <f t="shared" si="5"/>
        <v>676</v>
      </c>
      <c r="H80" s="5">
        <f>SQRT(SUM('r-native-fixed'!$D$3:D80)/COUNTIF($A$3:A80,"&lt;&gt;0"))</f>
        <v>66.89984860662797</v>
      </c>
    </row>
    <row r="81" spans="1:8">
      <c r="A81">
        <v>79</v>
      </c>
      <c r="B81">
        <v>5</v>
      </c>
      <c r="C81">
        <v>4600</v>
      </c>
      <c r="D81">
        <v>4538</v>
      </c>
      <c r="E81" s="4">
        <f t="shared" si="3"/>
        <v>1</v>
      </c>
      <c r="F81" s="4">
        <f t="shared" si="4"/>
        <v>62</v>
      </c>
      <c r="G81" s="4">
        <f t="shared" si="5"/>
        <v>3844</v>
      </c>
      <c r="H81" s="5">
        <f>SQRT(SUM('r-native-fixed'!$D$3:D81)/COUNTIF($A$3:A81,"&lt;&gt;0"))</f>
        <v>66.905752718547632</v>
      </c>
    </row>
    <row r="82" spans="1:8">
      <c r="A82">
        <v>80</v>
      </c>
      <c r="B82">
        <v>5</v>
      </c>
      <c r="C82">
        <v>4600</v>
      </c>
      <c r="D82">
        <v>4609</v>
      </c>
      <c r="E82" s="4">
        <f t="shared" si="3"/>
        <v>1</v>
      </c>
      <c r="F82" s="4">
        <f t="shared" si="4"/>
        <v>9</v>
      </c>
      <c r="G82" s="4">
        <f t="shared" si="5"/>
        <v>81</v>
      </c>
      <c r="H82" s="5">
        <f>SQRT(SUM('r-native-fixed'!$D$3:D82)/COUNTIF($A$3:A82,"&lt;&gt;0"))</f>
        <v>66.918140290955492</v>
      </c>
    </row>
    <row r="83" spans="1:8">
      <c r="A83">
        <v>81</v>
      </c>
      <c r="B83">
        <v>5</v>
      </c>
      <c r="C83">
        <v>4600</v>
      </c>
      <c r="D83">
        <v>4497</v>
      </c>
      <c r="E83" s="4">
        <f t="shared" si="3"/>
        <v>1</v>
      </c>
      <c r="F83" s="4">
        <f t="shared" si="4"/>
        <v>103</v>
      </c>
      <c r="G83" s="4">
        <f t="shared" si="5"/>
        <v>10609</v>
      </c>
      <c r="H83" s="5">
        <f>SQRT(SUM('r-native-fixed'!$D$3:D83)/COUNTIF($A$3:A83,"&lt;&gt;0"))</f>
        <v>66.91988945700875</v>
      </c>
    </row>
    <row r="84" spans="1:8">
      <c r="A84">
        <v>82</v>
      </c>
      <c r="B84">
        <v>5</v>
      </c>
      <c r="C84">
        <v>4600</v>
      </c>
      <c r="D84">
        <v>4554</v>
      </c>
      <c r="E84" s="4">
        <f t="shared" si="3"/>
        <v>1</v>
      </c>
      <c r="F84" s="4">
        <f t="shared" si="4"/>
        <v>46</v>
      </c>
      <c r="G84" s="4">
        <f t="shared" si="5"/>
        <v>2116</v>
      </c>
      <c r="H84" s="5">
        <f>SQRT(SUM('r-native-fixed'!$D$3:D84)/COUNTIF($A$3:A84,"&lt;&gt;0"))</f>
        <v>66.926789269702894</v>
      </c>
    </row>
    <row r="85" spans="1:8">
      <c r="A85">
        <v>83</v>
      </c>
      <c r="B85">
        <v>5</v>
      </c>
      <c r="C85">
        <v>4600</v>
      </c>
      <c r="D85">
        <v>4564</v>
      </c>
      <c r="E85" s="4">
        <f t="shared" si="3"/>
        <v>1</v>
      </c>
      <c r="F85" s="4">
        <f t="shared" si="4"/>
        <v>36</v>
      </c>
      <c r="G85" s="4">
        <f t="shared" si="5"/>
        <v>1296</v>
      </c>
      <c r="H85" s="5">
        <f>SQRT(SUM('r-native-fixed'!$D$3:D85)/COUNTIF($A$3:A85,"&lt;&gt;0"))</f>
        <v>66.934422141898551</v>
      </c>
    </row>
    <row r="86" spans="1:8">
      <c r="A86">
        <v>84</v>
      </c>
      <c r="B86">
        <v>5</v>
      </c>
      <c r="C86">
        <v>4600</v>
      </c>
      <c r="D86">
        <v>4587</v>
      </c>
      <c r="E86" s="4">
        <f t="shared" si="3"/>
        <v>1</v>
      </c>
      <c r="F86" s="4">
        <f t="shared" si="4"/>
        <v>13</v>
      </c>
      <c r="G86" s="4">
        <f t="shared" si="5"/>
        <v>169</v>
      </c>
      <c r="H86" s="5">
        <f>SQRT(SUM('r-native-fixed'!$D$3:D86)/COUNTIF($A$3:A86,"&lt;&gt;0"))</f>
        <v>66.943917537279631</v>
      </c>
    </row>
    <row r="87" spans="1:8">
      <c r="A87">
        <v>85</v>
      </c>
      <c r="B87">
        <v>5</v>
      </c>
      <c r="C87">
        <v>4600</v>
      </c>
      <c r="D87">
        <v>4377</v>
      </c>
      <c r="E87" s="4">
        <f t="shared" si="3"/>
        <v>1</v>
      </c>
      <c r="F87" s="4">
        <f t="shared" si="4"/>
        <v>223</v>
      </c>
      <c r="G87" s="4">
        <f t="shared" si="5"/>
        <v>49729</v>
      </c>
      <c r="H87" s="5">
        <f>SQRT(SUM('r-native-fixed'!$D$3:D87)/COUNTIF($A$3:A87,"&lt;&gt;0"))</f>
        <v>66.934735552845893</v>
      </c>
    </row>
    <row r="88" spans="1:8">
      <c r="A88">
        <v>86</v>
      </c>
      <c r="B88">
        <v>5</v>
      </c>
      <c r="C88">
        <v>4600</v>
      </c>
      <c r="D88">
        <v>4420</v>
      </c>
      <c r="E88" s="4">
        <f t="shared" si="3"/>
        <v>1</v>
      </c>
      <c r="F88" s="4">
        <f t="shared" si="4"/>
        <v>180</v>
      </c>
      <c r="G88" s="4">
        <f t="shared" si="5"/>
        <v>32400</v>
      </c>
      <c r="H88" s="5">
        <f>SQRT(SUM('r-native-fixed'!$D$3:D88)/COUNTIF($A$3:A88,"&lt;&gt;0"))</f>
        <v>66.929501264650725</v>
      </c>
    </row>
    <row r="89" spans="1:8">
      <c r="A89">
        <v>87</v>
      </c>
      <c r="B89">
        <v>5</v>
      </c>
      <c r="C89">
        <v>4600</v>
      </c>
      <c r="D89">
        <v>4579</v>
      </c>
      <c r="E89" s="4">
        <f t="shared" si="3"/>
        <v>1</v>
      </c>
      <c r="F89" s="4">
        <f t="shared" si="4"/>
        <v>21</v>
      </c>
      <c r="G89" s="4">
        <f t="shared" si="5"/>
        <v>441</v>
      </c>
      <c r="H89" s="5">
        <f>SQRT(SUM('r-native-fixed'!$D$3:D89)/COUNTIF($A$3:A89,"&lt;&gt;0"))</f>
        <v>66.938039629386282</v>
      </c>
    </row>
    <row r="90" spans="1:8">
      <c r="A90">
        <v>88</v>
      </c>
      <c r="B90">
        <v>5</v>
      </c>
      <c r="C90">
        <v>4600</v>
      </c>
      <c r="D90">
        <v>4535</v>
      </c>
      <c r="E90" s="4">
        <f t="shared" si="3"/>
        <v>1</v>
      </c>
      <c r="F90" s="4">
        <f t="shared" si="4"/>
        <v>65</v>
      </c>
      <c r="G90" s="4">
        <f t="shared" si="5"/>
        <v>4225</v>
      </c>
      <c r="H90" s="5">
        <f>SQRT(SUM('r-native-fixed'!$D$3:D90)/COUNTIF($A$3:A90,"&lt;&gt;0"))</f>
        <v>66.942648452374385</v>
      </c>
    </row>
    <row r="91" spans="1:8">
      <c r="A91">
        <v>89</v>
      </c>
      <c r="B91">
        <v>5</v>
      </c>
      <c r="C91">
        <v>4600</v>
      </c>
      <c r="D91">
        <v>4528</v>
      </c>
      <c r="E91" s="4">
        <f t="shared" si="3"/>
        <v>1</v>
      </c>
      <c r="F91" s="4">
        <f t="shared" si="4"/>
        <v>72</v>
      </c>
      <c r="G91" s="4">
        <f t="shared" si="5"/>
        <v>5184</v>
      </c>
      <c r="H91" s="5">
        <f>SQRT(SUM('r-native-fixed'!$D$3:D91)/COUNTIF($A$3:A91,"&lt;&gt;0"))</f>
        <v>66.946565980856803</v>
      </c>
    </row>
    <row r="92" spans="1:8">
      <c r="A92">
        <v>90</v>
      </c>
      <c r="B92">
        <v>5</v>
      </c>
      <c r="C92">
        <v>4600</v>
      </c>
      <c r="D92">
        <v>4658</v>
      </c>
      <c r="E92" s="4">
        <f t="shared" si="3"/>
        <v>1</v>
      </c>
      <c r="F92" s="4">
        <f t="shared" si="4"/>
        <v>58</v>
      </c>
      <c r="G92" s="4">
        <f t="shared" si="5"/>
        <v>3364</v>
      </c>
      <c r="H92" s="5">
        <f>SQRT(SUM('r-native-fixed'!$D$3:D92)/COUNTIF($A$3:A92,"&lt;&gt;0"))</f>
        <v>66.961182785252532</v>
      </c>
    </row>
    <row r="93" spans="1:8">
      <c r="A93">
        <v>91</v>
      </c>
      <c r="B93">
        <v>5</v>
      </c>
      <c r="C93">
        <v>4600</v>
      </c>
      <c r="D93">
        <v>4569</v>
      </c>
      <c r="E93" s="4">
        <f t="shared" si="3"/>
        <v>1</v>
      </c>
      <c r="F93" s="4">
        <f t="shared" si="4"/>
        <v>31</v>
      </c>
      <c r="G93" s="4">
        <f t="shared" si="5"/>
        <v>961</v>
      </c>
      <c r="H93" s="5">
        <f>SQRT(SUM('r-native-fixed'!$D$3:D93)/COUNTIF($A$3:A93,"&lt;&gt;0"))</f>
        <v>66.968173513515083</v>
      </c>
    </row>
    <row r="94" spans="1:8">
      <c r="A94">
        <v>92</v>
      </c>
      <c r="B94">
        <v>5</v>
      </c>
      <c r="C94">
        <v>4600</v>
      </c>
      <c r="D94">
        <v>4619</v>
      </c>
      <c r="E94" s="4">
        <f t="shared" si="3"/>
        <v>1</v>
      </c>
      <c r="F94" s="4">
        <f t="shared" si="4"/>
        <v>19</v>
      </c>
      <c r="G94" s="4">
        <f t="shared" si="5"/>
        <v>361</v>
      </c>
      <c r="H94" s="5">
        <f>SQRT(SUM('r-native-fixed'!$D$3:D94)/COUNTIF($A$3:A94,"&lt;&gt;0"))</f>
        <v>66.979068761620695</v>
      </c>
    </row>
    <row r="95" spans="1:8">
      <c r="A95">
        <v>93</v>
      </c>
      <c r="B95">
        <v>5</v>
      </c>
      <c r="C95">
        <v>4600</v>
      </c>
      <c r="D95">
        <v>4604</v>
      </c>
      <c r="E95" s="4">
        <f t="shared" si="3"/>
        <v>1</v>
      </c>
      <c r="F95" s="4">
        <f t="shared" si="4"/>
        <v>4</v>
      </c>
      <c r="G95" s="4">
        <f t="shared" si="5"/>
        <v>16</v>
      </c>
      <c r="H95" s="5">
        <f>SQRT(SUM('r-native-fixed'!$D$3:D95)/COUNTIF($A$3:A95,"&lt;&gt;0"))</f>
        <v>66.988524133551394</v>
      </c>
    </row>
    <row r="96" spans="1:8">
      <c r="A96">
        <v>94</v>
      </c>
      <c r="B96">
        <v>5</v>
      </c>
      <c r="C96">
        <v>4600</v>
      </c>
      <c r="D96">
        <v>4592</v>
      </c>
      <c r="E96" s="4">
        <f t="shared" si="3"/>
        <v>1</v>
      </c>
      <c r="F96" s="4">
        <f t="shared" si="4"/>
        <v>8</v>
      </c>
      <c r="G96" s="4">
        <f t="shared" si="5"/>
        <v>64</v>
      </c>
      <c r="H96" s="5">
        <f>SQRT(SUM('r-native-fixed'!$D$3:D96)/COUNTIF($A$3:A96,"&lt;&gt;0"))</f>
        <v>66.996824313433748</v>
      </c>
    </row>
    <row r="97" spans="1:8">
      <c r="A97">
        <v>95</v>
      </c>
      <c r="B97">
        <v>5</v>
      </c>
      <c r="C97">
        <v>4600</v>
      </c>
      <c r="D97">
        <v>4635</v>
      </c>
      <c r="E97" s="4">
        <f t="shared" si="3"/>
        <v>1</v>
      </c>
      <c r="F97" s="4">
        <f t="shared" si="4"/>
        <v>35</v>
      </c>
      <c r="G97" s="4">
        <f t="shared" si="5"/>
        <v>1225</v>
      </c>
      <c r="H97" s="5">
        <f>SQRT(SUM('r-native-fixed'!$D$3:D97)/COUNTIF($A$3:A97,"&lt;&gt;0"))</f>
        <v>67.008326269753113</v>
      </c>
    </row>
    <row r="98" spans="1:8">
      <c r="A98">
        <v>96</v>
      </c>
      <c r="B98">
        <v>5</v>
      </c>
      <c r="C98">
        <v>4600</v>
      </c>
      <c r="D98">
        <v>4557</v>
      </c>
      <c r="E98" s="4">
        <f t="shared" si="3"/>
        <v>1</v>
      </c>
      <c r="F98" s="4">
        <f t="shared" si="4"/>
        <v>43</v>
      </c>
      <c r="G98" s="4">
        <f t="shared" si="5"/>
        <v>1849</v>
      </c>
      <c r="H98" s="5">
        <f>SQRT(SUM('r-native-fixed'!$D$3:D98)/COUNTIF($A$3:A98,"&lt;&gt;0"))</f>
        <v>67.013524754335975</v>
      </c>
    </row>
    <row r="99" spans="1:8">
      <c r="A99">
        <v>97</v>
      </c>
      <c r="B99">
        <v>5</v>
      </c>
      <c r="C99">
        <v>4600</v>
      </c>
      <c r="D99">
        <v>4522</v>
      </c>
      <c r="E99" s="4">
        <f t="shared" si="3"/>
        <v>1</v>
      </c>
      <c r="F99" s="4">
        <f t="shared" si="4"/>
        <v>78</v>
      </c>
      <c r="G99" s="4">
        <f t="shared" si="5"/>
        <v>6084</v>
      </c>
      <c r="H99" s="5">
        <f>SQRT(SUM('r-native-fixed'!$D$3:D99)/COUNTIF($A$3:A99,"&lt;&gt;0"))</f>
        <v>67.015923634749356</v>
      </c>
    </row>
    <row r="100" spans="1:8">
      <c r="A100">
        <v>98</v>
      </c>
      <c r="B100">
        <v>5</v>
      </c>
      <c r="C100">
        <v>4600</v>
      </c>
      <c r="D100">
        <v>4472</v>
      </c>
      <c r="E100" s="4">
        <f t="shared" si="3"/>
        <v>1</v>
      </c>
      <c r="F100" s="4">
        <f t="shared" si="4"/>
        <v>128</v>
      </c>
      <c r="G100" s="4">
        <f t="shared" si="5"/>
        <v>16384</v>
      </c>
      <c r="H100" s="5">
        <f>SQRT(SUM('r-native-fixed'!$D$3:D100)/COUNTIF($A$3:A100,"&lt;&gt;0"))</f>
        <v>67.014466912079541</v>
      </c>
    </row>
    <row r="101" spans="1:8">
      <c r="A101">
        <v>99</v>
      </c>
      <c r="B101">
        <v>5</v>
      </c>
      <c r="C101">
        <v>4600</v>
      </c>
      <c r="D101">
        <v>4591</v>
      </c>
      <c r="E101" s="4">
        <f t="shared" si="3"/>
        <v>1</v>
      </c>
      <c r="F101" s="4">
        <f t="shared" si="4"/>
        <v>9</v>
      </c>
      <c r="G101" s="4">
        <f t="shared" si="5"/>
        <v>81</v>
      </c>
      <c r="H101" s="5">
        <f>SQRT(SUM('r-native-fixed'!$D$3:D101)/COUNTIF($A$3:A101,"&lt;&gt;0"))</f>
        <v>67.022007541922335</v>
      </c>
    </row>
    <row r="102" spans="1:8">
      <c r="A102">
        <v>100</v>
      </c>
      <c r="B102">
        <v>5</v>
      </c>
      <c r="C102">
        <v>4600</v>
      </c>
      <c r="D102">
        <v>4575</v>
      </c>
      <c r="E102" s="4">
        <f t="shared" si="3"/>
        <v>1</v>
      </c>
      <c r="F102" s="4">
        <f t="shared" si="4"/>
        <v>25</v>
      </c>
      <c r="G102" s="4">
        <f t="shared" si="5"/>
        <v>625</v>
      </c>
      <c r="H102" s="5">
        <f>SQRT(SUM('r-native-fixed'!$D$3:D102)/COUNTIF($A$3:A102,"&lt;&gt;0"))</f>
        <v>67.028203019326128</v>
      </c>
    </row>
    <row r="103" spans="1:8">
      <c r="A103">
        <v>101</v>
      </c>
      <c r="B103">
        <v>5</v>
      </c>
      <c r="C103">
        <v>4600</v>
      </c>
      <c r="D103">
        <v>4536</v>
      </c>
      <c r="E103" s="4">
        <f t="shared" si="3"/>
        <v>1</v>
      </c>
      <c r="F103" s="4">
        <f t="shared" si="4"/>
        <v>64</v>
      </c>
      <c r="G103" s="4">
        <f t="shared" si="5"/>
        <v>4096</v>
      </c>
      <c r="H103" s="5">
        <f>SQRT(SUM('r-native-fixed'!$D$3:D103)/COUNTIF($A$3:A103,"&lt;&gt;0"))</f>
        <v>67.031395038385398</v>
      </c>
    </row>
    <row r="104" spans="1:8">
      <c r="A104">
        <v>102</v>
      </c>
      <c r="B104">
        <v>5</v>
      </c>
      <c r="C104">
        <v>4600</v>
      </c>
      <c r="D104">
        <v>4322</v>
      </c>
      <c r="E104" s="4">
        <f t="shared" si="3"/>
        <v>1</v>
      </c>
      <c r="F104" s="4">
        <f t="shared" si="4"/>
        <v>278</v>
      </c>
      <c r="G104" s="4">
        <f t="shared" si="5"/>
        <v>77284</v>
      </c>
      <c r="H104" s="5">
        <f>SQRT(SUM('r-native-fixed'!$D$3:D104)/COUNTIF($A$3:A104,"&lt;&gt;0"))</f>
        <v>67.018873548909383</v>
      </c>
    </row>
    <row r="105" spans="1:8">
      <c r="A105">
        <v>103</v>
      </c>
      <c r="B105">
        <v>5</v>
      </c>
      <c r="C105">
        <v>4600</v>
      </c>
      <c r="D105">
        <v>4604</v>
      </c>
      <c r="E105" s="4">
        <f t="shared" si="3"/>
        <v>1</v>
      </c>
      <c r="F105" s="4">
        <f t="shared" si="4"/>
        <v>4</v>
      </c>
      <c r="G105" s="4">
        <f t="shared" si="5"/>
        <v>16</v>
      </c>
      <c r="H105" s="5">
        <f>SQRT(SUM('r-native-fixed'!$D$3:D105)/COUNTIF($A$3:A105,"&lt;&gt;0"))</f>
        <v>67.027019620622397</v>
      </c>
    </row>
    <row r="106" spans="1:8">
      <c r="A106">
        <v>104</v>
      </c>
      <c r="B106">
        <v>5</v>
      </c>
      <c r="C106">
        <v>4600</v>
      </c>
      <c r="D106">
        <v>4538</v>
      </c>
      <c r="E106" s="4">
        <f t="shared" si="3"/>
        <v>1</v>
      </c>
      <c r="F106" s="4">
        <f t="shared" si="4"/>
        <v>62</v>
      </c>
      <c r="G106" s="4">
        <f t="shared" si="5"/>
        <v>3844</v>
      </c>
      <c r="H106" s="5">
        <f>SQRT(SUM('r-native-fixed'!$D$3:D106)/COUNTIF($A$3:A106,"&lt;&gt;0"))</f>
        <v>67.030274446012029</v>
      </c>
    </row>
    <row r="107" spans="1:8">
      <c r="A107">
        <v>105</v>
      </c>
      <c r="B107">
        <v>5</v>
      </c>
      <c r="C107">
        <v>4600</v>
      </c>
      <c r="D107">
        <v>4534</v>
      </c>
      <c r="E107" s="4">
        <f t="shared" si="3"/>
        <v>1</v>
      </c>
      <c r="F107" s="4">
        <f t="shared" si="4"/>
        <v>66</v>
      </c>
      <c r="G107" s="4">
        <f t="shared" si="5"/>
        <v>4356</v>
      </c>
      <c r="H107" s="5">
        <f>SQRT(SUM('r-native-fixed'!$D$3:D107)/COUNTIF($A$3:A107,"&lt;&gt;0"))</f>
        <v>67.03318296968763</v>
      </c>
    </row>
    <row r="108" spans="1:8">
      <c r="A108">
        <v>106</v>
      </c>
      <c r="B108">
        <v>5</v>
      </c>
      <c r="C108">
        <v>4600</v>
      </c>
      <c r="D108">
        <v>4530</v>
      </c>
      <c r="E108" s="4">
        <f t="shared" si="3"/>
        <v>1</v>
      </c>
      <c r="F108" s="4">
        <f t="shared" si="4"/>
        <v>70</v>
      </c>
      <c r="G108" s="4">
        <f t="shared" si="5"/>
        <v>4900</v>
      </c>
      <c r="H108" s="5">
        <f>SQRT(SUM('r-native-fixed'!$D$3:D108)/COUNTIF($A$3:A108,"&lt;&gt;0"))</f>
        <v>67.035755032894116</v>
      </c>
    </row>
    <row r="109" spans="1:8">
      <c r="A109">
        <v>107</v>
      </c>
      <c r="B109">
        <v>5</v>
      </c>
      <c r="C109">
        <v>4600</v>
      </c>
      <c r="D109">
        <v>4584</v>
      </c>
      <c r="E109" s="4">
        <f t="shared" si="3"/>
        <v>1</v>
      </c>
      <c r="F109" s="4">
        <f t="shared" si="4"/>
        <v>16</v>
      </c>
      <c r="G109" s="4">
        <f t="shared" si="5"/>
        <v>256</v>
      </c>
      <c r="H109" s="5">
        <f>SQRT(SUM('r-native-fixed'!$D$3:D109)/COUNTIF($A$3:A109,"&lt;&gt;0"))</f>
        <v>67.042042883691209</v>
      </c>
    </row>
    <row r="110" spans="1:8">
      <c r="A110">
        <v>108</v>
      </c>
      <c r="B110">
        <v>5</v>
      </c>
      <c r="C110">
        <v>4600</v>
      </c>
      <c r="D110">
        <v>4567</v>
      </c>
      <c r="E110" s="4">
        <f t="shared" si="3"/>
        <v>1</v>
      </c>
      <c r="F110" s="4">
        <f t="shared" si="4"/>
        <v>33</v>
      </c>
      <c r="G110" s="4">
        <f t="shared" si="5"/>
        <v>1089</v>
      </c>
      <c r="H110" s="5">
        <f>SQRT(SUM('r-native-fixed'!$D$3:D110)/COUNTIF($A$3:A110,"&lt;&gt;0"))</f>
        <v>67.047039871686778</v>
      </c>
    </row>
    <row r="111" spans="1:8">
      <c r="A111">
        <v>109</v>
      </c>
      <c r="B111">
        <v>5</v>
      </c>
      <c r="C111">
        <v>4600</v>
      </c>
      <c r="D111">
        <v>4342</v>
      </c>
      <c r="E111" s="4">
        <f t="shared" si="3"/>
        <v>1</v>
      </c>
      <c r="F111" s="4">
        <f t="shared" si="4"/>
        <v>258</v>
      </c>
      <c r="G111" s="4">
        <f t="shared" si="5"/>
        <v>66564</v>
      </c>
      <c r="H111" s="5">
        <f>SQRT(SUM('r-native-fixed'!$D$3:D111)/COUNTIF($A$3:A111,"&lt;&gt;0"))</f>
        <v>67.036550348066143</v>
      </c>
    </row>
    <row r="112" spans="1:8">
      <c r="A112">
        <v>110</v>
      </c>
      <c r="B112">
        <v>5</v>
      </c>
      <c r="C112">
        <v>4600</v>
      </c>
      <c r="D112">
        <v>4402</v>
      </c>
      <c r="E112" s="4">
        <f t="shared" si="3"/>
        <v>1</v>
      </c>
      <c r="F112" s="4">
        <f t="shared" si="4"/>
        <v>198</v>
      </c>
      <c r="G112" s="4">
        <f t="shared" si="5"/>
        <v>39204</v>
      </c>
      <c r="H112" s="5">
        <f>SQRT(SUM('r-native-fixed'!$D$3:D112)/COUNTIF($A$3:A112,"&lt;&gt;0"))</f>
        <v>67.030318784589085</v>
      </c>
    </row>
    <row r="113" spans="1:8">
      <c r="A113">
        <v>111</v>
      </c>
      <c r="B113">
        <v>5</v>
      </c>
      <c r="C113">
        <v>4600</v>
      </c>
      <c r="D113">
        <v>4603</v>
      </c>
      <c r="E113" s="4">
        <f t="shared" si="3"/>
        <v>1</v>
      </c>
      <c r="F113" s="4">
        <f t="shared" si="4"/>
        <v>3</v>
      </c>
      <c r="G113" s="4">
        <f t="shared" si="5"/>
        <v>9</v>
      </c>
      <c r="H113" s="5">
        <f>SQRT(SUM('r-native-fixed'!$D$3:D113)/COUNTIF($A$3:A113,"&lt;&gt;0"))</f>
        <v>67.03770621116189</v>
      </c>
    </row>
    <row r="114" spans="1:8">
      <c r="A114">
        <v>112</v>
      </c>
      <c r="B114">
        <v>5</v>
      </c>
      <c r="C114">
        <v>4600</v>
      </c>
      <c r="D114">
        <v>4538</v>
      </c>
      <c r="E114" s="4">
        <f t="shared" si="3"/>
        <v>1</v>
      </c>
      <c r="F114" s="4">
        <f t="shared" si="4"/>
        <v>62</v>
      </c>
      <c r="G114" s="4">
        <f t="shared" si="5"/>
        <v>3844</v>
      </c>
      <c r="H114" s="5">
        <f>SQRT(SUM('r-native-fixed'!$D$3:D114)/COUNTIF($A$3:A114,"&lt;&gt;0"))</f>
        <v>67.04063266834099</v>
      </c>
    </row>
    <row r="115" spans="1:8">
      <c r="A115">
        <v>113</v>
      </c>
      <c r="B115">
        <v>5</v>
      </c>
      <c r="C115">
        <v>4600</v>
      </c>
      <c r="D115">
        <v>4519</v>
      </c>
      <c r="E115" s="4">
        <f t="shared" si="3"/>
        <v>1</v>
      </c>
      <c r="F115" s="4">
        <f t="shared" si="4"/>
        <v>81</v>
      </c>
      <c r="G115" s="4">
        <f t="shared" si="5"/>
        <v>6561</v>
      </c>
      <c r="H115" s="5">
        <f>SQRT(SUM('r-native-fixed'!$D$3:D115)/COUNTIF($A$3:A115,"&lt;&gt;0"))</f>
        <v>67.042253219996709</v>
      </c>
    </row>
    <row r="116" spans="1:8">
      <c r="A116">
        <v>114</v>
      </c>
      <c r="B116">
        <v>5</v>
      </c>
      <c r="C116">
        <v>4600</v>
      </c>
      <c r="D116">
        <v>4618</v>
      </c>
      <c r="E116" s="4">
        <f t="shared" si="3"/>
        <v>1</v>
      </c>
      <c r="F116" s="4">
        <f t="shared" si="4"/>
        <v>18</v>
      </c>
      <c r="G116" s="4">
        <f t="shared" si="5"/>
        <v>324</v>
      </c>
      <c r="H116" s="5">
        <f>SQRT(SUM('r-native-fixed'!$D$3:D116)/COUNTIF($A$3:A116,"&lt;&gt;0"))</f>
        <v>67.050321505829388</v>
      </c>
    </row>
    <row r="117" spans="1:8">
      <c r="A117">
        <v>115</v>
      </c>
      <c r="B117">
        <v>5</v>
      </c>
      <c r="C117">
        <v>4600</v>
      </c>
      <c r="D117">
        <v>4507</v>
      </c>
      <c r="E117" s="4">
        <f t="shared" si="3"/>
        <v>1</v>
      </c>
      <c r="F117" s="4">
        <f t="shared" si="4"/>
        <v>93</v>
      </c>
      <c r="G117" s="4">
        <f t="shared" si="5"/>
        <v>8649</v>
      </c>
      <c r="H117" s="5">
        <f>SQRT(SUM('r-native-fixed'!$D$3:D117)/COUNTIF($A$3:A117,"&lt;&gt;0"))</f>
        <v>67.051051283785768</v>
      </c>
    </row>
    <row r="118" spans="1:8">
      <c r="A118">
        <v>116</v>
      </c>
      <c r="B118">
        <v>5</v>
      </c>
      <c r="C118">
        <v>4600</v>
      </c>
      <c r="D118">
        <v>4501</v>
      </c>
      <c r="E118" s="4">
        <f t="shared" si="3"/>
        <v>1</v>
      </c>
      <c r="F118" s="4">
        <f t="shared" si="4"/>
        <v>99</v>
      </c>
      <c r="G118" s="4">
        <f t="shared" si="5"/>
        <v>9801</v>
      </c>
      <c r="H118" s="5">
        <f>SQRT(SUM('r-native-fixed'!$D$3:D118)/COUNTIF($A$3:A118,"&lt;&gt;0"))</f>
        <v>67.051382767505117</v>
      </c>
    </row>
    <row r="119" spans="1:8">
      <c r="A119">
        <v>117</v>
      </c>
      <c r="B119">
        <v>5</v>
      </c>
      <c r="C119">
        <v>4600</v>
      </c>
      <c r="D119">
        <v>4513</v>
      </c>
      <c r="E119" s="4">
        <f t="shared" si="3"/>
        <v>1</v>
      </c>
      <c r="F119" s="4">
        <f t="shared" si="4"/>
        <v>87</v>
      </c>
      <c r="G119" s="4">
        <f t="shared" si="5"/>
        <v>7569</v>
      </c>
      <c r="H119" s="5">
        <f>SQRT(SUM('r-native-fixed'!$D$3:D119)/COUNTIF($A$3:A119,"&lt;&gt;0"))</f>
        <v>67.052473392367773</v>
      </c>
    </row>
    <row r="120" spans="1:8">
      <c r="A120">
        <v>118</v>
      </c>
      <c r="B120">
        <v>5</v>
      </c>
      <c r="C120">
        <v>4600</v>
      </c>
      <c r="D120">
        <v>4532</v>
      </c>
      <c r="E120" s="4">
        <f t="shared" si="3"/>
        <v>1</v>
      </c>
      <c r="F120" s="4">
        <f t="shared" si="4"/>
        <v>68</v>
      </c>
      <c r="G120" s="4">
        <f t="shared" si="5"/>
        <v>4624</v>
      </c>
      <c r="H120" s="5">
        <f>SQRT(SUM('r-native-fixed'!$D$3:D120)/COUNTIF($A$3:A120,"&lt;&gt;0"))</f>
        <v>67.05474616349575</v>
      </c>
    </row>
    <row r="121" spans="1:8">
      <c r="A121">
        <v>119</v>
      </c>
      <c r="B121">
        <v>5</v>
      </c>
      <c r="C121">
        <v>4600</v>
      </c>
      <c r="D121">
        <v>4567</v>
      </c>
      <c r="E121" s="4">
        <f t="shared" si="3"/>
        <v>1</v>
      </c>
      <c r="F121" s="4">
        <f t="shared" si="4"/>
        <v>33</v>
      </c>
      <c r="G121" s="4">
        <f t="shared" si="5"/>
        <v>1089</v>
      </c>
      <c r="H121" s="5">
        <f>SQRT(SUM('r-native-fixed'!$D$3:D121)/COUNTIF($A$3:A121,"&lt;&gt;0"))</f>
        <v>67.059173668553683</v>
      </c>
    </row>
    <row r="122" spans="1:8">
      <c r="A122">
        <v>120</v>
      </c>
      <c r="B122">
        <v>5</v>
      </c>
      <c r="C122">
        <v>4600</v>
      </c>
      <c r="D122">
        <v>4050</v>
      </c>
      <c r="E122" s="4">
        <f t="shared" si="3"/>
        <v>1</v>
      </c>
      <c r="F122" s="4">
        <f t="shared" si="4"/>
        <v>550</v>
      </c>
      <c r="G122" s="4">
        <f t="shared" si="5"/>
        <v>302500</v>
      </c>
      <c r="H122" s="5">
        <f>SQRT(SUM('r-native-fixed'!$D$3:D122)/COUNTIF($A$3:A122,"&lt;&gt;0"))</f>
        <v>67.031398115609477</v>
      </c>
    </row>
    <row r="123" spans="1:8">
      <c r="A123">
        <v>121</v>
      </c>
      <c r="B123">
        <v>5</v>
      </c>
      <c r="C123">
        <v>4600</v>
      </c>
      <c r="D123">
        <v>4490</v>
      </c>
      <c r="E123" s="4">
        <f t="shared" si="3"/>
        <v>1</v>
      </c>
      <c r="F123" s="4">
        <f t="shared" si="4"/>
        <v>110</v>
      </c>
      <c r="G123" s="4">
        <f t="shared" si="5"/>
        <v>12100</v>
      </c>
      <c r="H123" s="5">
        <f>SQRT(SUM('r-native-fixed'!$D$3:D123)/COUNTIF($A$3:A123,"&lt;&gt;0"))</f>
        <v>67.031200333738752</v>
      </c>
    </row>
    <row r="124" spans="1:8">
      <c r="A124">
        <v>122</v>
      </c>
      <c r="B124">
        <v>5</v>
      </c>
      <c r="C124">
        <v>4600</v>
      </c>
      <c r="D124">
        <v>4472</v>
      </c>
      <c r="E124" s="4">
        <f t="shared" si="3"/>
        <v>1</v>
      </c>
      <c r="F124" s="4">
        <f t="shared" si="4"/>
        <v>128</v>
      </c>
      <c r="G124" s="4">
        <f t="shared" si="5"/>
        <v>16384</v>
      </c>
      <c r="H124" s="5">
        <f>SQRT(SUM('r-native-fixed'!$D$3:D124)/COUNTIF($A$3:A124,"&lt;&gt;0"))</f>
        <v>67.029905241774827</v>
      </c>
    </row>
    <row r="125" spans="1:8">
      <c r="A125">
        <v>123</v>
      </c>
      <c r="B125">
        <v>5</v>
      </c>
      <c r="C125">
        <v>4600</v>
      </c>
      <c r="D125">
        <v>4606</v>
      </c>
      <c r="E125" s="4">
        <f t="shared" si="3"/>
        <v>1</v>
      </c>
      <c r="F125" s="4">
        <f t="shared" si="4"/>
        <v>6</v>
      </c>
      <c r="G125" s="4">
        <f t="shared" si="5"/>
        <v>36</v>
      </c>
      <c r="H125" s="5">
        <f>SQRT(SUM('r-native-fixed'!$D$3:D125)/COUNTIF($A$3:A125,"&lt;&gt;0"))</f>
        <v>67.036757299770201</v>
      </c>
    </row>
    <row r="126" spans="1:8">
      <c r="A126">
        <v>124</v>
      </c>
      <c r="B126">
        <v>5</v>
      </c>
      <c r="C126">
        <v>4600</v>
      </c>
      <c r="D126">
        <v>4568</v>
      </c>
      <c r="E126" s="4">
        <f t="shared" si="3"/>
        <v>1</v>
      </c>
      <c r="F126" s="4">
        <f t="shared" si="4"/>
        <v>32</v>
      </c>
      <c r="G126" s="4">
        <f t="shared" si="5"/>
        <v>1024</v>
      </c>
      <c r="H126" s="5">
        <f>SQRT(SUM('r-native-fixed'!$D$3:D126)/COUNTIF($A$3:A126,"&lt;&gt;0"))</f>
        <v>67.041212649745432</v>
      </c>
    </row>
    <row r="127" spans="1:8">
      <c r="A127">
        <v>125</v>
      </c>
      <c r="B127">
        <v>5</v>
      </c>
      <c r="C127">
        <v>4600</v>
      </c>
      <c r="D127">
        <v>4600</v>
      </c>
      <c r="E127" s="4">
        <f t="shared" si="3"/>
        <v>1</v>
      </c>
      <c r="F127" s="4">
        <f t="shared" si="4"/>
        <v>0</v>
      </c>
      <c r="G127" s="4">
        <f t="shared" si="5"/>
        <v>0</v>
      </c>
      <c r="H127" s="5">
        <f>SQRT(SUM('r-native-fixed'!$D$3:D127)/COUNTIF($A$3:A127,"&lt;&gt;0"))</f>
        <v>67.047505546440732</v>
      </c>
    </row>
    <row r="128" spans="1:8">
      <c r="A128">
        <v>126</v>
      </c>
      <c r="B128">
        <v>5</v>
      </c>
      <c r="C128">
        <v>4600</v>
      </c>
      <c r="D128">
        <v>4591</v>
      </c>
      <c r="E128" s="4">
        <f t="shared" si="3"/>
        <v>1</v>
      </c>
      <c r="F128" s="4">
        <f t="shared" si="4"/>
        <v>9</v>
      </c>
      <c r="G128" s="4">
        <f t="shared" si="5"/>
        <v>81</v>
      </c>
      <c r="H128" s="5">
        <f>SQRT(SUM('r-native-fixed'!$D$3:D128)/COUNTIF($A$3:A128,"&lt;&gt;0"))</f>
        <v>67.053165355014997</v>
      </c>
    </row>
    <row r="129" spans="1:8">
      <c r="A129">
        <v>127</v>
      </c>
      <c r="B129">
        <v>5</v>
      </c>
      <c r="C129">
        <v>4600</v>
      </c>
      <c r="D129">
        <v>4553</v>
      </c>
      <c r="E129" s="4">
        <f t="shared" si="3"/>
        <v>1</v>
      </c>
      <c r="F129" s="4">
        <f t="shared" si="4"/>
        <v>47</v>
      </c>
      <c r="G129" s="4">
        <f t="shared" si="5"/>
        <v>2209</v>
      </c>
      <c r="H129" s="5">
        <f>SQRT(SUM('r-native-fixed'!$D$3:D129)/COUNTIF($A$3:A129,"&lt;&gt;0"))</f>
        <v>67.056504555110877</v>
      </c>
    </row>
    <row r="130" spans="1:8">
      <c r="A130">
        <v>128</v>
      </c>
      <c r="B130">
        <v>5</v>
      </c>
      <c r="C130">
        <v>4600</v>
      </c>
      <c r="D130">
        <v>4510</v>
      </c>
      <c r="E130" s="4">
        <f t="shared" si="3"/>
        <v>1</v>
      </c>
      <c r="F130" s="4">
        <f t="shared" si="4"/>
        <v>90</v>
      </c>
      <c r="G130" s="4">
        <f t="shared" si="5"/>
        <v>8100</v>
      </c>
      <c r="H130" s="5">
        <f>SQRT(SUM('r-native-fixed'!$D$3:D130)/COUNTIF($A$3:A130,"&lt;&gt;0"))</f>
        <v>67.057286610032165</v>
      </c>
    </row>
    <row r="131" spans="1:8">
      <c r="A131">
        <v>129</v>
      </c>
      <c r="B131">
        <v>5</v>
      </c>
      <c r="C131">
        <v>4600</v>
      </c>
      <c r="D131">
        <v>4526</v>
      </c>
      <c r="E131" s="4">
        <f t="shared" si="3"/>
        <v>1</v>
      </c>
      <c r="F131" s="4">
        <f t="shared" si="4"/>
        <v>74</v>
      </c>
      <c r="G131" s="4">
        <f t="shared" si="5"/>
        <v>5476</v>
      </c>
      <c r="H131" s="5">
        <f>SQRT(SUM('r-native-fixed'!$D$3:D131)/COUNTIF($A$3:A131,"&lt;&gt;0"))</f>
        <v>67.058981327963721</v>
      </c>
    </row>
    <row r="132" spans="1:8">
      <c r="A132">
        <v>130</v>
      </c>
      <c r="B132">
        <v>5</v>
      </c>
      <c r="C132">
        <v>4600</v>
      </c>
      <c r="D132">
        <v>4545</v>
      </c>
      <c r="E132" s="4">
        <f t="shared" ref="E132:E152" si="6">IF(AND(D132&lt;=C132*1.2,D132&gt;=C132*0.8),1,0)</f>
        <v>1</v>
      </c>
      <c r="F132" s="4">
        <f t="shared" ref="F132:F152" si="7">ABS(C132-D132)</f>
        <v>55</v>
      </c>
      <c r="G132" s="4">
        <f t="shared" ref="G132:G152" si="8">POWER(F132,2)</f>
        <v>3025</v>
      </c>
      <c r="H132" s="5">
        <f>SQRT(SUM('r-native-fixed'!$D$3:D132)/COUNTIF($A$3:A132,"&lt;&gt;0"))</f>
        <v>67.06173963652391</v>
      </c>
    </row>
    <row r="133" spans="1:8">
      <c r="A133">
        <v>131</v>
      </c>
      <c r="B133">
        <v>5</v>
      </c>
      <c r="C133">
        <v>4600</v>
      </c>
      <c r="D133">
        <v>4593</v>
      </c>
      <c r="E133" s="4">
        <f t="shared" si="6"/>
        <v>1</v>
      </c>
      <c r="F133" s="4">
        <f t="shared" si="7"/>
        <v>7</v>
      </c>
      <c r="G133" s="4">
        <f t="shared" si="8"/>
        <v>49</v>
      </c>
      <c r="H133" s="5">
        <f>SQRT(SUM('r-native-fixed'!$D$3:D133)/COUNTIF($A$3:A133,"&lt;&gt;0"))</f>
        <v>67.067187458456814</v>
      </c>
    </row>
    <row r="134" spans="1:8">
      <c r="A134">
        <v>132</v>
      </c>
      <c r="B134">
        <v>5</v>
      </c>
      <c r="C134">
        <v>4600</v>
      </c>
      <c r="D134">
        <v>4529</v>
      </c>
      <c r="E134" s="4">
        <f t="shared" si="6"/>
        <v>1</v>
      </c>
      <c r="F134" s="4">
        <f t="shared" si="7"/>
        <v>71</v>
      </c>
      <c r="G134" s="4">
        <f t="shared" si="8"/>
        <v>5041</v>
      </c>
      <c r="H134" s="5">
        <f>SQRT(SUM('r-native-fixed'!$D$3:D134)/COUNTIF($A$3:A134,"&lt;&gt;0"))</f>
        <v>67.068937849368268</v>
      </c>
    </row>
    <row r="135" spans="1:8">
      <c r="A135">
        <v>133</v>
      </c>
      <c r="B135">
        <v>5</v>
      </c>
      <c r="C135">
        <v>4600</v>
      </c>
      <c r="D135">
        <v>4410</v>
      </c>
      <c r="E135" s="4">
        <f t="shared" si="6"/>
        <v>1</v>
      </c>
      <c r="F135" s="4">
        <f t="shared" si="7"/>
        <v>190</v>
      </c>
      <c r="G135" s="4">
        <f t="shared" si="8"/>
        <v>36100</v>
      </c>
      <c r="H135" s="5">
        <f>SQRT(SUM('r-native-fixed'!$D$3:D135)/COUNTIF($A$3:A135,"&lt;&gt;0"))</f>
        <v>67.063991436302246</v>
      </c>
    </row>
    <row r="136" spans="1:8">
      <c r="A136">
        <v>134</v>
      </c>
      <c r="B136">
        <v>5</v>
      </c>
      <c r="C136">
        <v>4600</v>
      </c>
      <c r="D136">
        <v>4450</v>
      </c>
      <c r="E136" s="4">
        <f t="shared" si="6"/>
        <v>1</v>
      </c>
      <c r="F136" s="4">
        <f t="shared" si="7"/>
        <v>150</v>
      </c>
      <c r="G136" s="4">
        <f t="shared" si="8"/>
        <v>22500</v>
      </c>
      <c r="H136" s="5">
        <f>SQRT(SUM('r-native-fixed'!$D$3:D136)/COUNTIF($A$3:A136,"&lt;&gt;0"))</f>
        <v>67.061344160380614</v>
      </c>
    </row>
    <row r="137" spans="1:8">
      <c r="A137">
        <v>135</v>
      </c>
      <c r="B137">
        <v>5</v>
      </c>
      <c r="C137">
        <v>4600</v>
      </c>
      <c r="D137">
        <v>4571</v>
      </c>
      <c r="E137" s="4">
        <f t="shared" si="6"/>
        <v>1</v>
      </c>
      <c r="F137" s="4">
        <f t="shared" si="7"/>
        <v>29</v>
      </c>
      <c r="G137" s="4">
        <f t="shared" si="8"/>
        <v>841</v>
      </c>
      <c r="H137" s="5">
        <f>SQRT(SUM('r-native-fixed'!$D$3:D137)/COUNTIF($A$3:A137,"&lt;&gt;0"))</f>
        <v>67.06541858790095</v>
      </c>
    </row>
    <row r="138" spans="1:8">
      <c r="A138">
        <v>136</v>
      </c>
      <c r="B138">
        <v>5</v>
      </c>
      <c r="C138">
        <v>4600</v>
      </c>
      <c r="D138">
        <v>4560</v>
      </c>
      <c r="E138" s="4">
        <f t="shared" si="6"/>
        <v>1</v>
      </c>
      <c r="F138" s="4">
        <f t="shared" si="7"/>
        <v>40</v>
      </c>
      <c r="G138" s="4">
        <f t="shared" si="8"/>
        <v>1600</v>
      </c>
      <c r="H138" s="5">
        <f>SQRT(SUM('r-native-fixed'!$D$3:D138)/COUNTIF($A$3:A138,"&lt;&gt;0"))</f>
        <v>67.068829877793974</v>
      </c>
    </row>
    <row r="139" spans="1:8">
      <c r="A139">
        <v>137</v>
      </c>
      <c r="B139">
        <v>5</v>
      </c>
      <c r="C139">
        <v>4600</v>
      </c>
      <c r="D139">
        <v>4629</v>
      </c>
      <c r="E139" s="4">
        <f t="shared" si="6"/>
        <v>1</v>
      </c>
      <c r="F139" s="4">
        <f t="shared" si="7"/>
        <v>29</v>
      </c>
      <c r="G139" s="4">
        <f t="shared" si="8"/>
        <v>841</v>
      </c>
      <c r="H139" s="5">
        <f>SQRT(SUM('r-native-fixed'!$D$3:D139)/COUNTIF($A$3:A139,"&lt;&gt;0"))</f>
        <v>67.075945626966927</v>
      </c>
    </row>
    <row r="140" spans="1:8">
      <c r="A140">
        <v>138</v>
      </c>
      <c r="B140">
        <v>5</v>
      </c>
      <c r="C140">
        <v>4600</v>
      </c>
      <c r="D140">
        <v>4561</v>
      </c>
      <c r="E140" s="4">
        <f t="shared" si="6"/>
        <v>1</v>
      </c>
      <c r="F140" s="4">
        <f t="shared" si="7"/>
        <v>39</v>
      </c>
      <c r="G140" s="4">
        <f t="shared" si="8"/>
        <v>1521</v>
      </c>
      <c r="H140" s="5">
        <f>SQRT(SUM('r-native-fixed'!$D$3:D140)/COUNTIF($A$3:A140,"&lt;&gt;0"))</f>
        <v>67.079284691942036</v>
      </c>
    </row>
    <row r="141" spans="1:8">
      <c r="A141">
        <v>139</v>
      </c>
      <c r="B141">
        <v>5</v>
      </c>
      <c r="C141">
        <v>4600</v>
      </c>
      <c r="D141">
        <v>4544</v>
      </c>
      <c r="E141" s="4">
        <f t="shared" si="6"/>
        <v>1</v>
      </c>
      <c r="F141" s="4">
        <f t="shared" si="7"/>
        <v>56</v>
      </c>
      <c r="G141" s="4">
        <f t="shared" si="8"/>
        <v>3136</v>
      </c>
      <c r="H141" s="5">
        <f>SQRT(SUM('r-native-fixed'!$D$3:D141)/COUNTIF($A$3:A141,"&lt;&gt;0"))</f>
        <v>67.081663964810602</v>
      </c>
    </row>
    <row r="142" spans="1:8">
      <c r="A142">
        <v>140</v>
      </c>
      <c r="B142">
        <v>5</v>
      </c>
      <c r="C142">
        <v>4600</v>
      </c>
      <c r="D142">
        <v>4531</v>
      </c>
      <c r="E142" s="4">
        <f t="shared" si="6"/>
        <v>1</v>
      </c>
      <c r="F142" s="4">
        <f t="shared" si="7"/>
        <v>69</v>
      </c>
      <c r="G142" s="4">
        <f t="shared" si="8"/>
        <v>4761</v>
      </c>
      <c r="H142" s="5">
        <f>SQRT(SUM('r-native-fixed'!$D$3:D142)/COUNTIF($A$3:A142,"&lt;&gt;0"))</f>
        <v>67.083317065954844</v>
      </c>
    </row>
    <row r="143" spans="1:8">
      <c r="A143">
        <v>141</v>
      </c>
      <c r="B143">
        <v>5</v>
      </c>
      <c r="C143">
        <v>4600</v>
      </c>
      <c r="D143">
        <v>4443</v>
      </c>
      <c r="E143" s="4">
        <f t="shared" si="6"/>
        <v>1</v>
      </c>
      <c r="F143" s="4">
        <f t="shared" si="7"/>
        <v>157</v>
      </c>
      <c r="G143" s="4">
        <f t="shared" si="8"/>
        <v>24649</v>
      </c>
      <c r="H143" s="5">
        <f>SQRT(SUM('r-native-fixed'!$D$3:D143)/COUNTIF($A$3:A143,"&lt;&gt;0"))</f>
        <v>67.080294852115912</v>
      </c>
    </row>
    <row r="144" spans="1:8">
      <c r="A144">
        <v>142</v>
      </c>
      <c r="B144">
        <v>5</v>
      </c>
      <c r="C144">
        <v>4600</v>
      </c>
      <c r="D144">
        <v>4559</v>
      </c>
      <c r="E144" s="4">
        <f t="shared" si="6"/>
        <v>1</v>
      </c>
      <c r="F144" s="4">
        <f t="shared" si="7"/>
        <v>41</v>
      </c>
      <c r="G144" s="4">
        <f t="shared" si="8"/>
        <v>1681</v>
      </c>
      <c r="H144" s="5">
        <f>SQRT(SUM('r-native-fixed'!$D$3:D144)/COUNTIF($A$3:A144,"&lt;&gt;0"))</f>
        <v>67.083404047435977</v>
      </c>
    </row>
    <row r="145" spans="1:8">
      <c r="A145">
        <v>143</v>
      </c>
      <c r="B145">
        <v>5</v>
      </c>
      <c r="C145">
        <v>4600</v>
      </c>
      <c r="D145">
        <v>4562</v>
      </c>
      <c r="E145" s="4">
        <f t="shared" si="6"/>
        <v>1</v>
      </c>
      <c r="F145" s="4">
        <f t="shared" si="7"/>
        <v>38</v>
      </c>
      <c r="G145" s="4">
        <f t="shared" si="8"/>
        <v>1444</v>
      </c>
      <c r="H145" s="5">
        <f>SQRT(SUM('r-native-fixed'!$D$3:D145)/COUNTIF($A$3:A145,"&lt;&gt;0"))</f>
        <v>67.086625974298215</v>
      </c>
    </row>
    <row r="146" spans="1:8">
      <c r="A146">
        <v>144</v>
      </c>
      <c r="B146">
        <v>5</v>
      </c>
      <c r="C146">
        <v>4600</v>
      </c>
      <c r="D146">
        <v>4564</v>
      </c>
      <c r="E146" s="4">
        <f t="shared" si="6"/>
        <v>1</v>
      </c>
      <c r="F146" s="4">
        <f t="shared" si="7"/>
        <v>36</v>
      </c>
      <c r="G146" s="4">
        <f t="shared" si="8"/>
        <v>1296</v>
      </c>
      <c r="H146" s="5">
        <f>SQRT(SUM('r-native-fixed'!$D$3:D146)/COUNTIF($A$3:A146,"&lt;&gt;0"))</f>
        <v>67.08990651026096</v>
      </c>
    </row>
    <row r="147" spans="1:8">
      <c r="A147">
        <v>145</v>
      </c>
      <c r="B147">
        <v>5</v>
      </c>
      <c r="C147">
        <v>4600</v>
      </c>
      <c r="D147">
        <v>4457</v>
      </c>
      <c r="E147" s="4">
        <f t="shared" si="6"/>
        <v>1</v>
      </c>
      <c r="F147" s="4">
        <f t="shared" si="7"/>
        <v>143</v>
      </c>
      <c r="G147" s="4">
        <f t="shared" si="8"/>
        <v>20449</v>
      </c>
      <c r="H147" s="5">
        <f>SQRT(SUM('r-native-fixed'!$D$3:D147)/COUNTIF($A$3:A147,"&lt;&gt;0"))</f>
        <v>67.087642111926485</v>
      </c>
    </row>
    <row r="148" spans="1:8">
      <c r="A148">
        <v>146</v>
      </c>
      <c r="B148">
        <v>5</v>
      </c>
      <c r="C148">
        <v>4600</v>
      </c>
      <c r="D148">
        <v>4364</v>
      </c>
      <c r="E148" s="4">
        <f t="shared" si="6"/>
        <v>1</v>
      </c>
      <c r="F148" s="4">
        <f t="shared" si="7"/>
        <v>236</v>
      </c>
      <c r="G148" s="4">
        <f t="shared" si="8"/>
        <v>55696</v>
      </c>
      <c r="H148" s="5">
        <f>SQRT(SUM('r-native-fixed'!$D$3:D148)/COUNTIF($A$3:A148,"&lt;&gt;0"))</f>
        <v>67.080660912763449</v>
      </c>
    </row>
    <row r="149" spans="1:8">
      <c r="A149">
        <v>147</v>
      </c>
      <c r="B149">
        <v>5</v>
      </c>
      <c r="C149">
        <v>4600</v>
      </c>
      <c r="D149">
        <v>4583</v>
      </c>
      <c r="E149" s="4">
        <f t="shared" si="6"/>
        <v>1</v>
      </c>
      <c r="F149" s="4">
        <f t="shared" si="7"/>
        <v>17</v>
      </c>
      <c r="G149" s="4">
        <f t="shared" si="8"/>
        <v>289</v>
      </c>
      <c r="H149" s="5">
        <f>SQRT(SUM('r-native-fixed'!$D$3:D149)/COUNTIF($A$3:A149,"&lt;&gt;0"))</f>
        <v>67.084878716302029</v>
      </c>
    </row>
    <row r="150" spans="1:8">
      <c r="A150">
        <v>148</v>
      </c>
      <c r="B150">
        <v>5</v>
      </c>
      <c r="C150">
        <v>4600</v>
      </c>
      <c r="D150">
        <v>4485</v>
      </c>
      <c r="E150" s="4">
        <f t="shared" si="6"/>
        <v>1</v>
      </c>
      <c r="F150" s="4">
        <f t="shared" si="7"/>
        <v>115</v>
      </c>
      <c r="G150" s="4">
        <f t="shared" si="8"/>
        <v>13225</v>
      </c>
      <c r="H150" s="5">
        <f>SQRT(SUM('r-native-fixed'!$D$3:D150)/COUNTIF($A$3:A150,"&lt;&gt;0"))</f>
        <v>67.084104130762796</v>
      </c>
    </row>
    <row r="151" spans="1:8">
      <c r="A151">
        <v>149</v>
      </c>
      <c r="B151">
        <v>5</v>
      </c>
      <c r="C151">
        <v>4600</v>
      </c>
      <c r="D151">
        <v>4538</v>
      </c>
      <c r="E151" s="4">
        <f t="shared" si="6"/>
        <v>1</v>
      </c>
      <c r="F151" s="4">
        <f t="shared" si="7"/>
        <v>62</v>
      </c>
      <c r="G151" s="4">
        <f t="shared" si="8"/>
        <v>3844</v>
      </c>
      <c r="H151" s="5">
        <f>SQRT(SUM('r-native-fixed'!$D$3:D151)/COUNTIF($A$3:A151,"&lt;&gt;0"))</f>
        <v>67.08599109607222</v>
      </c>
    </row>
    <row r="152" spans="1:8">
      <c r="A152">
        <v>150</v>
      </c>
      <c r="B152">
        <v>5</v>
      </c>
      <c r="C152">
        <v>4600</v>
      </c>
      <c r="D152">
        <v>4577</v>
      </c>
      <c r="E152" s="4">
        <f t="shared" si="6"/>
        <v>1</v>
      </c>
      <c r="F152" s="4">
        <f t="shared" si="7"/>
        <v>23</v>
      </c>
      <c r="G152" s="4">
        <f t="shared" si="8"/>
        <v>529</v>
      </c>
      <c r="H152" s="5">
        <f>SQRT(SUM('r-native-fixed'!$D$3:D152)/COUNTIF($A$3:A152,"&lt;&gt;0"))</f>
        <v>67.089790579491307</v>
      </c>
    </row>
    <row r="153" spans="1:8">
      <c r="A153"/>
      <c r="B153"/>
      <c r="C153"/>
      <c r="D153"/>
      <c r="H153" s="5"/>
    </row>
    <row r="154" spans="1:8">
      <c r="A154"/>
      <c r="B154"/>
      <c r="C154"/>
      <c r="D154"/>
      <c r="H154" s="5"/>
    </row>
    <row r="155" spans="1:8">
      <c r="A155"/>
      <c r="B155"/>
      <c r="C155"/>
      <c r="D155"/>
      <c r="H155" s="5"/>
    </row>
    <row r="156" spans="1:8">
      <c r="A156"/>
      <c r="B156"/>
      <c r="C156"/>
      <c r="D156"/>
      <c r="H156" s="5"/>
    </row>
    <row r="157" spans="1:8">
      <c r="A157"/>
      <c r="B157"/>
      <c r="C157"/>
      <c r="D157"/>
      <c r="H157" s="5"/>
    </row>
    <row r="158" spans="1:8">
      <c r="A158"/>
      <c r="B158"/>
      <c r="C158"/>
      <c r="D158"/>
      <c r="H158" s="5"/>
    </row>
    <row r="159" spans="1:8">
      <c r="A159"/>
      <c r="B159"/>
      <c r="C159"/>
      <c r="D159"/>
      <c r="H159" s="5"/>
    </row>
    <row r="160" spans="1:8">
      <c r="A160"/>
      <c r="B160"/>
      <c r="C160"/>
      <c r="D160"/>
      <c r="H160" s="5"/>
    </row>
    <row r="161" spans="1:8">
      <c r="A161"/>
      <c r="B161"/>
      <c r="C161"/>
      <c r="D161"/>
      <c r="H161" s="5"/>
    </row>
    <row r="162" spans="1:8">
      <c r="A162"/>
      <c r="B162"/>
      <c r="C162"/>
      <c r="D162"/>
      <c r="H162" s="5"/>
    </row>
    <row r="163" spans="1:8">
      <c r="A163"/>
      <c r="B163"/>
      <c r="C163"/>
      <c r="D163"/>
      <c r="H163" s="5"/>
    </row>
    <row r="164" spans="1:8">
      <c r="A164"/>
      <c r="B164"/>
      <c r="C164"/>
      <c r="D164"/>
      <c r="H164" s="5"/>
    </row>
    <row r="165" spans="1:8">
      <c r="A165"/>
      <c r="B165"/>
      <c r="C165"/>
      <c r="D165"/>
      <c r="H165" s="5"/>
    </row>
    <row r="166" spans="1:8">
      <c r="A166"/>
      <c r="B166"/>
      <c r="C166"/>
      <c r="D166"/>
      <c r="H166" s="5"/>
    </row>
    <row r="167" spans="1:8">
      <c r="A167"/>
      <c r="B167"/>
      <c r="C167"/>
      <c r="D167"/>
      <c r="H167" s="5"/>
    </row>
    <row r="168" spans="1:8">
      <c r="A168"/>
      <c r="B168"/>
      <c r="C168"/>
      <c r="D168"/>
      <c r="H168" s="5"/>
    </row>
    <row r="169" spans="1:8">
      <c r="A169"/>
      <c r="B169"/>
      <c r="C169"/>
      <c r="D169"/>
      <c r="H169" s="5"/>
    </row>
    <row r="170" spans="1:8">
      <c r="A170"/>
      <c r="B170"/>
      <c r="C170"/>
      <c r="D170"/>
      <c r="H170" s="5"/>
    </row>
    <row r="171" spans="1:8">
      <c r="A171"/>
      <c r="B171"/>
      <c r="C171"/>
      <c r="D171"/>
      <c r="H171" s="5"/>
    </row>
    <row r="172" spans="1:8">
      <c r="A172"/>
      <c r="B172"/>
      <c r="C172"/>
      <c r="D172"/>
      <c r="H172" s="5"/>
    </row>
    <row r="173" spans="1:8">
      <c r="A173"/>
      <c r="B173"/>
      <c r="C173"/>
      <c r="D173"/>
      <c r="H173" s="5"/>
    </row>
    <row r="174" spans="1:8">
      <c r="A174"/>
      <c r="B174"/>
      <c r="C174"/>
      <c r="D174"/>
      <c r="H174" s="5"/>
    </row>
    <row r="175" spans="1:8">
      <c r="A175"/>
      <c r="B175"/>
      <c r="C175"/>
      <c r="D175"/>
      <c r="H175" s="5"/>
    </row>
    <row r="176" spans="1:8">
      <c r="A176"/>
      <c r="B176"/>
      <c r="C176"/>
      <c r="D176"/>
      <c r="H176" s="5"/>
    </row>
    <row r="177" spans="1:8">
      <c r="A177"/>
      <c r="B177"/>
      <c r="C177"/>
      <c r="D177"/>
      <c r="H177" s="5"/>
    </row>
    <row r="178" spans="1:8">
      <c r="A178"/>
      <c r="B178"/>
      <c r="C178"/>
      <c r="D178"/>
      <c r="H178" s="5"/>
    </row>
    <row r="179" spans="1:8">
      <c r="A179"/>
      <c r="B179"/>
      <c r="C179"/>
      <c r="D179"/>
      <c r="H179" s="5"/>
    </row>
    <row r="180" spans="1:8">
      <c r="A180"/>
      <c r="B180"/>
      <c r="C180"/>
      <c r="D180"/>
      <c r="H180" s="5"/>
    </row>
    <row r="181" spans="1:8">
      <c r="A181"/>
      <c r="B181"/>
      <c r="C181"/>
      <c r="D181"/>
      <c r="H181" s="5"/>
    </row>
    <row r="182" spans="1:8">
      <c r="A182"/>
      <c r="B182"/>
      <c r="C182"/>
      <c r="D182"/>
      <c r="H182" s="5"/>
    </row>
    <row r="183" spans="1:8">
      <c r="A183"/>
      <c r="B183"/>
      <c r="C183"/>
      <c r="D183"/>
      <c r="H183" s="5"/>
    </row>
    <row r="184" spans="1:8">
      <c r="A184"/>
      <c r="B184"/>
      <c r="C184"/>
      <c r="D184"/>
      <c r="H184" s="5"/>
    </row>
    <row r="185" spans="1:8">
      <c r="A185"/>
      <c r="B185"/>
      <c r="C185"/>
      <c r="D185"/>
      <c r="H185" s="5"/>
    </row>
    <row r="186" spans="1:8">
      <c r="A186"/>
      <c r="B186"/>
      <c r="C186"/>
      <c r="D186"/>
      <c r="H186" s="5"/>
    </row>
    <row r="187" spans="1:8">
      <c r="A187"/>
      <c r="B187"/>
      <c r="C187"/>
      <c r="D187"/>
      <c r="H187" s="5"/>
    </row>
    <row r="188" spans="1:8">
      <c r="A188"/>
      <c r="B188"/>
      <c r="C188"/>
      <c r="D188"/>
      <c r="H188" s="5"/>
    </row>
    <row r="189" spans="1:8">
      <c r="A189"/>
      <c r="B189"/>
      <c r="C189"/>
      <c r="D189"/>
      <c r="H189" s="5"/>
    </row>
    <row r="190" spans="1:8">
      <c r="A190"/>
      <c r="B190"/>
      <c r="C190"/>
      <c r="D190"/>
      <c r="H190" s="5"/>
    </row>
    <row r="191" spans="1:8">
      <c r="A191"/>
      <c r="B191"/>
      <c r="C191"/>
      <c r="D191"/>
      <c r="H191" s="5"/>
    </row>
    <row r="192" spans="1:8">
      <c r="A192"/>
      <c r="B192"/>
      <c r="C192"/>
      <c r="D192"/>
      <c r="H192" s="5"/>
    </row>
    <row r="193" spans="1:8">
      <c r="A193"/>
      <c r="B193"/>
      <c r="C193"/>
      <c r="D193"/>
      <c r="H193" s="5"/>
    </row>
    <row r="194" spans="1:8">
      <c r="A194"/>
      <c r="B194"/>
      <c r="C194"/>
      <c r="D194"/>
      <c r="H194" s="5"/>
    </row>
    <row r="195" spans="1:8">
      <c r="A195"/>
      <c r="B195"/>
      <c r="C195"/>
      <c r="D195"/>
      <c r="H195" s="5"/>
    </row>
    <row r="196" spans="1:8">
      <c r="A196"/>
      <c r="B196"/>
      <c r="C196"/>
      <c r="D196"/>
      <c r="H196" s="5"/>
    </row>
    <row r="197" spans="1:8">
      <c r="A197"/>
      <c r="B197"/>
      <c r="C197"/>
      <c r="D197"/>
      <c r="H197" s="5"/>
    </row>
    <row r="198" spans="1:8">
      <c r="A198"/>
      <c r="B198"/>
      <c r="C198"/>
      <c r="D198"/>
      <c r="H198" s="5"/>
    </row>
    <row r="199" spans="1:8">
      <c r="A199"/>
      <c r="B199"/>
      <c r="C199"/>
      <c r="D199"/>
      <c r="H199" s="5"/>
    </row>
    <row r="200" spans="1:8">
      <c r="A200"/>
      <c r="B200"/>
      <c r="C200"/>
      <c r="D200"/>
      <c r="H200" s="5"/>
    </row>
    <row r="201" spans="1:8">
      <c r="A201"/>
      <c r="B201"/>
      <c r="C201"/>
      <c r="D201"/>
      <c r="H201" s="5"/>
    </row>
    <row r="202" spans="1:8">
      <c r="A202"/>
      <c r="B202"/>
      <c r="C202"/>
      <c r="D202"/>
      <c r="H202" s="5"/>
    </row>
    <row r="203" spans="1:8">
      <c r="A203"/>
      <c r="B203"/>
      <c r="C203"/>
      <c r="D203"/>
      <c r="H203" s="5"/>
    </row>
    <row r="204" spans="1:8">
      <c r="A204"/>
      <c r="B204"/>
      <c r="C204"/>
      <c r="D204"/>
      <c r="H204" s="5"/>
    </row>
    <row r="205" spans="1:8">
      <c r="A205"/>
      <c r="B205"/>
      <c r="C205"/>
      <c r="D205"/>
      <c r="H205" s="5"/>
    </row>
    <row r="206" spans="1:8">
      <c r="A206"/>
      <c r="B206"/>
      <c r="C206"/>
      <c r="D206"/>
      <c r="H206" s="5"/>
    </row>
    <row r="207" spans="1:8">
      <c r="A207"/>
      <c r="B207"/>
      <c r="C207"/>
      <c r="D207"/>
      <c r="H207" s="5"/>
    </row>
    <row r="208" spans="1:8">
      <c r="A208"/>
      <c r="B208"/>
      <c r="C208"/>
      <c r="D208"/>
      <c r="H208" s="5"/>
    </row>
    <row r="209" spans="1:8">
      <c r="A209"/>
      <c r="B209"/>
      <c r="C209"/>
      <c r="D209"/>
      <c r="H209" s="5"/>
    </row>
    <row r="210" spans="1:8">
      <c r="A210"/>
      <c r="B210"/>
      <c r="C210"/>
      <c r="D210"/>
      <c r="H210" s="5"/>
    </row>
    <row r="211" spans="1:8">
      <c r="A211"/>
      <c r="B211"/>
      <c r="C211"/>
      <c r="D211"/>
      <c r="H211" s="5"/>
    </row>
    <row r="212" spans="1:8">
      <c r="A212"/>
      <c r="B212"/>
      <c r="C212"/>
      <c r="D212"/>
      <c r="H212" s="5"/>
    </row>
    <row r="213" spans="1:8">
      <c r="A213"/>
      <c r="B213"/>
      <c r="C213"/>
      <c r="D213"/>
      <c r="H213" s="5"/>
    </row>
    <row r="214" spans="1:8">
      <c r="A214"/>
      <c r="B214"/>
      <c r="C214"/>
      <c r="D214"/>
      <c r="H214" s="5"/>
    </row>
    <row r="215" spans="1:8">
      <c r="A215"/>
      <c r="B215"/>
      <c r="C215"/>
      <c r="D215"/>
      <c r="H215" s="5"/>
    </row>
    <row r="216" spans="1:8">
      <c r="A216"/>
      <c r="B216"/>
      <c r="C216"/>
      <c r="D216"/>
      <c r="H216" s="5"/>
    </row>
    <row r="217" spans="1:8">
      <c r="A217"/>
      <c r="B217"/>
      <c r="C217"/>
      <c r="D217"/>
      <c r="H217" s="5"/>
    </row>
    <row r="218" spans="1:8">
      <c r="A218"/>
      <c r="B218"/>
      <c r="C218"/>
      <c r="D218"/>
      <c r="H218" s="5"/>
    </row>
    <row r="219" spans="1:8">
      <c r="A219"/>
      <c r="B219"/>
      <c r="C219"/>
      <c r="D219"/>
      <c r="H219" s="5"/>
    </row>
    <row r="220" spans="1:8">
      <c r="A220"/>
      <c r="B220"/>
      <c r="C220"/>
      <c r="D220"/>
      <c r="H220" s="5"/>
    </row>
    <row r="221" spans="1:8">
      <c r="A221"/>
      <c r="B221"/>
      <c r="C221"/>
      <c r="D221"/>
      <c r="H221" s="5"/>
    </row>
    <row r="222" spans="1:8">
      <c r="A222"/>
      <c r="B222"/>
      <c r="C222"/>
      <c r="D222"/>
      <c r="H222" s="5"/>
    </row>
    <row r="223" spans="1:8">
      <c r="A223"/>
      <c r="B223"/>
      <c r="C223"/>
      <c r="D223"/>
      <c r="H223" s="5"/>
    </row>
    <row r="224" spans="1:8">
      <c r="A224"/>
      <c r="B224"/>
      <c r="C224"/>
      <c r="D224"/>
      <c r="H224" s="5"/>
    </row>
    <row r="225" spans="1:8">
      <c r="A225"/>
      <c r="B225"/>
      <c r="C225"/>
      <c r="D225"/>
      <c r="H225" s="5"/>
    </row>
    <row r="226" spans="1:8">
      <c r="A226"/>
      <c r="B226"/>
      <c r="C226"/>
      <c r="D226"/>
      <c r="H226" s="5"/>
    </row>
    <row r="227" spans="1:8">
      <c r="A227"/>
      <c r="B227"/>
      <c r="C227"/>
      <c r="D227"/>
      <c r="H227" s="5"/>
    </row>
    <row r="228" spans="1:8">
      <c r="A228"/>
      <c r="B228"/>
      <c r="C228"/>
      <c r="D228"/>
      <c r="H228" s="5"/>
    </row>
    <row r="229" spans="1:8">
      <c r="A229"/>
      <c r="B229"/>
      <c r="C229"/>
      <c r="D229"/>
      <c r="H229" s="5"/>
    </row>
    <row r="230" spans="1:8">
      <c r="A230"/>
      <c r="B230"/>
      <c r="C230"/>
      <c r="D230"/>
      <c r="H230" s="5"/>
    </row>
    <row r="231" spans="1:8">
      <c r="A231"/>
      <c r="B231"/>
      <c r="C231"/>
      <c r="D231"/>
      <c r="H231" s="5"/>
    </row>
    <row r="232" spans="1:8">
      <c r="A232"/>
      <c r="B232"/>
      <c r="C232"/>
      <c r="D232"/>
      <c r="H232" s="5"/>
    </row>
    <row r="233" spans="1:8">
      <c r="A233"/>
      <c r="B233"/>
      <c r="C233"/>
      <c r="D233"/>
      <c r="H233" s="5"/>
    </row>
    <row r="234" spans="1:8">
      <c r="A234"/>
      <c r="B234"/>
      <c r="C234"/>
      <c r="D234"/>
      <c r="H234" s="5"/>
    </row>
    <row r="235" spans="1:8">
      <c r="A235"/>
      <c r="B235"/>
      <c r="C235"/>
      <c r="D235"/>
      <c r="H235" s="5"/>
    </row>
    <row r="236" spans="1:8">
      <c r="A236"/>
      <c r="B236"/>
      <c r="C236"/>
      <c r="D236"/>
      <c r="H236" s="5"/>
    </row>
    <row r="237" spans="1:8">
      <c r="A237"/>
      <c r="B237"/>
      <c r="C237"/>
      <c r="D237"/>
      <c r="H237" s="5"/>
    </row>
    <row r="238" spans="1:8">
      <c r="A238"/>
      <c r="B238"/>
      <c r="C238"/>
      <c r="D238"/>
      <c r="H238" s="5"/>
    </row>
    <row r="239" spans="1:8">
      <c r="A239"/>
      <c r="B239"/>
      <c r="C239"/>
      <c r="D239"/>
      <c r="H239" s="5"/>
    </row>
    <row r="240" spans="1:8">
      <c r="A240"/>
      <c r="B240"/>
      <c r="C240"/>
      <c r="D240"/>
      <c r="H240" s="5"/>
    </row>
    <row r="241" spans="1:8">
      <c r="A241"/>
      <c r="B241"/>
      <c r="C241"/>
      <c r="D241"/>
      <c r="H241" s="5"/>
    </row>
    <row r="242" spans="1:8">
      <c r="A242"/>
      <c r="B242"/>
      <c r="C242"/>
      <c r="D242"/>
      <c r="H242" s="5"/>
    </row>
    <row r="243" spans="1:8">
      <c r="A243"/>
      <c r="B243"/>
      <c r="C243"/>
      <c r="D243"/>
      <c r="H243" s="5"/>
    </row>
    <row r="244" spans="1:8">
      <c r="A244"/>
      <c r="B244"/>
      <c r="C244"/>
      <c r="D244"/>
      <c r="H244" s="5"/>
    </row>
    <row r="245" spans="1:8">
      <c r="A245"/>
      <c r="B245"/>
      <c r="C245"/>
      <c r="D245"/>
      <c r="H245" s="5"/>
    </row>
    <row r="246" spans="1:8">
      <c r="A246"/>
      <c r="B246"/>
      <c r="C246"/>
      <c r="D246"/>
      <c r="H246" s="5"/>
    </row>
    <row r="247" spans="1:8">
      <c r="A247"/>
      <c r="B247"/>
      <c r="C247"/>
      <c r="D247"/>
      <c r="H247" s="5"/>
    </row>
    <row r="248" spans="1:8">
      <c r="A248"/>
      <c r="B248"/>
      <c r="C248"/>
      <c r="D248"/>
      <c r="H248" s="5"/>
    </row>
    <row r="249" spans="1:8">
      <c r="A249"/>
      <c r="B249"/>
      <c r="C249"/>
      <c r="D249"/>
      <c r="H249" s="5"/>
    </row>
    <row r="250" spans="1:8">
      <c r="A250"/>
      <c r="B250"/>
      <c r="C250"/>
      <c r="D250"/>
      <c r="H250" s="5"/>
    </row>
    <row r="251" spans="1:8">
      <c r="A251"/>
      <c r="B251"/>
      <c r="C251"/>
      <c r="D251"/>
      <c r="H251" s="5"/>
    </row>
    <row r="252" spans="1:8">
      <c r="A252"/>
      <c r="B252"/>
      <c r="C252"/>
      <c r="D252"/>
      <c r="H252" s="5"/>
    </row>
    <row r="253" spans="1:8">
      <c r="A253"/>
      <c r="B253"/>
      <c r="C253"/>
      <c r="D253"/>
      <c r="H253" s="5"/>
    </row>
    <row r="254" spans="1:8">
      <c r="A254"/>
      <c r="B254"/>
      <c r="C254"/>
      <c r="D254"/>
      <c r="H254" s="5"/>
    </row>
    <row r="255" spans="1:8">
      <c r="A255"/>
      <c r="B255"/>
      <c r="C255"/>
      <c r="D255"/>
      <c r="H255" s="5"/>
    </row>
    <row r="256" spans="1:8">
      <c r="A256"/>
      <c r="B256"/>
      <c r="C256"/>
      <c r="D256"/>
      <c r="H256" s="5"/>
    </row>
    <row r="257" spans="1:8">
      <c r="A257"/>
      <c r="B257"/>
      <c r="C257"/>
      <c r="D257"/>
      <c r="H257" s="5"/>
    </row>
    <row r="258" spans="1:8">
      <c r="A258"/>
      <c r="B258"/>
      <c r="C258"/>
      <c r="D258"/>
      <c r="H258" s="5"/>
    </row>
    <row r="259" spans="1:8">
      <c r="A259"/>
      <c r="B259"/>
      <c r="C259"/>
      <c r="D259"/>
      <c r="H259" s="5"/>
    </row>
    <row r="260" spans="1:8">
      <c r="A260"/>
      <c r="B260"/>
      <c r="C260"/>
      <c r="D260"/>
      <c r="H260" s="5"/>
    </row>
    <row r="261" spans="1:8">
      <c r="A261"/>
      <c r="B261"/>
      <c r="C261"/>
      <c r="D261"/>
      <c r="H261" s="5"/>
    </row>
    <row r="262" spans="1:8">
      <c r="A262"/>
      <c r="B262"/>
      <c r="C262"/>
      <c r="D262"/>
      <c r="H262" s="5"/>
    </row>
    <row r="263" spans="1:8">
      <c r="A263"/>
      <c r="B263"/>
      <c r="C263"/>
      <c r="D263"/>
      <c r="H263" s="5"/>
    </row>
    <row r="264" spans="1:8">
      <c r="A264"/>
      <c r="B264"/>
      <c r="C264"/>
      <c r="D264"/>
      <c r="H264" s="5"/>
    </row>
    <row r="265" spans="1:8">
      <c r="A265"/>
      <c r="B265"/>
      <c r="C265"/>
      <c r="D265"/>
      <c r="H265" s="5"/>
    </row>
    <row r="266" spans="1:8">
      <c r="A266"/>
      <c r="B266"/>
      <c r="C266"/>
      <c r="D266"/>
      <c r="H266" s="5"/>
    </row>
    <row r="267" spans="1:8">
      <c r="A267"/>
      <c r="B267"/>
      <c r="C267"/>
      <c r="D267"/>
      <c r="H267" s="5"/>
    </row>
    <row r="268" spans="1:8">
      <c r="A268"/>
      <c r="B268"/>
      <c r="C268"/>
      <c r="D268"/>
      <c r="H268" s="5"/>
    </row>
    <row r="269" spans="1:8">
      <c r="A269"/>
      <c r="B269"/>
      <c r="C269"/>
      <c r="D269"/>
      <c r="H269" s="5"/>
    </row>
    <row r="270" spans="1:8">
      <c r="A270"/>
      <c r="B270"/>
      <c r="C270"/>
      <c r="D270"/>
      <c r="H270" s="5"/>
    </row>
    <row r="271" spans="1:8">
      <c r="A271"/>
      <c r="B271"/>
      <c r="C271"/>
      <c r="D271"/>
      <c r="H271" s="5"/>
    </row>
    <row r="272" spans="1:8">
      <c r="A272"/>
      <c r="B272"/>
      <c r="C272"/>
      <c r="D272"/>
      <c r="H272" s="5"/>
    </row>
    <row r="273" spans="1:8">
      <c r="A273"/>
      <c r="B273"/>
      <c r="C273"/>
      <c r="D273"/>
      <c r="H273" s="5"/>
    </row>
    <row r="274" spans="1:8">
      <c r="A274"/>
      <c r="B274"/>
      <c r="C274"/>
      <c r="D274"/>
      <c r="H274" s="5"/>
    </row>
    <row r="275" spans="1:8">
      <c r="A275"/>
      <c r="B275"/>
      <c r="C275"/>
      <c r="D275"/>
      <c r="H275" s="5"/>
    </row>
    <row r="276" spans="1:8">
      <c r="A276"/>
      <c r="B276"/>
      <c r="C276"/>
      <c r="D276"/>
      <c r="H276" s="5"/>
    </row>
    <row r="277" spans="1:8">
      <c r="A277"/>
      <c r="B277"/>
      <c r="C277"/>
      <c r="D277"/>
      <c r="H277" s="5"/>
    </row>
    <row r="278" spans="1:8">
      <c r="A278"/>
      <c r="B278"/>
      <c r="C278"/>
      <c r="D278"/>
      <c r="H278" s="5"/>
    </row>
    <row r="279" spans="1:8">
      <c r="A279"/>
      <c r="B279"/>
      <c r="C279"/>
      <c r="D279"/>
      <c r="H279" s="5"/>
    </row>
    <row r="280" spans="1:8">
      <c r="A280"/>
      <c r="B280"/>
      <c r="C280"/>
      <c r="D280"/>
      <c r="H280" s="5"/>
    </row>
    <row r="281" spans="1:8">
      <c r="A281"/>
      <c r="B281"/>
      <c r="C281"/>
      <c r="D281"/>
      <c r="H281" s="5"/>
    </row>
    <row r="282" spans="1:8">
      <c r="A282"/>
      <c r="B282"/>
      <c r="C282"/>
      <c r="D282"/>
      <c r="H282" s="5"/>
    </row>
    <row r="283" spans="1:8">
      <c r="A283"/>
      <c r="B283"/>
      <c r="C283"/>
      <c r="D283"/>
      <c r="H283" s="5"/>
    </row>
    <row r="284" spans="1:8">
      <c r="A284"/>
      <c r="B284"/>
      <c r="C284"/>
      <c r="D284"/>
      <c r="H284" s="5"/>
    </row>
    <row r="285" spans="1:8">
      <c r="A285"/>
      <c r="B285"/>
      <c r="C285"/>
      <c r="D285"/>
      <c r="H285" s="5"/>
    </row>
    <row r="286" spans="1:8">
      <c r="A286"/>
      <c r="B286"/>
      <c r="C286"/>
      <c r="D286"/>
      <c r="H286" s="5"/>
    </row>
    <row r="287" spans="1:8">
      <c r="A287"/>
      <c r="B287"/>
      <c r="C287"/>
      <c r="D287"/>
      <c r="H287" s="5"/>
    </row>
    <row r="288" spans="1:8">
      <c r="A288"/>
      <c r="B288"/>
      <c r="C288"/>
      <c r="D288"/>
      <c r="H288" s="5"/>
    </row>
    <row r="289" spans="1:8">
      <c r="A289"/>
      <c r="B289"/>
      <c r="C289"/>
      <c r="D289"/>
      <c r="H289" s="5"/>
    </row>
    <row r="290" spans="1:8">
      <c r="A290"/>
      <c r="B290"/>
      <c r="C290"/>
      <c r="D290"/>
      <c r="H290" s="5"/>
    </row>
    <row r="291" spans="1:8">
      <c r="A291"/>
      <c r="B291"/>
      <c r="C291"/>
      <c r="D291"/>
      <c r="H291" s="5"/>
    </row>
    <row r="292" spans="1:8">
      <c r="A292"/>
      <c r="B292"/>
      <c r="C292"/>
      <c r="D292"/>
      <c r="H292" s="5"/>
    </row>
    <row r="293" spans="1:8">
      <c r="A293"/>
      <c r="B293"/>
      <c r="C293"/>
      <c r="D293"/>
      <c r="H293" s="5"/>
    </row>
    <row r="294" spans="1:8">
      <c r="A294"/>
      <c r="B294"/>
      <c r="C294"/>
      <c r="D294"/>
      <c r="H294" s="5"/>
    </row>
    <row r="295" spans="1:8">
      <c r="A295"/>
      <c r="B295"/>
      <c r="C295"/>
      <c r="D295"/>
      <c r="H295" s="5"/>
    </row>
    <row r="296" spans="1:8">
      <c r="A296"/>
      <c r="B296"/>
      <c r="C296"/>
      <c r="D296"/>
      <c r="H296" s="5"/>
    </row>
    <row r="297" spans="1:8">
      <c r="A297"/>
      <c r="B297"/>
      <c r="C297"/>
      <c r="D297"/>
      <c r="H297" s="5"/>
    </row>
    <row r="298" spans="1:8">
      <c r="A298"/>
      <c r="B298"/>
      <c r="C298"/>
      <c r="D298"/>
      <c r="H298" s="5"/>
    </row>
    <row r="299" spans="1:8">
      <c r="A299"/>
      <c r="B299"/>
      <c r="C299"/>
      <c r="D299"/>
      <c r="H299" s="5"/>
    </row>
    <row r="300" spans="1:8">
      <c r="A300"/>
      <c r="B300"/>
      <c r="C300"/>
      <c r="D300"/>
      <c r="H300" s="5"/>
    </row>
    <row r="301" spans="1:8">
      <c r="A301"/>
      <c r="B301"/>
      <c r="C301"/>
      <c r="D301"/>
      <c r="H301" s="5"/>
    </row>
    <row r="302" spans="1:8">
      <c r="A302"/>
      <c r="B302"/>
      <c r="C302"/>
      <c r="D302"/>
      <c r="H302" s="5"/>
    </row>
    <row r="303" spans="1:8">
      <c r="A303"/>
      <c r="B303"/>
      <c r="C303"/>
      <c r="D303"/>
      <c r="H303" s="5"/>
    </row>
    <row r="304" spans="1:8">
      <c r="A304"/>
      <c r="B304"/>
      <c r="C304"/>
      <c r="D304"/>
      <c r="H304" s="5"/>
    </row>
    <row r="305" spans="1:8">
      <c r="A305"/>
      <c r="B305"/>
      <c r="C305"/>
      <c r="D305"/>
      <c r="H305" s="5"/>
    </row>
    <row r="306" spans="1:8">
      <c r="A306"/>
      <c r="B306"/>
      <c r="C306"/>
      <c r="D306"/>
      <c r="H306" s="5"/>
    </row>
    <row r="307" spans="1:8">
      <c r="A307"/>
      <c r="B307"/>
      <c r="C307"/>
      <c r="D307"/>
      <c r="H307" s="5"/>
    </row>
    <row r="308" spans="1:8">
      <c r="A308"/>
      <c r="B308"/>
      <c r="C308"/>
      <c r="D308"/>
      <c r="H308" s="5"/>
    </row>
    <row r="309" spans="1:8">
      <c r="A309"/>
      <c r="B309"/>
      <c r="C309"/>
      <c r="D309"/>
      <c r="H309" s="5"/>
    </row>
    <row r="310" spans="1:8">
      <c r="A310"/>
      <c r="B310"/>
      <c r="C310"/>
      <c r="D310"/>
      <c r="H310" s="5"/>
    </row>
    <row r="311" spans="1:8">
      <c r="A311"/>
      <c r="B311"/>
      <c r="C311"/>
      <c r="D311"/>
      <c r="H311" s="5"/>
    </row>
    <row r="312" spans="1:8">
      <c r="A312"/>
      <c r="B312"/>
      <c r="C312"/>
      <c r="D312"/>
      <c r="H312" s="5"/>
    </row>
    <row r="313" spans="1:8">
      <c r="A313"/>
      <c r="B313"/>
      <c r="C313"/>
      <c r="D313"/>
      <c r="H313" s="5"/>
    </row>
    <row r="314" spans="1:8">
      <c r="A314"/>
      <c r="B314"/>
      <c r="C314"/>
      <c r="D314"/>
      <c r="H314" s="5"/>
    </row>
    <row r="315" spans="1:8">
      <c r="A315"/>
      <c r="B315"/>
      <c r="C315"/>
      <c r="D315"/>
      <c r="H315" s="5"/>
    </row>
    <row r="316" spans="1:8">
      <c r="A316"/>
      <c r="B316"/>
      <c r="C316"/>
      <c r="D316"/>
      <c r="H316" s="5"/>
    </row>
    <row r="317" spans="1:8">
      <c r="A317"/>
      <c r="B317"/>
      <c r="C317"/>
      <c r="D317"/>
      <c r="H317" s="5"/>
    </row>
    <row r="318" spans="1:8">
      <c r="A318"/>
      <c r="B318"/>
      <c r="C318"/>
      <c r="D318"/>
      <c r="H318" s="5"/>
    </row>
    <row r="319" spans="1:8">
      <c r="A319"/>
      <c r="B319"/>
      <c r="C319"/>
      <c r="D319"/>
      <c r="H319" s="5"/>
    </row>
    <row r="320" spans="1:8">
      <c r="A320"/>
      <c r="B320"/>
      <c r="C320"/>
      <c r="D320"/>
      <c r="H320" s="5"/>
    </row>
    <row r="321" spans="1:8">
      <c r="A321"/>
      <c r="B321"/>
      <c r="C321"/>
      <c r="D321"/>
      <c r="H321" s="5"/>
    </row>
    <row r="322" spans="1:8">
      <c r="A322"/>
      <c r="B322"/>
      <c r="C322"/>
      <c r="D322"/>
      <c r="H322" s="5"/>
    </row>
    <row r="323" spans="1:8">
      <c r="A323"/>
      <c r="B323"/>
      <c r="C323"/>
      <c r="D323"/>
      <c r="H323" s="5"/>
    </row>
    <row r="324" spans="1:8">
      <c r="A324"/>
      <c r="B324"/>
      <c r="C324"/>
      <c r="D324"/>
      <c r="H324" s="5"/>
    </row>
    <row r="325" spans="1:8">
      <c r="A325"/>
      <c r="B325"/>
      <c r="C325"/>
      <c r="D325"/>
      <c r="H325" s="5"/>
    </row>
    <row r="326" spans="1:8">
      <c r="A326"/>
      <c r="B326"/>
      <c r="C326"/>
      <c r="D326"/>
      <c r="H326" s="5"/>
    </row>
    <row r="327" spans="1:8">
      <c r="A327"/>
      <c r="B327"/>
      <c r="C327"/>
      <c r="D327"/>
      <c r="H327" s="5"/>
    </row>
    <row r="328" spans="1:8">
      <c r="A328"/>
      <c r="B328"/>
      <c r="C328"/>
      <c r="D328"/>
      <c r="H328" s="5"/>
    </row>
    <row r="329" spans="1:8">
      <c r="A329"/>
      <c r="B329"/>
      <c r="C329"/>
      <c r="D329"/>
      <c r="H329" s="5"/>
    </row>
    <row r="330" spans="1:8">
      <c r="A330"/>
      <c r="B330"/>
      <c r="C330"/>
      <c r="D330"/>
      <c r="H330" s="5"/>
    </row>
    <row r="331" spans="1:8">
      <c r="A331"/>
      <c r="B331"/>
      <c r="C331"/>
      <c r="D331"/>
      <c r="H331" s="5"/>
    </row>
    <row r="332" spans="1:8">
      <c r="A332"/>
      <c r="B332"/>
      <c r="C332"/>
      <c r="D332"/>
      <c r="H332" s="5"/>
    </row>
    <row r="333" spans="1:8">
      <c r="A333"/>
      <c r="B333"/>
      <c r="C333"/>
      <c r="D333"/>
      <c r="H333" s="5"/>
    </row>
    <row r="334" spans="1:8">
      <c r="A334"/>
      <c r="B334"/>
      <c r="C334"/>
      <c r="D334"/>
      <c r="H334" s="5"/>
    </row>
    <row r="335" spans="1:8">
      <c r="A335"/>
      <c r="B335"/>
      <c r="C335"/>
      <c r="D335"/>
      <c r="H335" s="5"/>
    </row>
    <row r="336" spans="1:8">
      <c r="A336"/>
      <c r="B336"/>
      <c r="C336"/>
      <c r="D336"/>
      <c r="H336" s="5"/>
    </row>
    <row r="337" spans="1:8">
      <c r="A337"/>
      <c r="B337"/>
      <c r="C337"/>
      <c r="D337"/>
      <c r="H337" s="5"/>
    </row>
    <row r="338" spans="1:8">
      <c r="A338"/>
      <c r="B338"/>
      <c r="C338"/>
      <c r="D338"/>
      <c r="H338" s="5"/>
    </row>
    <row r="339" spans="1:8">
      <c r="A339"/>
      <c r="B339"/>
      <c r="C339"/>
      <c r="D339"/>
      <c r="H339" s="5"/>
    </row>
    <row r="340" spans="1:8">
      <c r="A340"/>
      <c r="B340"/>
      <c r="C340"/>
      <c r="D340"/>
      <c r="H340" s="5"/>
    </row>
    <row r="341" spans="1:8">
      <c r="A341"/>
      <c r="B341"/>
      <c r="C341"/>
      <c r="D341"/>
      <c r="H341" s="5"/>
    </row>
    <row r="342" spans="1:8">
      <c r="A342"/>
      <c r="B342"/>
      <c r="C342"/>
      <c r="D342"/>
      <c r="H342" s="5"/>
    </row>
    <row r="343" spans="1:8">
      <c r="A343"/>
      <c r="B343"/>
      <c r="C343"/>
      <c r="D343"/>
      <c r="H343" s="5"/>
    </row>
    <row r="344" spans="1:8">
      <c r="A344"/>
      <c r="B344"/>
      <c r="C344"/>
      <c r="D344"/>
      <c r="H344" s="5"/>
    </row>
    <row r="345" spans="1:8">
      <c r="A345"/>
      <c r="B345"/>
      <c r="C345"/>
      <c r="D345"/>
      <c r="H345" s="5"/>
    </row>
    <row r="346" spans="1:8">
      <c r="A346"/>
      <c r="B346"/>
      <c r="C346"/>
      <c r="D346"/>
      <c r="H346" s="5"/>
    </row>
    <row r="347" spans="1:8">
      <c r="A347"/>
      <c r="B347"/>
      <c r="C347"/>
      <c r="D347"/>
      <c r="H347" s="5"/>
    </row>
    <row r="348" spans="1:8">
      <c r="A348"/>
      <c r="B348"/>
      <c r="C348"/>
      <c r="D348"/>
      <c r="H348" s="5"/>
    </row>
    <row r="349" spans="1:8">
      <c r="A349"/>
      <c r="B349"/>
      <c r="C349"/>
      <c r="D349"/>
      <c r="H349" s="5"/>
    </row>
    <row r="350" spans="1:8">
      <c r="A350"/>
      <c r="B350"/>
      <c r="C350"/>
      <c r="D350"/>
      <c r="H350" s="5"/>
    </row>
    <row r="351" spans="1:8">
      <c r="A351"/>
      <c r="B351"/>
      <c r="C351"/>
      <c r="D351"/>
      <c r="H351" s="5"/>
    </row>
    <row r="352" spans="1:8">
      <c r="A352"/>
      <c r="B352"/>
      <c r="C352"/>
      <c r="D352"/>
      <c r="H352" s="5"/>
    </row>
    <row r="353" spans="1:8">
      <c r="A353"/>
      <c r="B353"/>
      <c r="C353"/>
      <c r="D353"/>
      <c r="H353" s="5"/>
    </row>
    <row r="354" spans="1:8">
      <c r="A354"/>
      <c r="B354"/>
      <c r="C354"/>
      <c r="D354"/>
      <c r="H354" s="5"/>
    </row>
    <row r="355" spans="1:8">
      <c r="A355"/>
      <c r="B355"/>
      <c r="C355"/>
      <c r="D355"/>
      <c r="H355" s="5"/>
    </row>
    <row r="356" spans="1:8">
      <c r="A356"/>
      <c r="B356"/>
      <c r="C356"/>
      <c r="D356"/>
      <c r="H356" s="5"/>
    </row>
    <row r="357" spans="1:8">
      <c r="A357"/>
      <c r="B357"/>
      <c r="C357"/>
      <c r="D357"/>
      <c r="H357" s="5"/>
    </row>
    <row r="358" spans="1:8">
      <c r="A358"/>
      <c r="B358"/>
      <c r="C358"/>
      <c r="D358"/>
      <c r="H358" s="5"/>
    </row>
    <row r="359" spans="1:8">
      <c r="A359"/>
      <c r="B359"/>
      <c r="C359"/>
      <c r="D359"/>
      <c r="H359" s="5"/>
    </row>
    <row r="360" spans="1:8">
      <c r="A360"/>
      <c r="B360"/>
      <c r="C360"/>
      <c r="D360"/>
      <c r="H360" s="5"/>
    </row>
    <row r="361" spans="1:8">
      <c r="A361"/>
      <c r="B361"/>
      <c r="C361"/>
      <c r="D361"/>
      <c r="H361" s="5"/>
    </row>
    <row r="362" spans="1:8">
      <c r="A362"/>
      <c r="B362"/>
      <c r="C362"/>
      <c r="D362"/>
      <c r="H362" s="5"/>
    </row>
    <row r="363" spans="1:8">
      <c r="A363"/>
      <c r="B363"/>
      <c r="C363"/>
      <c r="D363"/>
      <c r="H363" s="5"/>
    </row>
    <row r="364" spans="1:8">
      <c r="A364"/>
      <c r="B364"/>
      <c r="C364"/>
      <c r="D364"/>
      <c r="H364" s="5"/>
    </row>
    <row r="365" spans="1:8">
      <c r="A365"/>
      <c r="B365"/>
      <c r="C365"/>
      <c r="D365"/>
      <c r="H365" s="5"/>
    </row>
    <row r="366" spans="1:8">
      <c r="A366"/>
      <c r="B366"/>
      <c r="C366"/>
      <c r="D366"/>
      <c r="H366" s="5"/>
    </row>
    <row r="367" spans="1:8">
      <c r="A367"/>
      <c r="B367"/>
      <c r="C367"/>
      <c r="D367"/>
      <c r="H367" s="5"/>
    </row>
    <row r="368" spans="1:8">
      <c r="A368"/>
      <c r="B368"/>
      <c r="C368"/>
      <c r="D368"/>
      <c r="H368" s="5"/>
    </row>
    <row r="369" spans="1:8">
      <c r="A369"/>
      <c r="B369"/>
      <c r="C369"/>
      <c r="D369"/>
      <c r="H369" s="5"/>
    </row>
    <row r="370" spans="1:8">
      <c r="A370"/>
      <c r="B370"/>
      <c r="C370"/>
      <c r="D370"/>
      <c r="H370" s="5"/>
    </row>
    <row r="371" spans="1:8">
      <c r="A371"/>
      <c r="B371"/>
      <c r="C371"/>
      <c r="D371"/>
      <c r="H371" s="5"/>
    </row>
    <row r="372" spans="1:8">
      <c r="A372"/>
      <c r="B372"/>
      <c r="C372"/>
      <c r="D372"/>
      <c r="H372" s="5"/>
    </row>
    <row r="373" spans="1:8">
      <c r="A373"/>
      <c r="B373"/>
      <c r="C373"/>
      <c r="D373"/>
      <c r="H373" s="5"/>
    </row>
    <row r="374" spans="1:8">
      <c r="A374"/>
      <c r="B374"/>
      <c r="C374"/>
      <c r="D374"/>
      <c r="H374" s="5"/>
    </row>
    <row r="375" spans="1:8">
      <c r="A375"/>
      <c r="B375"/>
      <c r="C375"/>
      <c r="D375"/>
      <c r="H375" s="5"/>
    </row>
    <row r="376" spans="1:8">
      <c r="A376"/>
      <c r="B376"/>
      <c r="C376"/>
      <c r="D376"/>
      <c r="H376" s="5"/>
    </row>
    <row r="377" spans="1:8">
      <c r="A377"/>
      <c r="B377"/>
      <c r="C377"/>
      <c r="D377"/>
      <c r="H377" s="5"/>
    </row>
    <row r="378" spans="1:8">
      <c r="A378"/>
      <c r="B378"/>
      <c r="C378"/>
      <c r="D378"/>
      <c r="H378" s="5"/>
    </row>
    <row r="379" spans="1:8">
      <c r="A379"/>
      <c r="B379"/>
      <c r="C379"/>
      <c r="D379"/>
      <c r="H379" s="5"/>
    </row>
    <row r="380" spans="1:8">
      <c r="A380"/>
      <c r="B380"/>
      <c r="C380"/>
      <c r="D380"/>
      <c r="H380" s="5"/>
    </row>
    <row r="381" spans="1:8">
      <c r="A381"/>
      <c r="B381"/>
      <c r="C381"/>
      <c r="D381"/>
      <c r="H381" s="5"/>
    </row>
    <row r="382" spans="1:8">
      <c r="A382"/>
      <c r="B382"/>
      <c r="C382"/>
      <c r="D382"/>
      <c r="H382" s="5"/>
    </row>
    <row r="383" spans="1:8">
      <c r="A383"/>
      <c r="B383"/>
      <c r="C383"/>
      <c r="D383"/>
      <c r="H383" s="5"/>
    </row>
    <row r="384" spans="1:8">
      <c r="A384"/>
      <c r="B384"/>
      <c r="C384"/>
      <c r="D384"/>
      <c r="H384" s="5"/>
    </row>
    <row r="385" spans="1:8">
      <c r="A385"/>
      <c r="B385"/>
      <c r="C385"/>
      <c r="D385"/>
      <c r="H385" s="5"/>
    </row>
    <row r="386" spans="1:8">
      <c r="A386"/>
      <c r="B386"/>
      <c r="C386"/>
      <c r="D386"/>
      <c r="H386" s="5"/>
    </row>
    <row r="387" spans="1:8">
      <c r="A387"/>
      <c r="B387"/>
      <c r="C387"/>
      <c r="D387"/>
      <c r="H387" s="5"/>
    </row>
    <row r="388" spans="1:8">
      <c r="A388"/>
      <c r="B388"/>
      <c r="C388"/>
      <c r="D388"/>
      <c r="H388" s="5"/>
    </row>
    <row r="389" spans="1:8">
      <c r="A389"/>
      <c r="B389"/>
      <c r="C389"/>
      <c r="D389"/>
      <c r="H389" s="5"/>
    </row>
    <row r="390" spans="1:8">
      <c r="A390"/>
      <c r="B390"/>
      <c r="C390"/>
      <c r="D390"/>
      <c r="H390" s="5"/>
    </row>
    <row r="391" spans="1:8">
      <c r="A391"/>
      <c r="B391"/>
      <c r="C391"/>
      <c r="D391"/>
      <c r="H391" s="5"/>
    </row>
    <row r="392" spans="1:8">
      <c r="A392"/>
      <c r="B392"/>
      <c r="C392"/>
      <c r="D392"/>
      <c r="H392" s="5"/>
    </row>
    <row r="393" spans="1:8">
      <c r="A393"/>
      <c r="B393"/>
      <c r="C393"/>
      <c r="D393"/>
      <c r="H393" s="5"/>
    </row>
    <row r="394" spans="1:8">
      <c r="A394"/>
      <c r="B394"/>
      <c r="C394"/>
      <c r="D394"/>
      <c r="H394" s="5"/>
    </row>
    <row r="395" spans="1:8">
      <c r="A395"/>
      <c r="B395"/>
      <c r="C395"/>
      <c r="D395"/>
      <c r="H395" s="5"/>
    </row>
    <row r="396" spans="1:8">
      <c r="A396"/>
      <c r="B396"/>
      <c r="C396"/>
      <c r="D396"/>
      <c r="H396" s="5"/>
    </row>
    <row r="397" spans="1:8">
      <c r="A397"/>
      <c r="B397"/>
      <c r="C397"/>
      <c r="D397"/>
      <c r="H397" s="5"/>
    </row>
    <row r="398" spans="1:8">
      <c r="A398"/>
      <c r="B398"/>
      <c r="C398"/>
      <c r="D398"/>
      <c r="H398" s="5"/>
    </row>
    <row r="399" spans="1:8">
      <c r="A399"/>
      <c r="B399"/>
      <c r="C399"/>
      <c r="D399"/>
      <c r="H399" s="5"/>
    </row>
    <row r="400" spans="1:8">
      <c r="A400"/>
      <c r="B400"/>
      <c r="C400"/>
      <c r="D400"/>
      <c r="H400" s="5"/>
    </row>
    <row r="401" spans="1:8">
      <c r="A401"/>
      <c r="B401"/>
      <c r="C401"/>
      <c r="D401"/>
      <c r="H401" s="5"/>
    </row>
    <row r="402" spans="1:8">
      <c r="A402"/>
      <c r="B402"/>
      <c r="C402"/>
      <c r="D402"/>
      <c r="H402" s="5"/>
    </row>
    <row r="403" spans="1:8">
      <c r="A403"/>
      <c r="B403"/>
      <c r="C403"/>
      <c r="D403"/>
      <c r="H403" s="5"/>
    </row>
    <row r="404" spans="1:8">
      <c r="A404"/>
      <c r="B404"/>
      <c r="C404"/>
      <c r="D404"/>
      <c r="H404" s="5"/>
    </row>
    <row r="405" spans="1:8">
      <c r="A405"/>
      <c r="B405"/>
      <c r="C405"/>
      <c r="D405"/>
      <c r="H405" s="5"/>
    </row>
    <row r="406" spans="1:8">
      <c r="A406"/>
      <c r="B406"/>
      <c r="C406"/>
      <c r="D406"/>
      <c r="H406" s="5"/>
    </row>
    <row r="407" spans="1:8">
      <c r="A407"/>
      <c r="B407"/>
      <c r="C407"/>
      <c r="D407"/>
      <c r="H407" s="5"/>
    </row>
    <row r="408" spans="1:8">
      <c r="A408"/>
      <c r="B408"/>
      <c r="C408"/>
      <c r="D408"/>
      <c r="H408" s="5"/>
    </row>
    <row r="409" spans="1:8">
      <c r="A409"/>
      <c r="B409"/>
      <c r="C409"/>
      <c r="D409"/>
      <c r="H409" s="5"/>
    </row>
    <row r="410" spans="1:8">
      <c r="A410"/>
      <c r="B410"/>
      <c r="C410"/>
      <c r="D410"/>
      <c r="H410" s="5"/>
    </row>
    <row r="411" spans="1:8">
      <c r="A411"/>
      <c r="B411"/>
      <c r="C411"/>
      <c r="D411"/>
      <c r="H411" s="5"/>
    </row>
    <row r="412" spans="1:8">
      <c r="A412"/>
      <c r="B412"/>
      <c r="C412"/>
      <c r="D412"/>
      <c r="H412" s="5"/>
    </row>
    <row r="413" spans="1:8">
      <c r="A413"/>
      <c r="B413"/>
      <c r="C413"/>
      <c r="D413"/>
      <c r="H413" s="5"/>
    </row>
    <row r="414" spans="1:8">
      <c r="A414"/>
      <c r="B414"/>
      <c r="C414"/>
      <c r="D414"/>
      <c r="H414" s="5"/>
    </row>
    <row r="415" spans="1:8">
      <c r="A415"/>
      <c r="B415"/>
      <c r="C415"/>
      <c r="D415"/>
      <c r="H415" s="5"/>
    </row>
    <row r="416" spans="1:8">
      <c r="A416"/>
      <c r="B416"/>
      <c r="C416"/>
      <c r="D416"/>
      <c r="H416" s="5"/>
    </row>
    <row r="417" spans="1:8">
      <c r="A417"/>
      <c r="B417"/>
      <c r="C417"/>
      <c r="D417"/>
      <c r="H417" s="5"/>
    </row>
    <row r="418" spans="1:8">
      <c r="A418"/>
      <c r="B418"/>
      <c r="C418"/>
      <c r="D418"/>
      <c r="H418" s="5"/>
    </row>
    <row r="419" spans="1:8">
      <c r="A419"/>
      <c r="B419"/>
      <c r="C419"/>
      <c r="D419"/>
      <c r="H419" s="5"/>
    </row>
    <row r="420" spans="1:8">
      <c r="A420"/>
      <c r="B420"/>
      <c r="C420"/>
      <c r="D420"/>
      <c r="H420" s="5"/>
    </row>
    <row r="421" spans="1:8">
      <c r="A421"/>
      <c r="B421"/>
      <c r="C421"/>
      <c r="D421"/>
      <c r="H421" s="5"/>
    </row>
    <row r="422" spans="1:8">
      <c r="A422"/>
      <c r="B422"/>
      <c r="C422"/>
      <c r="D422"/>
      <c r="H422" s="5"/>
    </row>
    <row r="423" spans="1:8">
      <c r="A423"/>
      <c r="B423"/>
      <c r="C423"/>
      <c r="D423"/>
      <c r="H423" s="5"/>
    </row>
    <row r="424" spans="1:8">
      <c r="A424"/>
      <c r="B424"/>
      <c r="C424"/>
      <c r="D424"/>
      <c r="H424" s="5"/>
    </row>
    <row r="425" spans="1:8">
      <c r="A425"/>
      <c r="B425"/>
      <c r="C425"/>
      <c r="D425"/>
      <c r="H425" s="5"/>
    </row>
    <row r="426" spans="1:8">
      <c r="A426"/>
      <c r="B426"/>
      <c r="C426"/>
      <c r="D426"/>
      <c r="H426" s="5"/>
    </row>
    <row r="427" spans="1:8">
      <c r="A427"/>
      <c r="B427"/>
      <c r="C427"/>
      <c r="D427"/>
      <c r="H427" s="5"/>
    </row>
    <row r="428" spans="1:8">
      <c r="A428"/>
      <c r="B428"/>
      <c r="C428"/>
      <c r="D428"/>
      <c r="H428" s="5"/>
    </row>
    <row r="429" spans="1:8">
      <c r="A429"/>
      <c r="B429"/>
      <c r="C429"/>
      <c r="D429"/>
      <c r="H429" s="5"/>
    </row>
    <row r="430" spans="1:8">
      <c r="A430"/>
      <c r="B430"/>
      <c r="C430"/>
      <c r="D430"/>
      <c r="H430" s="5"/>
    </row>
    <row r="431" spans="1:8">
      <c r="A431"/>
      <c r="B431"/>
      <c r="C431"/>
      <c r="D431"/>
      <c r="H431" s="5"/>
    </row>
    <row r="432" spans="1:8">
      <c r="A432"/>
      <c r="B432"/>
      <c r="C432"/>
      <c r="D432"/>
      <c r="H432" s="5"/>
    </row>
    <row r="433" spans="1:8">
      <c r="A433"/>
      <c r="B433"/>
      <c r="C433"/>
      <c r="D433"/>
      <c r="H433" s="5"/>
    </row>
    <row r="434" spans="1:8">
      <c r="A434"/>
      <c r="B434"/>
      <c r="C434"/>
      <c r="D434"/>
      <c r="H434" s="5"/>
    </row>
    <row r="435" spans="1:8">
      <c r="A435"/>
      <c r="B435"/>
      <c r="C435"/>
      <c r="D435"/>
      <c r="H435" s="5"/>
    </row>
    <row r="436" spans="1:8">
      <c r="A436"/>
      <c r="B436"/>
      <c r="C436"/>
      <c r="D436"/>
      <c r="H436" s="5"/>
    </row>
    <row r="437" spans="1:8">
      <c r="A437"/>
      <c r="B437"/>
      <c r="C437"/>
      <c r="D437"/>
      <c r="H437" s="5"/>
    </row>
    <row r="438" spans="1:8">
      <c r="A438"/>
      <c r="B438"/>
      <c r="C438"/>
      <c r="D438"/>
      <c r="H438" s="5"/>
    </row>
    <row r="439" spans="1:8">
      <c r="A439"/>
      <c r="B439"/>
      <c r="C439"/>
      <c r="D439"/>
      <c r="H439" s="5"/>
    </row>
    <row r="440" spans="1:8">
      <c r="A440"/>
      <c r="B440"/>
      <c r="C440"/>
      <c r="D440"/>
      <c r="H440" s="5"/>
    </row>
    <row r="441" spans="1:8">
      <c r="A441"/>
      <c r="B441"/>
      <c r="C441"/>
      <c r="D441"/>
      <c r="H441" s="5"/>
    </row>
    <row r="442" spans="1:8">
      <c r="A442"/>
      <c r="B442"/>
      <c r="C442"/>
      <c r="D442"/>
      <c r="H442" s="5"/>
    </row>
    <row r="443" spans="1:8">
      <c r="A443"/>
      <c r="B443"/>
      <c r="C443"/>
      <c r="D443"/>
      <c r="H443" s="5"/>
    </row>
    <row r="444" spans="1:8">
      <c r="A444"/>
      <c r="B444"/>
      <c r="C444"/>
      <c r="D444"/>
      <c r="H444" s="5"/>
    </row>
    <row r="445" spans="1:8">
      <c r="A445"/>
      <c r="B445"/>
      <c r="C445"/>
      <c r="D445"/>
      <c r="H445" s="5"/>
    </row>
    <row r="446" spans="1:8">
      <c r="A446"/>
      <c r="B446"/>
      <c r="C446"/>
      <c r="D446"/>
      <c r="H446" s="5"/>
    </row>
    <row r="447" spans="1:8">
      <c r="A447"/>
      <c r="B447"/>
      <c r="C447"/>
      <c r="D447"/>
      <c r="H447" s="5"/>
    </row>
    <row r="448" spans="1:8">
      <c r="A448"/>
      <c r="B448"/>
      <c r="C448"/>
      <c r="D448"/>
      <c r="H448" s="5"/>
    </row>
    <row r="449" spans="1:8">
      <c r="A449"/>
      <c r="B449"/>
      <c r="C449"/>
      <c r="D449"/>
      <c r="H449" s="5"/>
    </row>
    <row r="450" spans="1:8">
      <c r="A450"/>
      <c r="B450"/>
      <c r="C450"/>
      <c r="D450"/>
      <c r="H450" s="5"/>
    </row>
    <row r="451" spans="1:8">
      <c r="A451"/>
      <c r="B451"/>
      <c r="C451"/>
      <c r="D451"/>
      <c r="H451" s="5"/>
    </row>
    <row r="452" spans="1:8">
      <c r="A452"/>
      <c r="B452"/>
      <c r="C452"/>
      <c r="D452"/>
      <c r="H452" s="5"/>
    </row>
    <row r="453" spans="1:8">
      <c r="A453"/>
      <c r="B453"/>
      <c r="C453"/>
      <c r="D453"/>
      <c r="H453" s="5"/>
    </row>
    <row r="454" spans="1:8">
      <c r="A454"/>
      <c r="B454"/>
      <c r="C454"/>
      <c r="D454"/>
      <c r="H454" s="5"/>
    </row>
    <row r="455" spans="1:8">
      <c r="A455"/>
      <c r="B455"/>
      <c r="C455"/>
      <c r="D455"/>
      <c r="H455" s="5"/>
    </row>
    <row r="456" spans="1:8">
      <c r="A456"/>
      <c r="B456"/>
      <c r="C456"/>
      <c r="D456"/>
      <c r="H456" s="5"/>
    </row>
    <row r="457" spans="1:8">
      <c r="A457"/>
      <c r="B457"/>
      <c r="C457"/>
      <c r="D457"/>
      <c r="H457" s="5"/>
    </row>
    <row r="458" spans="1:8">
      <c r="A458"/>
      <c r="B458"/>
      <c r="C458"/>
      <c r="D458"/>
      <c r="H458" s="5"/>
    </row>
    <row r="459" spans="1:8">
      <c r="A459"/>
      <c r="B459"/>
      <c r="C459"/>
      <c r="D459"/>
      <c r="H459" s="5"/>
    </row>
    <row r="460" spans="1:8">
      <c r="A460"/>
      <c r="B460"/>
      <c r="C460"/>
      <c r="D460"/>
      <c r="H460" s="5"/>
    </row>
    <row r="461" spans="1:8">
      <c r="A461"/>
      <c r="B461"/>
      <c r="C461"/>
      <c r="D461"/>
      <c r="H461" s="5"/>
    </row>
    <row r="462" spans="1:8">
      <c r="A462"/>
      <c r="B462"/>
      <c r="C462"/>
      <c r="D462"/>
      <c r="H462" s="5"/>
    </row>
    <row r="463" spans="1:8">
      <c r="A463"/>
      <c r="B463"/>
      <c r="C463"/>
      <c r="D463"/>
      <c r="H463" s="5"/>
    </row>
    <row r="464" spans="1:8">
      <c r="A464"/>
      <c r="B464"/>
      <c r="C464"/>
      <c r="D464"/>
      <c r="H464" s="5"/>
    </row>
    <row r="465" spans="1:8">
      <c r="A465"/>
      <c r="B465"/>
      <c r="C465"/>
      <c r="D465"/>
      <c r="H465" s="5"/>
    </row>
    <row r="466" spans="1:8">
      <c r="A466"/>
      <c r="B466"/>
      <c r="C466"/>
      <c r="D466"/>
      <c r="H466" s="5"/>
    </row>
    <row r="467" spans="1:8">
      <c r="A467"/>
      <c r="B467"/>
      <c r="C467"/>
      <c r="D467"/>
      <c r="H467" s="5"/>
    </row>
    <row r="468" spans="1:8">
      <c r="A468"/>
      <c r="B468"/>
      <c r="C468"/>
      <c r="D468"/>
      <c r="H468" s="5"/>
    </row>
    <row r="469" spans="1:8">
      <c r="A469"/>
      <c r="B469"/>
      <c r="C469"/>
      <c r="D469"/>
      <c r="H469" s="5"/>
    </row>
    <row r="470" spans="1:8">
      <c r="A470"/>
      <c r="B470"/>
      <c r="C470"/>
      <c r="D470"/>
      <c r="H470" s="5"/>
    </row>
    <row r="471" spans="1:8">
      <c r="A471"/>
      <c r="B471"/>
      <c r="C471"/>
      <c r="D471"/>
      <c r="H471" s="5"/>
    </row>
    <row r="472" spans="1:8">
      <c r="A472"/>
      <c r="B472"/>
      <c r="C472"/>
      <c r="D472"/>
      <c r="H472" s="5"/>
    </row>
    <row r="473" spans="1:8">
      <c r="A473"/>
      <c r="B473"/>
      <c r="C473"/>
      <c r="D473"/>
      <c r="H473" s="5"/>
    </row>
    <row r="474" spans="1:8">
      <c r="A474"/>
      <c r="B474"/>
      <c r="C474"/>
      <c r="D474"/>
      <c r="H474" s="5"/>
    </row>
    <row r="475" spans="1:8">
      <c r="A475"/>
      <c r="B475"/>
      <c r="C475"/>
      <c r="D475"/>
      <c r="H475" s="5"/>
    </row>
    <row r="476" spans="1:8">
      <c r="A476"/>
      <c r="B476"/>
      <c r="C476"/>
      <c r="D476"/>
      <c r="H476" s="5"/>
    </row>
    <row r="477" spans="1:8">
      <c r="A477"/>
      <c r="B477"/>
      <c r="C477"/>
      <c r="D477"/>
      <c r="H477" s="5"/>
    </row>
    <row r="478" spans="1:8">
      <c r="A478"/>
      <c r="B478"/>
      <c r="C478"/>
      <c r="D478"/>
      <c r="H478" s="5"/>
    </row>
    <row r="479" spans="1:8">
      <c r="A479"/>
      <c r="B479"/>
      <c r="C479"/>
      <c r="D479"/>
      <c r="H479" s="5"/>
    </row>
    <row r="480" spans="1:8">
      <c r="A480"/>
      <c r="B480"/>
      <c r="C480"/>
      <c r="D480"/>
      <c r="H480" s="5"/>
    </row>
    <row r="481" spans="1:8">
      <c r="A481"/>
      <c r="B481"/>
      <c r="C481"/>
      <c r="D481"/>
      <c r="H481" s="5"/>
    </row>
    <row r="482" spans="1:8">
      <c r="A482"/>
      <c r="B482"/>
      <c r="C482"/>
      <c r="D482"/>
      <c r="H482" s="5"/>
    </row>
    <row r="483" spans="1:8">
      <c r="A483"/>
      <c r="B483"/>
      <c r="C483"/>
      <c r="D483"/>
      <c r="H483" s="5"/>
    </row>
    <row r="484" spans="1:8">
      <c r="A484"/>
      <c r="B484"/>
      <c r="C484"/>
      <c r="D484"/>
      <c r="H484" s="5"/>
    </row>
    <row r="485" spans="1:8">
      <c r="A485"/>
      <c r="B485"/>
      <c r="C485"/>
      <c r="D485"/>
      <c r="H485" s="5"/>
    </row>
    <row r="486" spans="1:8">
      <c r="A486"/>
      <c r="B486"/>
      <c r="C486"/>
      <c r="D486"/>
      <c r="H486" s="5"/>
    </row>
    <row r="487" spans="1:8">
      <c r="A487"/>
      <c r="B487"/>
      <c r="C487"/>
      <c r="D487"/>
      <c r="H487" s="5"/>
    </row>
    <row r="488" spans="1:8">
      <c r="A488"/>
      <c r="B488"/>
      <c r="C488"/>
      <c r="D488"/>
      <c r="H488" s="5"/>
    </row>
    <row r="489" spans="1:8">
      <c r="A489"/>
      <c r="B489"/>
      <c r="C489"/>
      <c r="D489"/>
      <c r="H489" s="5"/>
    </row>
    <row r="490" spans="1:8">
      <c r="A490"/>
      <c r="B490"/>
      <c r="C490"/>
      <c r="D490"/>
      <c r="H490" s="5"/>
    </row>
    <row r="491" spans="1:8">
      <c r="A491"/>
      <c r="B491"/>
      <c r="C491"/>
      <c r="D491"/>
      <c r="H491" s="5"/>
    </row>
    <row r="492" spans="1:8">
      <c r="A492"/>
      <c r="B492"/>
      <c r="C492"/>
      <c r="D492"/>
      <c r="H492" s="5"/>
    </row>
    <row r="493" spans="1:8">
      <c r="A493"/>
      <c r="B493"/>
      <c r="C493"/>
      <c r="D493"/>
      <c r="H493" s="5"/>
    </row>
    <row r="494" spans="1:8">
      <c r="A494"/>
      <c r="B494"/>
      <c r="C494"/>
      <c r="D494"/>
      <c r="H494" s="5"/>
    </row>
    <row r="495" spans="1:8">
      <c r="A495"/>
      <c r="B495"/>
      <c r="C495"/>
      <c r="D495"/>
      <c r="H495" s="5"/>
    </row>
    <row r="496" spans="1:8">
      <c r="A496"/>
      <c r="B496"/>
      <c r="C496"/>
      <c r="D496"/>
      <c r="H496" s="5"/>
    </row>
    <row r="497" spans="1:8">
      <c r="A497"/>
      <c r="B497"/>
      <c r="C497"/>
      <c r="D497"/>
      <c r="H497" s="5"/>
    </row>
    <row r="498" spans="1:8">
      <c r="A498"/>
      <c r="B498"/>
      <c r="C498"/>
      <c r="D498"/>
      <c r="H498" s="5"/>
    </row>
    <row r="499" spans="1:8">
      <c r="A499"/>
      <c r="B499"/>
      <c r="C499"/>
      <c r="D499"/>
      <c r="H499" s="5"/>
    </row>
    <row r="500" spans="1:8">
      <c r="A500"/>
      <c r="B500"/>
      <c r="C500"/>
      <c r="D500"/>
      <c r="H500" s="5"/>
    </row>
    <row r="501" spans="1:8">
      <c r="A501"/>
      <c r="B501"/>
      <c r="C501"/>
      <c r="D501"/>
      <c r="H501" s="5"/>
    </row>
    <row r="502" spans="1:8">
      <c r="A502"/>
      <c r="B502"/>
      <c r="C502"/>
      <c r="D502"/>
      <c r="H502" s="5"/>
    </row>
    <row r="503" spans="1:8">
      <c r="A503"/>
      <c r="B503"/>
      <c r="C503"/>
      <c r="D503"/>
      <c r="H503" s="5"/>
    </row>
    <row r="504" spans="1:8">
      <c r="A504"/>
      <c r="B504"/>
      <c r="C504"/>
      <c r="D504"/>
      <c r="H504" s="5"/>
    </row>
    <row r="505" spans="1:8">
      <c r="A505"/>
      <c r="B505"/>
      <c r="C505"/>
      <c r="D505"/>
      <c r="H505" s="5"/>
    </row>
    <row r="506" spans="1:8">
      <c r="A506"/>
      <c r="B506"/>
      <c r="C506"/>
      <c r="D506"/>
      <c r="H506" s="5"/>
    </row>
    <row r="507" spans="1:8">
      <c r="A507"/>
      <c r="B507"/>
      <c r="C507"/>
      <c r="D507"/>
      <c r="H507" s="5"/>
    </row>
    <row r="508" spans="1:8">
      <c r="A508"/>
      <c r="B508"/>
      <c r="C508"/>
      <c r="D508"/>
      <c r="H508" s="5"/>
    </row>
    <row r="509" spans="1:8">
      <c r="A509"/>
      <c r="B509"/>
      <c r="C509"/>
      <c r="D509"/>
      <c r="H509" s="5"/>
    </row>
    <row r="510" spans="1:8">
      <c r="A510"/>
      <c r="B510"/>
      <c r="C510"/>
      <c r="D510"/>
      <c r="H510" s="5"/>
    </row>
    <row r="511" spans="1:8">
      <c r="A511"/>
      <c r="B511"/>
      <c r="C511"/>
      <c r="D511"/>
      <c r="H511" s="5"/>
    </row>
    <row r="512" spans="1:8">
      <c r="A512"/>
      <c r="B512"/>
      <c r="C512"/>
      <c r="D512"/>
      <c r="H512" s="5"/>
    </row>
    <row r="513" spans="1:8">
      <c r="A513"/>
      <c r="B513"/>
      <c r="C513"/>
      <c r="D513"/>
      <c r="H513" s="5"/>
    </row>
    <row r="514" spans="1:8">
      <c r="A514"/>
      <c r="B514"/>
      <c r="C514"/>
      <c r="D514"/>
      <c r="H514" s="5"/>
    </row>
    <row r="515" spans="1:8">
      <c r="A515"/>
      <c r="B515"/>
      <c r="C515"/>
      <c r="D515"/>
      <c r="H515" s="5"/>
    </row>
    <row r="516" spans="1:8">
      <c r="A516"/>
      <c r="B516"/>
      <c r="C516"/>
      <c r="D516"/>
      <c r="H516" s="5"/>
    </row>
    <row r="517" spans="1:8">
      <c r="A517"/>
      <c r="B517"/>
      <c r="C517"/>
      <c r="D517"/>
      <c r="H517" s="5"/>
    </row>
    <row r="518" spans="1:8">
      <c r="A518"/>
      <c r="B518"/>
      <c r="C518"/>
      <c r="D518"/>
      <c r="H518" s="5"/>
    </row>
    <row r="519" spans="1:8">
      <c r="A519"/>
      <c r="B519"/>
      <c r="C519"/>
      <c r="D519"/>
      <c r="H519" s="5"/>
    </row>
    <row r="520" spans="1:8">
      <c r="A520"/>
      <c r="B520"/>
      <c r="C520"/>
      <c r="D520"/>
      <c r="H520" s="5"/>
    </row>
    <row r="521" spans="1:8">
      <c r="A521"/>
      <c r="B521"/>
      <c r="C521"/>
      <c r="D521"/>
      <c r="H521" s="5"/>
    </row>
    <row r="522" spans="1:8">
      <c r="A522"/>
      <c r="B522"/>
      <c r="C522"/>
      <c r="D522"/>
      <c r="H522" s="5"/>
    </row>
    <row r="523" spans="1:8">
      <c r="A523"/>
      <c r="B523"/>
      <c r="C523"/>
      <c r="D523"/>
      <c r="H523" s="5"/>
    </row>
    <row r="524" spans="1:8">
      <c r="A524"/>
      <c r="B524"/>
      <c r="C524"/>
      <c r="D524"/>
      <c r="H524" s="5"/>
    </row>
    <row r="525" spans="1:8">
      <c r="A525"/>
      <c r="B525"/>
      <c r="C525"/>
      <c r="D525"/>
      <c r="H525" s="5"/>
    </row>
    <row r="526" spans="1:8">
      <c r="A526"/>
      <c r="B526"/>
      <c r="C526"/>
      <c r="D526"/>
      <c r="H526" s="5"/>
    </row>
    <row r="527" spans="1:8">
      <c r="A527"/>
      <c r="B527"/>
      <c r="C527"/>
      <c r="D527"/>
      <c r="H527" s="5"/>
    </row>
    <row r="528" spans="1:8">
      <c r="A528"/>
      <c r="B528"/>
      <c r="C528"/>
      <c r="D528"/>
      <c r="H528" s="5"/>
    </row>
    <row r="529" spans="1:8">
      <c r="A529"/>
      <c r="B529"/>
      <c r="C529"/>
      <c r="D529"/>
      <c r="H529" s="5"/>
    </row>
    <row r="530" spans="1:8">
      <c r="A530"/>
      <c r="B530"/>
      <c r="C530"/>
      <c r="D530"/>
      <c r="H530" s="5"/>
    </row>
    <row r="531" spans="1:8">
      <c r="A531"/>
      <c r="B531"/>
      <c r="C531"/>
      <c r="D531"/>
      <c r="H531" s="5"/>
    </row>
    <row r="532" spans="1:8">
      <c r="A532"/>
      <c r="B532"/>
      <c r="C532"/>
      <c r="D532"/>
      <c r="H532" s="5"/>
    </row>
    <row r="533" spans="1:8">
      <c r="A533"/>
      <c r="B533"/>
      <c r="C533"/>
      <c r="D533"/>
      <c r="H533" s="5"/>
    </row>
    <row r="534" spans="1:8">
      <c r="A534"/>
      <c r="B534"/>
      <c r="C534"/>
      <c r="D534"/>
      <c r="H534" s="5"/>
    </row>
    <row r="535" spans="1:8">
      <c r="A535"/>
      <c r="B535"/>
      <c r="C535"/>
      <c r="D535"/>
      <c r="H535" s="5"/>
    </row>
    <row r="536" spans="1:8">
      <c r="A536"/>
      <c r="B536"/>
      <c r="C536"/>
      <c r="D536"/>
      <c r="H536" s="5"/>
    </row>
    <row r="537" spans="1:8">
      <c r="A537"/>
      <c r="B537"/>
      <c r="C537"/>
      <c r="D537"/>
      <c r="H537" s="5"/>
    </row>
    <row r="538" spans="1:8">
      <c r="A538"/>
      <c r="B538"/>
      <c r="C538"/>
      <c r="D538"/>
      <c r="H538" s="5"/>
    </row>
    <row r="539" spans="1:8">
      <c r="A539"/>
      <c r="B539"/>
      <c r="C539"/>
      <c r="D539"/>
      <c r="H539" s="5"/>
    </row>
    <row r="540" spans="1:8">
      <c r="A540"/>
      <c r="B540"/>
      <c r="C540"/>
      <c r="D540"/>
      <c r="H540" s="5"/>
    </row>
    <row r="541" spans="1:8">
      <c r="A541"/>
      <c r="B541"/>
      <c r="C541"/>
      <c r="D541"/>
      <c r="H541" s="5"/>
    </row>
    <row r="542" spans="1:8">
      <c r="A542"/>
      <c r="B542"/>
      <c r="C542"/>
      <c r="D542"/>
      <c r="H542" s="5"/>
    </row>
    <row r="543" spans="1:8">
      <c r="A543"/>
      <c r="B543"/>
      <c r="C543"/>
      <c r="D543"/>
      <c r="H543" s="5"/>
    </row>
    <row r="544" spans="1:8">
      <c r="A544"/>
      <c r="B544"/>
      <c r="C544"/>
      <c r="D544"/>
      <c r="H544" s="5"/>
    </row>
    <row r="545" spans="1:8">
      <c r="A545"/>
      <c r="B545"/>
      <c r="C545"/>
      <c r="D545"/>
      <c r="H545" s="5"/>
    </row>
    <row r="546" spans="1:8">
      <c r="A546"/>
      <c r="B546"/>
      <c r="C546"/>
      <c r="D546"/>
      <c r="H546" s="5"/>
    </row>
    <row r="547" spans="1:8">
      <c r="A547"/>
      <c r="B547"/>
      <c r="C547"/>
      <c r="D547"/>
      <c r="H547" s="5"/>
    </row>
    <row r="548" spans="1:8">
      <c r="A548"/>
      <c r="B548"/>
      <c r="C548"/>
      <c r="D548"/>
      <c r="H548" s="5"/>
    </row>
    <row r="549" spans="1:8">
      <c r="A549"/>
      <c r="B549"/>
      <c r="C549"/>
      <c r="D549"/>
      <c r="H549" s="5"/>
    </row>
    <row r="550" spans="1:8">
      <c r="A550"/>
      <c r="B550"/>
      <c r="C550"/>
      <c r="D550"/>
      <c r="H550" s="5"/>
    </row>
    <row r="551" spans="1:8">
      <c r="A551"/>
      <c r="B551"/>
      <c r="C551"/>
      <c r="D551"/>
      <c r="H551" s="5"/>
    </row>
    <row r="552" spans="1:8">
      <c r="A552"/>
      <c r="B552"/>
      <c r="C552"/>
      <c r="D552"/>
      <c r="H552" s="5"/>
    </row>
    <row r="553" spans="1:8">
      <c r="A553"/>
      <c r="B553"/>
      <c r="C553"/>
      <c r="D553"/>
      <c r="H553" s="5"/>
    </row>
    <row r="554" spans="1:8">
      <c r="A554"/>
      <c r="B554"/>
      <c r="C554"/>
      <c r="D554"/>
      <c r="H554" s="5"/>
    </row>
    <row r="555" spans="1:8">
      <c r="A555"/>
      <c r="B555"/>
      <c r="C555"/>
      <c r="D555"/>
      <c r="H555" s="5"/>
    </row>
    <row r="556" spans="1:8">
      <c r="A556"/>
      <c r="B556"/>
      <c r="C556"/>
      <c r="D556"/>
      <c r="H556" s="5"/>
    </row>
    <row r="557" spans="1:8">
      <c r="A557"/>
      <c r="B557"/>
      <c r="C557"/>
      <c r="D557"/>
      <c r="H557" s="5"/>
    </row>
    <row r="558" spans="1:8">
      <c r="A558"/>
      <c r="B558"/>
      <c r="C558"/>
      <c r="D558"/>
      <c r="H558" s="5"/>
    </row>
    <row r="559" spans="1:8">
      <c r="A559"/>
      <c r="B559"/>
      <c r="C559"/>
      <c r="D559"/>
      <c r="H559" s="5"/>
    </row>
    <row r="560" spans="1:8">
      <c r="A560"/>
      <c r="B560"/>
      <c r="C560"/>
      <c r="D560"/>
      <c r="H560" s="5"/>
    </row>
    <row r="561" spans="1:8">
      <c r="A561"/>
      <c r="B561"/>
      <c r="C561"/>
      <c r="D561"/>
      <c r="H561" s="5"/>
    </row>
    <row r="562" spans="1:8">
      <c r="A562"/>
      <c r="B562"/>
      <c r="C562"/>
      <c r="D562"/>
      <c r="H562" s="5"/>
    </row>
    <row r="563" spans="1:8">
      <c r="A563"/>
      <c r="B563"/>
      <c r="C563"/>
      <c r="D563"/>
      <c r="H563" s="5"/>
    </row>
    <row r="564" spans="1:8">
      <c r="A564"/>
      <c r="B564"/>
      <c r="C564"/>
      <c r="D564"/>
      <c r="H564" s="5"/>
    </row>
    <row r="565" spans="1:8">
      <c r="A565"/>
      <c r="B565"/>
      <c r="C565"/>
      <c r="D565"/>
      <c r="H565" s="5"/>
    </row>
    <row r="566" spans="1:8">
      <c r="A566"/>
      <c r="B566"/>
      <c r="C566"/>
      <c r="D566"/>
      <c r="H566" s="5"/>
    </row>
    <row r="567" spans="1:8">
      <c r="A567"/>
      <c r="B567"/>
      <c r="C567"/>
      <c r="D567"/>
      <c r="H567" s="5"/>
    </row>
    <row r="568" spans="1:8">
      <c r="A568"/>
      <c r="B568"/>
      <c r="C568"/>
      <c r="D568"/>
      <c r="H568" s="5"/>
    </row>
    <row r="569" spans="1:8">
      <c r="A569"/>
      <c r="B569"/>
      <c r="C569"/>
      <c r="D569"/>
      <c r="H569" s="5"/>
    </row>
    <row r="570" spans="1:8">
      <c r="A570"/>
      <c r="B570"/>
      <c r="C570"/>
      <c r="D570"/>
      <c r="H570" s="5"/>
    </row>
    <row r="571" spans="1:8">
      <c r="A571"/>
      <c r="B571"/>
      <c r="C571"/>
      <c r="D571"/>
      <c r="H571" s="5"/>
    </row>
    <row r="572" spans="1:8">
      <c r="A572"/>
      <c r="B572"/>
      <c r="C572"/>
      <c r="D572"/>
      <c r="H572" s="5"/>
    </row>
    <row r="573" spans="1:8">
      <c r="A573"/>
      <c r="B573"/>
      <c r="C573"/>
      <c r="D573"/>
      <c r="H573" s="5"/>
    </row>
    <row r="574" spans="1:8">
      <c r="A574"/>
      <c r="B574"/>
      <c r="C574"/>
      <c r="D574"/>
      <c r="H574" s="5"/>
    </row>
    <row r="575" spans="1:8">
      <c r="A575"/>
      <c r="B575"/>
      <c r="C575"/>
      <c r="D575"/>
      <c r="H575" s="5"/>
    </row>
    <row r="576" spans="1:8">
      <c r="A576"/>
      <c r="B576"/>
      <c r="C576"/>
      <c r="D576"/>
      <c r="H576" s="5"/>
    </row>
    <row r="577" spans="1:8">
      <c r="A577"/>
      <c r="B577"/>
      <c r="C577"/>
      <c r="D577"/>
      <c r="H577" s="5"/>
    </row>
    <row r="578" spans="1:8">
      <c r="A578"/>
      <c r="B578"/>
      <c r="C578"/>
      <c r="D578"/>
      <c r="H578" s="5"/>
    </row>
    <row r="579" spans="1:8">
      <c r="A579"/>
      <c r="B579"/>
      <c r="C579"/>
      <c r="D579"/>
      <c r="H579" s="5"/>
    </row>
    <row r="580" spans="1:8">
      <c r="A580"/>
      <c r="B580"/>
      <c r="C580"/>
      <c r="D580"/>
      <c r="H580" s="5"/>
    </row>
    <row r="581" spans="1:8">
      <c r="A581"/>
      <c r="B581"/>
      <c r="C581"/>
      <c r="D581"/>
      <c r="H581" s="5"/>
    </row>
    <row r="582" spans="1:8">
      <c r="A582"/>
      <c r="B582"/>
      <c r="C582"/>
      <c r="D582"/>
      <c r="H582" s="5"/>
    </row>
    <row r="583" spans="1:8">
      <c r="A583"/>
      <c r="B583"/>
      <c r="C583"/>
      <c r="D583"/>
      <c r="H583" s="5"/>
    </row>
    <row r="584" spans="1:8">
      <c r="A584"/>
      <c r="B584"/>
      <c r="C584"/>
      <c r="D584"/>
      <c r="H584" s="5"/>
    </row>
    <row r="585" spans="1:8">
      <c r="A585"/>
      <c r="B585"/>
      <c r="C585"/>
      <c r="D585"/>
      <c r="H585" s="5"/>
    </row>
    <row r="586" spans="1:8">
      <c r="A586"/>
      <c r="B586"/>
      <c r="C586"/>
      <c r="D586"/>
      <c r="H586" s="5"/>
    </row>
    <row r="587" spans="1:8">
      <c r="A587"/>
      <c r="B587"/>
      <c r="C587"/>
      <c r="D587"/>
      <c r="H587" s="5"/>
    </row>
    <row r="588" spans="1:8">
      <c r="A588"/>
      <c r="B588"/>
      <c r="C588"/>
      <c r="D588"/>
      <c r="H588" s="5"/>
    </row>
    <row r="589" spans="1:8">
      <c r="A589"/>
      <c r="B589"/>
      <c r="C589"/>
      <c r="D589"/>
      <c r="H589" s="5"/>
    </row>
    <row r="590" spans="1:8">
      <c r="A590"/>
      <c r="B590"/>
      <c r="C590"/>
      <c r="D590"/>
      <c r="H590" s="5"/>
    </row>
    <row r="591" spans="1:8">
      <c r="A591"/>
      <c r="B591"/>
      <c r="C591"/>
      <c r="D591"/>
      <c r="H591" s="5"/>
    </row>
    <row r="592" spans="1:8">
      <c r="A592"/>
      <c r="B592"/>
      <c r="C592"/>
      <c r="D592"/>
      <c r="H592" s="5"/>
    </row>
    <row r="593" spans="1:8">
      <c r="A593"/>
      <c r="B593"/>
      <c r="C593"/>
      <c r="D593"/>
      <c r="H593" s="5"/>
    </row>
    <row r="594" spans="1:8">
      <c r="A594"/>
      <c r="B594"/>
      <c r="C594"/>
      <c r="D594"/>
      <c r="H594" s="5"/>
    </row>
    <row r="595" spans="1:8">
      <c r="A595"/>
      <c r="B595"/>
      <c r="C595"/>
      <c r="D595"/>
      <c r="H595" s="5"/>
    </row>
    <row r="596" spans="1:8">
      <c r="A596"/>
      <c r="B596"/>
      <c r="C596"/>
      <c r="D596"/>
      <c r="H596" s="5"/>
    </row>
    <row r="597" spans="1:8">
      <c r="A597"/>
      <c r="B597"/>
      <c r="C597"/>
      <c r="D597"/>
      <c r="H597" s="5"/>
    </row>
    <row r="598" spans="1:8">
      <c r="A598"/>
      <c r="B598"/>
      <c r="C598"/>
      <c r="D598"/>
      <c r="H598" s="5"/>
    </row>
    <row r="599" spans="1:8">
      <c r="A599"/>
      <c r="B599"/>
      <c r="C599"/>
      <c r="D599"/>
      <c r="H599" s="5"/>
    </row>
    <row r="600" spans="1:8">
      <c r="A600"/>
      <c r="B600"/>
      <c r="C600"/>
      <c r="D600"/>
      <c r="H600" s="5"/>
    </row>
    <row r="601" spans="1:8">
      <c r="A601"/>
      <c r="B601"/>
      <c r="C601"/>
      <c r="D601"/>
      <c r="H601" s="5"/>
    </row>
    <row r="602" spans="1:8">
      <c r="A602"/>
      <c r="B602"/>
      <c r="C602"/>
      <c r="D602"/>
      <c r="H602" s="5"/>
    </row>
    <row r="603" spans="1:8">
      <c r="A603"/>
      <c r="B603"/>
      <c r="C603"/>
      <c r="D603"/>
      <c r="H603" s="5"/>
    </row>
    <row r="604" spans="1:8">
      <c r="A604"/>
      <c r="B604"/>
      <c r="C604"/>
      <c r="D604"/>
      <c r="H604" s="5"/>
    </row>
    <row r="605" spans="1:8">
      <c r="A605"/>
      <c r="B605"/>
      <c r="C605"/>
      <c r="D605"/>
      <c r="H605" s="5"/>
    </row>
    <row r="606" spans="1:8">
      <c r="A606"/>
      <c r="B606"/>
      <c r="C606"/>
      <c r="D606"/>
      <c r="H606" s="5"/>
    </row>
    <row r="607" spans="1:8">
      <c r="A607"/>
      <c r="B607"/>
      <c r="C607"/>
      <c r="D607"/>
      <c r="H607" s="5"/>
    </row>
    <row r="608" spans="1:8">
      <c r="A608"/>
      <c r="B608"/>
      <c r="C608"/>
      <c r="D608"/>
      <c r="H608" s="5"/>
    </row>
    <row r="609" spans="1:8">
      <c r="A609"/>
      <c r="B609"/>
      <c r="C609"/>
      <c r="D609"/>
      <c r="H609" s="5"/>
    </row>
    <row r="610" spans="1:8">
      <c r="A610"/>
      <c r="B610"/>
      <c r="C610"/>
      <c r="D610"/>
      <c r="H610" s="5"/>
    </row>
    <row r="611" spans="1:8">
      <c r="A611"/>
      <c r="B611"/>
      <c r="C611"/>
      <c r="D611"/>
      <c r="H611" s="5"/>
    </row>
    <row r="612" spans="1:8">
      <c r="A612"/>
      <c r="B612"/>
      <c r="C612"/>
      <c r="D612"/>
      <c r="H612" s="5"/>
    </row>
    <row r="613" spans="1:8">
      <c r="A613"/>
      <c r="B613"/>
      <c r="C613"/>
      <c r="D613"/>
      <c r="H613" s="5"/>
    </row>
    <row r="614" spans="1:8">
      <c r="A614"/>
      <c r="B614"/>
      <c r="C614"/>
      <c r="D614"/>
      <c r="H614" s="5"/>
    </row>
    <row r="615" spans="1:8">
      <c r="A615"/>
      <c r="B615"/>
      <c r="C615"/>
      <c r="D615"/>
      <c r="H615" s="5"/>
    </row>
    <row r="616" spans="1:8">
      <c r="A616"/>
      <c r="B616"/>
      <c r="C616"/>
      <c r="D616"/>
      <c r="H616" s="5"/>
    </row>
    <row r="617" spans="1:8">
      <c r="A617"/>
      <c r="B617"/>
      <c r="C617"/>
      <c r="D617"/>
      <c r="H617" s="5"/>
    </row>
    <row r="618" spans="1:8">
      <c r="A618"/>
      <c r="B618"/>
      <c r="C618"/>
      <c r="D618"/>
      <c r="H618" s="5"/>
    </row>
    <row r="619" spans="1:8">
      <c r="A619"/>
      <c r="B619"/>
      <c r="C619"/>
      <c r="D619"/>
      <c r="H619" s="5"/>
    </row>
    <row r="620" spans="1:8">
      <c r="A620"/>
      <c r="B620"/>
      <c r="C620"/>
      <c r="D620"/>
      <c r="H620" s="5"/>
    </row>
    <row r="621" spans="1:8">
      <c r="A621"/>
      <c r="B621"/>
      <c r="C621"/>
      <c r="D621"/>
      <c r="H621" s="5"/>
    </row>
    <row r="622" spans="1:8">
      <c r="A622"/>
      <c r="B622"/>
      <c r="C622"/>
      <c r="D622"/>
      <c r="H622" s="5"/>
    </row>
    <row r="623" spans="1:8">
      <c r="A623"/>
      <c r="B623"/>
      <c r="C623"/>
      <c r="D623"/>
      <c r="H623" s="5"/>
    </row>
    <row r="624" spans="1:8">
      <c r="A624"/>
      <c r="B624"/>
      <c r="C624"/>
      <c r="D624"/>
      <c r="H624" s="5"/>
    </row>
    <row r="625" spans="1:8">
      <c r="A625"/>
      <c r="B625"/>
      <c r="C625"/>
      <c r="D625"/>
      <c r="H625" s="5"/>
    </row>
    <row r="626" spans="1:8">
      <c r="A626"/>
      <c r="B626"/>
      <c r="C626"/>
      <c r="D626"/>
      <c r="H626" s="5"/>
    </row>
    <row r="627" spans="1:8">
      <c r="A627"/>
      <c r="B627"/>
      <c r="C627"/>
      <c r="D627"/>
      <c r="H627" s="5"/>
    </row>
    <row r="628" spans="1:8">
      <c r="A628"/>
      <c r="B628"/>
      <c r="C628"/>
      <c r="D628"/>
      <c r="H628" s="5"/>
    </row>
    <row r="629" spans="1:8">
      <c r="A629"/>
      <c r="B629"/>
      <c r="C629"/>
      <c r="D629"/>
      <c r="H629" s="5"/>
    </row>
    <row r="630" spans="1:8">
      <c r="A630"/>
      <c r="B630"/>
      <c r="C630"/>
      <c r="D630"/>
      <c r="H630" s="5"/>
    </row>
    <row r="631" spans="1:8">
      <c r="A631"/>
      <c r="B631"/>
      <c r="C631"/>
      <c r="D631"/>
      <c r="H631" s="5"/>
    </row>
    <row r="632" spans="1:8">
      <c r="A632"/>
      <c r="B632"/>
      <c r="C632"/>
      <c r="D632"/>
      <c r="H632" s="5"/>
    </row>
    <row r="633" spans="1:8">
      <c r="A633"/>
      <c r="B633"/>
      <c r="C633"/>
      <c r="D633"/>
      <c r="H633" s="5"/>
    </row>
    <row r="634" spans="1:8">
      <c r="A634"/>
      <c r="B634"/>
      <c r="C634"/>
      <c r="D634"/>
      <c r="H634" s="5"/>
    </row>
    <row r="635" spans="1:8">
      <c r="A635"/>
      <c r="B635"/>
      <c r="C635"/>
      <c r="D635"/>
      <c r="H635" s="5"/>
    </row>
    <row r="636" spans="1:8">
      <c r="A636"/>
      <c r="B636"/>
      <c r="C636"/>
      <c r="D636"/>
      <c r="H636" s="5"/>
    </row>
    <row r="637" spans="1:8">
      <c r="A637"/>
      <c r="B637"/>
      <c r="C637"/>
      <c r="D637"/>
      <c r="H637" s="5"/>
    </row>
    <row r="638" spans="1:8">
      <c r="A638"/>
      <c r="B638"/>
      <c r="C638"/>
      <c r="D638"/>
      <c r="H638" s="5"/>
    </row>
    <row r="639" spans="1:8">
      <c r="A639"/>
      <c r="B639"/>
      <c r="C639"/>
      <c r="D639"/>
      <c r="H639" s="5"/>
    </row>
    <row r="640" spans="1:8">
      <c r="A640"/>
      <c r="B640"/>
      <c r="C640"/>
      <c r="D640"/>
      <c r="H640" s="5"/>
    </row>
    <row r="641" spans="1:8">
      <c r="A641"/>
      <c r="B641"/>
      <c r="C641"/>
      <c r="D641"/>
      <c r="H641" s="5"/>
    </row>
    <row r="642" spans="1:8">
      <c r="A642"/>
      <c r="B642"/>
      <c r="C642"/>
      <c r="D642"/>
      <c r="H642" s="5"/>
    </row>
    <row r="643" spans="1:8">
      <c r="A643"/>
      <c r="B643"/>
      <c r="C643"/>
      <c r="D643"/>
      <c r="H643" s="5"/>
    </row>
    <row r="644" spans="1:8">
      <c r="A644"/>
      <c r="B644"/>
      <c r="C644"/>
      <c r="D644"/>
      <c r="H644" s="5"/>
    </row>
    <row r="645" spans="1:8">
      <c r="A645"/>
      <c r="B645"/>
      <c r="C645"/>
      <c r="D645"/>
      <c r="H645" s="5"/>
    </row>
    <row r="646" spans="1:8">
      <c r="A646"/>
      <c r="B646"/>
      <c r="C646"/>
      <c r="D646"/>
      <c r="H646" s="5"/>
    </row>
    <row r="647" spans="1:8">
      <c r="A647"/>
      <c r="B647"/>
      <c r="C647"/>
      <c r="D647"/>
      <c r="H647" s="5"/>
    </row>
    <row r="648" spans="1:8">
      <c r="A648"/>
      <c r="B648"/>
      <c r="C648"/>
      <c r="D648"/>
      <c r="H648" s="5"/>
    </row>
    <row r="649" spans="1:8">
      <c r="A649"/>
      <c r="B649"/>
      <c r="C649"/>
      <c r="D649"/>
      <c r="H649" s="5"/>
    </row>
    <row r="650" spans="1:8">
      <c r="A650"/>
      <c r="B650"/>
      <c r="C650"/>
      <c r="D650"/>
      <c r="H650" s="5"/>
    </row>
    <row r="651" spans="1:8">
      <c r="A651"/>
      <c r="B651"/>
      <c r="C651"/>
      <c r="D651"/>
      <c r="H651" s="5"/>
    </row>
    <row r="652" spans="1:8">
      <c r="A652"/>
      <c r="B652"/>
      <c r="C652"/>
      <c r="D652"/>
      <c r="H652" s="5"/>
    </row>
    <row r="653" spans="1:8">
      <c r="A653"/>
      <c r="B653"/>
      <c r="C653"/>
      <c r="D653"/>
      <c r="H653" s="5"/>
    </row>
    <row r="654" spans="1:8">
      <c r="A654"/>
      <c r="B654"/>
      <c r="C654"/>
      <c r="D654"/>
      <c r="H654" s="5"/>
    </row>
    <row r="655" spans="1:8">
      <c r="A655"/>
      <c r="B655"/>
      <c r="C655"/>
      <c r="D655"/>
      <c r="H655" s="5"/>
    </row>
    <row r="656" spans="1:8">
      <c r="A656"/>
      <c r="B656"/>
      <c r="C656"/>
      <c r="D656"/>
      <c r="H656" s="5"/>
    </row>
    <row r="657" spans="1:8">
      <c r="A657"/>
      <c r="B657"/>
      <c r="C657"/>
      <c r="D657"/>
      <c r="H657" s="5"/>
    </row>
    <row r="658" spans="1:8">
      <c r="A658"/>
      <c r="B658"/>
      <c r="C658"/>
      <c r="D658"/>
      <c r="H658" s="5"/>
    </row>
    <row r="659" spans="1:8">
      <c r="A659"/>
      <c r="B659"/>
      <c r="C659"/>
      <c r="D659"/>
      <c r="H659" s="5"/>
    </row>
    <row r="660" spans="1:8">
      <c r="A660"/>
      <c r="B660"/>
      <c r="C660"/>
      <c r="D660"/>
      <c r="H660" s="5"/>
    </row>
    <row r="661" spans="1:8">
      <c r="A661"/>
      <c r="B661"/>
      <c r="C661"/>
      <c r="D661"/>
      <c r="H661" s="5"/>
    </row>
    <row r="662" spans="1:8">
      <c r="A662"/>
      <c r="B662"/>
      <c r="C662"/>
      <c r="D662"/>
      <c r="H662" s="5"/>
    </row>
    <row r="663" spans="1:8">
      <c r="A663"/>
      <c r="B663"/>
      <c r="C663"/>
      <c r="D663"/>
      <c r="H663" s="5"/>
    </row>
    <row r="664" spans="1:8">
      <c r="A664"/>
      <c r="B664"/>
      <c r="C664"/>
      <c r="D664"/>
      <c r="H664" s="5"/>
    </row>
    <row r="665" spans="1:8">
      <c r="A665"/>
      <c r="B665"/>
      <c r="C665"/>
      <c r="D665"/>
      <c r="H665" s="5"/>
    </row>
    <row r="666" spans="1:8">
      <c r="A666"/>
      <c r="B666"/>
      <c r="C666"/>
      <c r="D666"/>
      <c r="H666" s="5"/>
    </row>
    <row r="667" spans="1:8">
      <c r="A667"/>
      <c r="B667"/>
      <c r="C667"/>
      <c r="D667"/>
      <c r="H667" s="5"/>
    </row>
    <row r="668" spans="1:8">
      <c r="A668"/>
      <c r="B668"/>
      <c r="C668"/>
      <c r="D668"/>
      <c r="H668" s="5"/>
    </row>
    <row r="669" spans="1:8">
      <c r="A669"/>
      <c r="B669"/>
      <c r="C669"/>
      <c r="D669"/>
      <c r="H669" s="5"/>
    </row>
    <row r="670" spans="1:8">
      <c r="A670"/>
      <c r="B670"/>
      <c r="C670"/>
      <c r="D670"/>
      <c r="H670" s="5"/>
    </row>
    <row r="671" spans="1:8">
      <c r="A671"/>
      <c r="B671"/>
      <c r="C671"/>
      <c r="D671"/>
      <c r="H671" s="5"/>
    </row>
    <row r="672" spans="1:8">
      <c r="A672"/>
      <c r="B672"/>
      <c r="C672"/>
      <c r="D672"/>
      <c r="H672" s="5"/>
    </row>
    <row r="673" spans="1:8">
      <c r="A673"/>
      <c r="B673"/>
      <c r="C673"/>
      <c r="D673"/>
      <c r="H673" s="5"/>
    </row>
    <row r="674" spans="1:8">
      <c r="A674"/>
      <c r="B674"/>
      <c r="C674"/>
      <c r="D674"/>
      <c r="H674" s="5"/>
    </row>
    <row r="675" spans="1:8">
      <c r="A675"/>
      <c r="B675"/>
      <c r="C675"/>
      <c r="D675"/>
      <c r="H675" s="5"/>
    </row>
    <row r="676" spans="1:8">
      <c r="A676"/>
      <c r="B676"/>
      <c r="C676"/>
      <c r="D676"/>
      <c r="H676" s="5"/>
    </row>
    <row r="677" spans="1:8">
      <c r="A677"/>
      <c r="B677"/>
      <c r="C677"/>
      <c r="D677"/>
      <c r="H677" s="5"/>
    </row>
    <row r="678" spans="1:8">
      <c r="A678"/>
      <c r="B678"/>
      <c r="C678"/>
      <c r="D678"/>
      <c r="H678" s="5"/>
    </row>
    <row r="679" spans="1:8">
      <c r="A679"/>
      <c r="B679"/>
      <c r="C679"/>
      <c r="D679"/>
      <c r="H679" s="5"/>
    </row>
    <row r="680" spans="1:8">
      <c r="A680"/>
      <c r="B680"/>
      <c r="C680"/>
      <c r="D680"/>
      <c r="H680" s="5"/>
    </row>
    <row r="681" spans="1:8">
      <c r="A681"/>
      <c r="B681"/>
      <c r="C681"/>
      <c r="D681"/>
      <c r="H681" s="5"/>
    </row>
    <row r="682" spans="1:8">
      <c r="A682"/>
      <c r="B682"/>
      <c r="C682"/>
      <c r="D682"/>
      <c r="H682" s="5"/>
    </row>
    <row r="683" spans="1:8">
      <c r="A683"/>
      <c r="B683"/>
      <c r="C683"/>
      <c r="D683"/>
      <c r="H683" s="5"/>
    </row>
    <row r="684" spans="1:8">
      <c r="A684"/>
      <c r="B684"/>
      <c r="C684"/>
      <c r="D684"/>
      <c r="H684" s="5"/>
    </row>
    <row r="685" spans="1:8">
      <c r="A685"/>
      <c r="B685"/>
      <c r="C685"/>
      <c r="D685"/>
      <c r="H685" s="5"/>
    </row>
    <row r="686" spans="1:8">
      <c r="A686"/>
      <c r="B686"/>
      <c r="C686"/>
      <c r="D686"/>
      <c r="H686" s="5"/>
    </row>
    <row r="687" spans="1:8">
      <c r="A687"/>
      <c r="B687"/>
      <c r="C687"/>
      <c r="D687"/>
      <c r="H687" s="5"/>
    </row>
    <row r="688" spans="1:8">
      <c r="A688"/>
      <c r="B688"/>
      <c r="C688"/>
      <c r="D688"/>
      <c r="H688" s="5"/>
    </row>
    <row r="689" spans="1:8">
      <c r="A689"/>
      <c r="B689"/>
      <c r="C689"/>
      <c r="D689"/>
      <c r="H689" s="5"/>
    </row>
    <row r="690" spans="1:8">
      <c r="A690"/>
      <c r="B690"/>
      <c r="C690"/>
      <c r="D690"/>
      <c r="H690" s="5"/>
    </row>
    <row r="691" spans="1:8">
      <c r="A691"/>
      <c r="B691"/>
      <c r="C691"/>
      <c r="D691"/>
      <c r="H691" s="5"/>
    </row>
    <row r="692" spans="1:8">
      <c r="A692"/>
      <c r="B692"/>
      <c r="C692"/>
      <c r="D692"/>
      <c r="H692" s="5"/>
    </row>
    <row r="693" spans="1:8">
      <c r="A693"/>
      <c r="B693"/>
      <c r="C693"/>
      <c r="D693"/>
      <c r="H693" s="5"/>
    </row>
    <row r="694" spans="1:8">
      <c r="A694"/>
      <c r="B694"/>
      <c r="C694"/>
      <c r="D694"/>
      <c r="H694" s="5"/>
    </row>
    <row r="695" spans="1:8">
      <c r="A695"/>
      <c r="B695"/>
      <c r="C695"/>
      <c r="D695"/>
      <c r="H695" s="5"/>
    </row>
    <row r="696" spans="1:8">
      <c r="A696"/>
      <c r="B696"/>
      <c r="C696"/>
      <c r="D696"/>
      <c r="H696" s="5"/>
    </row>
    <row r="697" spans="1:8">
      <c r="A697"/>
      <c r="B697"/>
      <c r="C697"/>
      <c r="D697"/>
      <c r="H697" s="5"/>
    </row>
    <row r="698" spans="1:8">
      <c r="A698"/>
      <c r="B698"/>
      <c r="C698"/>
      <c r="D698"/>
      <c r="H698" s="5"/>
    </row>
    <row r="699" spans="1:8">
      <c r="A699"/>
      <c r="B699"/>
      <c r="C699"/>
      <c r="D699"/>
      <c r="H699" s="5"/>
    </row>
    <row r="700" spans="1:8">
      <c r="A700"/>
      <c r="B700"/>
      <c r="C700"/>
      <c r="D700"/>
      <c r="H700" s="5"/>
    </row>
    <row r="701" spans="1:8">
      <c r="A701"/>
      <c r="B701"/>
      <c r="C701"/>
      <c r="D701"/>
      <c r="H701" s="5"/>
    </row>
    <row r="702" spans="1:8">
      <c r="A702"/>
      <c r="B702"/>
      <c r="C702"/>
      <c r="D702"/>
      <c r="H702" s="5"/>
    </row>
    <row r="703" spans="1:8">
      <c r="A703"/>
      <c r="B703"/>
      <c r="C703"/>
      <c r="D703"/>
      <c r="H703" s="5"/>
    </row>
    <row r="704" spans="1:8">
      <c r="A704"/>
      <c r="B704"/>
      <c r="C704"/>
      <c r="D704"/>
      <c r="H704" s="5"/>
    </row>
    <row r="705" spans="1:8">
      <c r="A705"/>
      <c r="B705"/>
      <c r="C705"/>
      <c r="D705"/>
      <c r="H705" s="5"/>
    </row>
    <row r="706" spans="1:8">
      <c r="A706"/>
      <c r="B706"/>
      <c r="C706"/>
      <c r="D706"/>
      <c r="H706" s="5"/>
    </row>
    <row r="707" spans="1:8">
      <c r="A707"/>
      <c r="B707"/>
      <c r="C707"/>
      <c r="D707"/>
      <c r="H707" s="5"/>
    </row>
    <row r="708" spans="1:8">
      <c r="A708"/>
      <c r="B708"/>
      <c r="C708"/>
      <c r="D708"/>
      <c r="H708" s="5"/>
    </row>
    <row r="709" spans="1:8">
      <c r="A709"/>
      <c r="B709"/>
      <c r="C709"/>
      <c r="D709"/>
      <c r="H709" s="5"/>
    </row>
    <row r="710" spans="1:8">
      <c r="A710"/>
      <c r="B710"/>
      <c r="C710"/>
      <c r="D710"/>
      <c r="H710" s="5"/>
    </row>
    <row r="711" spans="1:8">
      <c r="A711"/>
      <c r="B711"/>
      <c r="C711"/>
      <c r="D711"/>
      <c r="H711" s="5"/>
    </row>
    <row r="712" spans="1:8">
      <c r="A712"/>
      <c r="B712"/>
      <c r="C712"/>
      <c r="D712"/>
      <c r="H712" s="5"/>
    </row>
    <row r="713" spans="1:8">
      <c r="A713"/>
      <c r="B713"/>
      <c r="C713"/>
      <c r="D713"/>
      <c r="H713" s="5"/>
    </row>
    <row r="714" spans="1:8">
      <c r="A714"/>
      <c r="B714"/>
      <c r="C714"/>
      <c r="D714"/>
      <c r="H714" s="5"/>
    </row>
    <row r="715" spans="1:8">
      <c r="A715"/>
      <c r="B715"/>
      <c r="C715"/>
      <c r="D715"/>
      <c r="H715" s="5"/>
    </row>
    <row r="716" spans="1:8">
      <c r="A716"/>
      <c r="B716"/>
      <c r="C716"/>
      <c r="D716"/>
      <c r="H716" s="5"/>
    </row>
    <row r="717" spans="1:8">
      <c r="A717"/>
      <c r="B717"/>
      <c r="C717"/>
      <c r="D717"/>
      <c r="H717" s="5"/>
    </row>
    <row r="718" spans="1:8">
      <c r="A718"/>
      <c r="B718"/>
      <c r="C718"/>
      <c r="D718"/>
      <c r="H718" s="5"/>
    </row>
    <row r="719" spans="1:8">
      <c r="A719"/>
      <c r="B719"/>
      <c r="C719"/>
      <c r="D719"/>
      <c r="H719" s="5"/>
    </row>
    <row r="720" spans="1:8">
      <c r="A720"/>
      <c r="B720"/>
      <c r="C720"/>
      <c r="D720"/>
      <c r="H720" s="5"/>
    </row>
    <row r="721" spans="1:8">
      <c r="A721"/>
      <c r="B721"/>
      <c r="C721"/>
      <c r="D721"/>
      <c r="H721" s="5"/>
    </row>
    <row r="722" spans="1:8">
      <c r="A722"/>
      <c r="B722"/>
      <c r="C722"/>
      <c r="D722"/>
      <c r="H722" s="5"/>
    </row>
    <row r="723" spans="1:8">
      <c r="A723"/>
      <c r="B723"/>
      <c r="C723"/>
      <c r="D723"/>
      <c r="H723" s="5"/>
    </row>
    <row r="724" spans="1:8">
      <c r="A724"/>
      <c r="B724"/>
      <c r="C724"/>
      <c r="D724"/>
      <c r="H724" s="5"/>
    </row>
    <row r="725" spans="1:8">
      <c r="A725"/>
      <c r="B725"/>
      <c r="C725"/>
      <c r="D725"/>
      <c r="H725" s="5"/>
    </row>
    <row r="726" spans="1:8">
      <c r="A726"/>
      <c r="B726"/>
      <c r="C726"/>
      <c r="D726"/>
      <c r="H726" s="5"/>
    </row>
    <row r="727" spans="1:8">
      <c r="A727"/>
      <c r="B727"/>
      <c r="C727"/>
      <c r="D727"/>
      <c r="H727" s="5"/>
    </row>
    <row r="728" spans="1:8">
      <c r="A728"/>
      <c r="B728"/>
      <c r="C728"/>
      <c r="D728"/>
      <c r="H728" s="5"/>
    </row>
    <row r="729" spans="1:8">
      <c r="A729"/>
      <c r="B729"/>
      <c r="C729"/>
      <c r="D729"/>
      <c r="H729" s="5"/>
    </row>
    <row r="730" spans="1:8">
      <c r="A730"/>
      <c r="B730"/>
      <c r="C730"/>
      <c r="D730"/>
      <c r="H730" s="5"/>
    </row>
    <row r="731" spans="1:8">
      <c r="A731"/>
      <c r="B731"/>
      <c r="C731"/>
      <c r="D731"/>
      <c r="H731" s="5"/>
    </row>
    <row r="732" spans="1:8">
      <c r="A732"/>
      <c r="B732"/>
      <c r="C732"/>
      <c r="D732"/>
      <c r="H732" s="5"/>
    </row>
    <row r="733" spans="1:8">
      <c r="A733"/>
      <c r="B733"/>
      <c r="C733"/>
      <c r="D733"/>
      <c r="H733" s="5"/>
    </row>
    <row r="734" spans="1:8">
      <c r="A734"/>
      <c r="B734"/>
      <c r="C734"/>
      <c r="D734"/>
      <c r="H734" s="5"/>
    </row>
    <row r="735" spans="1:8">
      <c r="A735"/>
      <c r="B735"/>
      <c r="C735"/>
      <c r="D735"/>
      <c r="H735" s="5"/>
    </row>
    <row r="736" spans="1:8">
      <c r="A736"/>
      <c r="B736"/>
      <c r="C736"/>
      <c r="D736"/>
      <c r="H736" s="5"/>
    </row>
    <row r="737" spans="1:8">
      <c r="A737"/>
      <c r="B737"/>
      <c r="C737"/>
      <c r="D737"/>
      <c r="H737" s="5"/>
    </row>
    <row r="738" spans="1:8">
      <c r="A738"/>
      <c r="B738"/>
      <c r="C738"/>
      <c r="D738"/>
      <c r="H738" s="5"/>
    </row>
    <row r="739" spans="1:8">
      <c r="A739"/>
      <c r="B739"/>
      <c r="C739"/>
      <c r="D739"/>
      <c r="H739" s="5"/>
    </row>
    <row r="740" spans="1:8">
      <c r="A740"/>
      <c r="B740"/>
      <c r="C740"/>
      <c r="D740"/>
      <c r="H740" s="5"/>
    </row>
    <row r="741" spans="1:8">
      <c r="A741"/>
      <c r="B741"/>
      <c r="C741"/>
      <c r="D741"/>
      <c r="H741" s="5"/>
    </row>
    <row r="742" spans="1:8">
      <c r="A742"/>
      <c r="B742"/>
      <c r="C742"/>
      <c r="D742"/>
      <c r="H742" s="5"/>
    </row>
    <row r="743" spans="1:8">
      <c r="A743"/>
      <c r="B743"/>
      <c r="C743"/>
      <c r="D743"/>
      <c r="H743" s="5"/>
    </row>
    <row r="744" spans="1:8">
      <c r="A744"/>
      <c r="B744"/>
      <c r="C744"/>
      <c r="D744"/>
      <c r="H744" s="5"/>
    </row>
    <row r="745" spans="1:8">
      <c r="A745"/>
      <c r="B745"/>
      <c r="C745"/>
      <c r="D745"/>
      <c r="H745" s="5"/>
    </row>
    <row r="746" spans="1:8">
      <c r="A746"/>
      <c r="B746"/>
      <c r="C746"/>
      <c r="D746"/>
      <c r="H746" s="5"/>
    </row>
    <row r="747" spans="1:8">
      <c r="A747"/>
      <c r="B747"/>
      <c r="C747"/>
      <c r="D747"/>
      <c r="H747" s="5"/>
    </row>
    <row r="748" spans="1:8">
      <c r="A748"/>
      <c r="B748"/>
      <c r="C748"/>
      <c r="D748"/>
      <c r="H748" s="5"/>
    </row>
    <row r="749" spans="1:8">
      <c r="A749"/>
      <c r="B749"/>
      <c r="C749"/>
      <c r="D749"/>
      <c r="H749" s="5"/>
    </row>
    <row r="750" spans="1:8">
      <c r="A750"/>
      <c r="B750"/>
      <c r="C750"/>
      <c r="D750"/>
      <c r="H750" s="5"/>
    </row>
    <row r="751" spans="1:8">
      <c r="A751"/>
      <c r="B751"/>
      <c r="C751"/>
      <c r="D751"/>
      <c r="H751" s="5"/>
    </row>
    <row r="752" spans="1:8">
      <c r="A752"/>
      <c r="B752"/>
      <c r="C752"/>
      <c r="D752"/>
      <c r="H752" s="5"/>
    </row>
    <row r="753" spans="1:8">
      <c r="A753"/>
      <c r="B753"/>
      <c r="C753"/>
      <c r="D753"/>
      <c r="H753" s="5"/>
    </row>
    <row r="754" spans="1:8">
      <c r="A754"/>
      <c r="B754"/>
      <c r="C754"/>
      <c r="D754"/>
      <c r="H754" s="5"/>
    </row>
    <row r="755" spans="1:8">
      <c r="A755"/>
      <c r="B755"/>
      <c r="C755"/>
      <c r="D755"/>
      <c r="H755" s="5"/>
    </row>
    <row r="756" spans="1:8">
      <c r="A756"/>
      <c r="B756"/>
      <c r="C756"/>
      <c r="D756"/>
      <c r="H756" s="5"/>
    </row>
    <row r="757" spans="1:8">
      <c r="A757"/>
      <c r="B757"/>
      <c r="C757"/>
      <c r="D757"/>
      <c r="H757" s="5"/>
    </row>
    <row r="758" spans="1:8">
      <c r="A758"/>
      <c r="B758"/>
      <c r="C758"/>
      <c r="D758"/>
      <c r="H758" s="5"/>
    </row>
    <row r="759" spans="1:8">
      <c r="A759"/>
      <c r="B759"/>
      <c r="C759"/>
      <c r="D759"/>
      <c r="H759" s="5"/>
    </row>
    <row r="760" spans="1:8">
      <c r="A760"/>
      <c r="B760"/>
      <c r="C760"/>
      <c r="D760"/>
      <c r="H760" s="5"/>
    </row>
    <row r="761" spans="1:8">
      <c r="A761"/>
      <c r="B761"/>
      <c r="C761"/>
      <c r="D761"/>
      <c r="H761" s="5"/>
    </row>
    <row r="762" spans="1:8">
      <c r="A762"/>
      <c r="B762"/>
      <c r="C762"/>
      <c r="D762"/>
      <c r="H762" s="5"/>
    </row>
    <row r="763" spans="1:8">
      <c r="A763"/>
      <c r="B763"/>
      <c r="C763"/>
      <c r="D763"/>
      <c r="H763" s="5"/>
    </row>
    <row r="764" spans="1:8">
      <c r="A764"/>
      <c r="B764"/>
      <c r="C764"/>
      <c r="D764"/>
      <c r="H764" s="5"/>
    </row>
    <row r="765" spans="1:8">
      <c r="A765"/>
      <c r="B765"/>
      <c r="C765"/>
      <c r="D765"/>
      <c r="H765" s="5"/>
    </row>
    <row r="766" spans="1:8">
      <c r="A766"/>
      <c r="B766"/>
      <c r="C766"/>
      <c r="D766"/>
      <c r="H766" s="5"/>
    </row>
    <row r="767" spans="1:8">
      <c r="A767"/>
      <c r="B767"/>
      <c r="C767"/>
      <c r="D767"/>
      <c r="H767" s="5"/>
    </row>
    <row r="768" spans="1:8">
      <c r="A768"/>
      <c r="B768"/>
      <c r="C768"/>
      <c r="D768"/>
      <c r="H768" s="5"/>
    </row>
    <row r="769" spans="1:8">
      <c r="A769"/>
      <c r="B769"/>
      <c r="C769"/>
      <c r="D769"/>
      <c r="H769" s="5"/>
    </row>
    <row r="770" spans="1:8">
      <c r="A770"/>
      <c r="B770"/>
      <c r="C770"/>
      <c r="D770"/>
      <c r="H770" s="5"/>
    </row>
    <row r="771" spans="1:8">
      <c r="A771"/>
      <c r="B771"/>
      <c r="C771"/>
      <c r="D771"/>
      <c r="H771" s="5"/>
    </row>
    <row r="772" spans="1:8">
      <c r="A772"/>
      <c r="B772"/>
      <c r="C772"/>
      <c r="D772"/>
      <c r="H772" s="5"/>
    </row>
    <row r="773" spans="1:8">
      <c r="A773"/>
      <c r="B773"/>
      <c r="C773"/>
      <c r="D773"/>
      <c r="H773" s="5"/>
    </row>
    <row r="774" spans="1:8">
      <c r="A774"/>
      <c r="B774"/>
      <c r="C774"/>
      <c r="D774"/>
      <c r="H774" s="5"/>
    </row>
    <row r="775" spans="1:8">
      <c r="A775"/>
      <c r="B775"/>
      <c r="C775"/>
      <c r="D775"/>
      <c r="H775" s="5"/>
    </row>
    <row r="776" spans="1:8">
      <c r="A776"/>
      <c r="B776"/>
      <c r="C776"/>
      <c r="D776"/>
      <c r="H776" s="5"/>
    </row>
    <row r="777" spans="1:8">
      <c r="A777"/>
      <c r="B777"/>
      <c r="C777"/>
      <c r="D777"/>
      <c r="H777" s="5"/>
    </row>
    <row r="778" spans="1:8">
      <c r="A778"/>
      <c r="B778"/>
      <c r="C778"/>
      <c r="D778"/>
      <c r="H778" s="5"/>
    </row>
    <row r="779" spans="1:8">
      <c r="A779"/>
      <c r="B779"/>
      <c r="C779"/>
      <c r="D779"/>
      <c r="H779" s="5"/>
    </row>
    <row r="780" spans="1:8">
      <c r="A780"/>
      <c r="B780"/>
      <c r="C780"/>
      <c r="D780"/>
      <c r="H780" s="5"/>
    </row>
    <row r="781" spans="1:8">
      <c r="A781"/>
      <c r="B781"/>
      <c r="C781"/>
      <c r="D781"/>
      <c r="H781" s="5"/>
    </row>
    <row r="782" spans="1:8">
      <c r="A782"/>
      <c r="B782"/>
      <c r="C782"/>
      <c r="D782"/>
      <c r="H782" s="5"/>
    </row>
    <row r="783" spans="1:8">
      <c r="A783"/>
      <c r="B783"/>
      <c r="C783"/>
      <c r="D783"/>
      <c r="H783" s="5"/>
    </row>
    <row r="784" spans="1:8">
      <c r="A784"/>
      <c r="B784"/>
      <c r="C784"/>
      <c r="D784"/>
      <c r="H784" s="5"/>
    </row>
    <row r="785" spans="1:8">
      <c r="A785"/>
      <c r="B785"/>
      <c r="C785"/>
      <c r="D785"/>
      <c r="H785" s="5"/>
    </row>
    <row r="786" spans="1:8">
      <c r="A786"/>
      <c r="B786"/>
      <c r="C786"/>
      <c r="D786"/>
      <c r="H786" s="5"/>
    </row>
    <row r="787" spans="1:8">
      <c r="A787"/>
      <c r="B787"/>
      <c r="C787"/>
      <c r="D787"/>
      <c r="H787" s="5"/>
    </row>
    <row r="788" spans="1:8">
      <c r="A788"/>
      <c r="B788"/>
      <c r="C788"/>
      <c r="D788"/>
      <c r="H788" s="5"/>
    </row>
    <row r="789" spans="1:8">
      <c r="A789"/>
      <c r="B789"/>
      <c r="C789"/>
      <c r="D789"/>
      <c r="H789" s="5"/>
    </row>
    <row r="790" spans="1:8">
      <c r="A790"/>
      <c r="B790"/>
      <c r="C790"/>
      <c r="D790"/>
      <c r="H790" s="5"/>
    </row>
    <row r="791" spans="1:8">
      <c r="A791"/>
      <c r="B791"/>
      <c r="C791"/>
      <c r="D791"/>
      <c r="H791" s="5"/>
    </row>
    <row r="792" spans="1:8">
      <c r="A792"/>
      <c r="B792"/>
      <c r="C792"/>
      <c r="D792"/>
      <c r="H792" s="5"/>
    </row>
    <row r="793" spans="1:8">
      <c r="A793"/>
      <c r="B793"/>
      <c r="C793"/>
      <c r="D793"/>
      <c r="H793" s="5"/>
    </row>
    <row r="794" spans="1:8">
      <c r="A794"/>
      <c r="B794"/>
      <c r="C794"/>
      <c r="D794"/>
      <c r="H794" s="5"/>
    </row>
    <row r="795" spans="1:8">
      <c r="A795"/>
      <c r="B795"/>
      <c r="C795"/>
      <c r="D795"/>
      <c r="H795" s="5"/>
    </row>
    <row r="796" spans="1:8">
      <c r="A796"/>
      <c r="B796"/>
      <c r="C796"/>
      <c r="D796"/>
      <c r="H796" s="5"/>
    </row>
    <row r="797" spans="1:8">
      <c r="A797"/>
      <c r="B797"/>
      <c r="C797"/>
      <c r="D797"/>
      <c r="H797" s="5"/>
    </row>
    <row r="798" spans="1:8">
      <c r="A798"/>
      <c r="B798"/>
      <c r="C798"/>
      <c r="D798"/>
      <c r="H798" s="5"/>
    </row>
    <row r="799" spans="1:8">
      <c r="A799"/>
      <c r="B799"/>
      <c r="C799"/>
      <c r="D799"/>
      <c r="H799" s="5"/>
    </row>
    <row r="800" spans="1:8">
      <c r="A800"/>
      <c r="B800"/>
      <c r="C800"/>
      <c r="D800"/>
      <c r="H800" s="5"/>
    </row>
    <row r="801" spans="1:8">
      <c r="A801"/>
      <c r="B801"/>
      <c r="C801"/>
      <c r="D801"/>
      <c r="H801" s="5"/>
    </row>
    <row r="802" spans="1:8">
      <c r="A802"/>
      <c r="B802"/>
      <c r="C802"/>
      <c r="D802"/>
      <c r="H802" s="5"/>
    </row>
    <row r="803" spans="1:8">
      <c r="A803"/>
      <c r="B803"/>
      <c r="C803"/>
      <c r="D803"/>
      <c r="H803" s="5"/>
    </row>
    <row r="804" spans="1:8">
      <c r="A804"/>
      <c r="B804"/>
      <c r="C804"/>
      <c r="D804"/>
      <c r="H804" s="5"/>
    </row>
    <row r="805" spans="1:8">
      <c r="A805"/>
      <c r="B805"/>
      <c r="C805"/>
      <c r="D805"/>
      <c r="H805" s="5"/>
    </row>
    <row r="806" spans="1:8">
      <c r="A806"/>
      <c r="B806"/>
      <c r="C806"/>
      <c r="D806"/>
      <c r="H806" s="5"/>
    </row>
    <row r="807" spans="1:8">
      <c r="A807"/>
      <c r="B807"/>
      <c r="C807"/>
      <c r="D807"/>
      <c r="H807" s="5"/>
    </row>
    <row r="808" spans="1:8">
      <c r="A808"/>
      <c r="B808"/>
      <c r="C808"/>
      <c r="D808"/>
      <c r="H808" s="5"/>
    </row>
    <row r="809" spans="1:8">
      <c r="A809"/>
      <c r="B809"/>
      <c r="C809"/>
      <c r="D809"/>
      <c r="H809" s="5"/>
    </row>
    <row r="810" spans="1:8">
      <c r="A810"/>
      <c r="B810"/>
      <c r="C810"/>
      <c r="D810"/>
      <c r="H810" s="5"/>
    </row>
    <row r="811" spans="1:8">
      <c r="A811"/>
      <c r="B811"/>
      <c r="C811"/>
      <c r="D811"/>
      <c r="H811" s="5"/>
    </row>
    <row r="812" spans="1:8">
      <c r="A812"/>
      <c r="B812"/>
      <c r="C812"/>
      <c r="D812"/>
      <c r="H812" s="5"/>
    </row>
    <row r="813" spans="1:8">
      <c r="A813"/>
      <c r="B813"/>
      <c r="C813"/>
      <c r="D813"/>
      <c r="H813" s="5"/>
    </row>
    <row r="814" spans="1:8">
      <c r="A814"/>
      <c r="B814"/>
      <c r="C814"/>
      <c r="D814"/>
      <c r="H814" s="5"/>
    </row>
    <row r="815" spans="1:8">
      <c r="A815"/>
      <c r="B815"/>
      <c r="C815"/>
      <c r="D815"/>
      <c r="H815" s="5"/>
    </row>
    <row r="816" spans="1:8">
      <c r="A816"/>
      <c r="B816"/>
      <c r="C816"/>
      <c r="D816"/>
      <c r="H816" s="5"/>
    </row>
    <row r="817" spans="1:8">
      <c r="A817"/>
      <c r="B817"/>
      <c r="C817"/>
      <c r="D817"/>
      <c r="H817" s="5"/>
    </row>
    <row r="818" spans="1:8">
      <c r="A818"/>
      <c r="B818"/>
      <c r="C818"/>
      <c r="D818"/>
      <c r="H818" s="5"/>
    </row>
    <row r="819" spans="1:8">
      <c r="A819"/>
      <c r="B819"/>
      <c r="C819"/>
      <c r="D819"/>
      <c r="H819" s="5"/>
    </row>
    <row r="820" spans="1:8">
      <c r="A820"/>
      <c r="B820"/>
      <c r="C820"/>
      <c r="D820"/>
      <c r="H820" s="5"/>
    </row>
    <row r="821" spans="1:8">
      <c r="A821"/>
      <c r="B821"/>
      <c r="C821"/>
      <c r="D821"/>
      <c r="H821" s="5"/>
    </row>
    <row r="822" spans="1:8">
      <c r="A822"/>
      <c r="B822"/>
      <c r="C822"/>
      <c r="D822"/>
      <c r="H822" s="5"/>
    </row>
    <row r="823" spans="1:8">
      <c r="A823"/>
      <c r="B823"/>
      <c r="C823"/>
      <c r="D823"/>
      <c r="H823" s="5"/>
    </row>
    <row r="824" spans="1:8">
      <c r="A824"/>
      <c r="B824"/>
      <c r="C824"/>
      <c r="D824"/>
      <c r="H824" s="5"/>
    </row>
    <row r="825" spans="1:8">
      <c r="A825"/>
      <c r="B825"/>
      <c r="C825"/>
      <c r="D825"/>
      <c r="H825" s="5"/>
    </row>
    <row r="826" spans="1:8">
      <c r="A826"/>
      <c r="B826"/>
      <c r="C826"/>
      <c r="D826"/>
      <c r="H826" s="5"/>
    </row>
    <row r="827" spans="1:8">
      <c r="A827"/>
      <c r="B827"/>
      <c r="C827"/>
      <c r="D827"/>
      <c r="H827" s="5"/>
    </row>
    <row r="828" spans="1:8">
      <c r="A828"/>
      <c r="B828"/>
      <c r="C828"/>
      <c r="D828"/>
      <c r="H828" s="5"/>
    </row>
    <row r="829" spans="1:8">
      <c r="A829"/>
      <c r="B829"/>
      <c r="C829"/>
      <c r="D829"/>
      <c r="H829" s="5"/>
    </row>
    <row r="830" spans="1:8">
      <c r="A830"/>
      <c r="B830"/>
      <c r="C830"/>
      <c r="D830"/>
      <c r="H830" s="5"/>
    </row>
    <row r="831" spans="1:8">
      <c r="A831"/>
      <c r="B831"/>
      <c r="C831"/>
      <c r="D831"/>
      <c r="H831" s="5"/>
    </row>
    <row r="832" spans="1:8">
      <c r="A832"/>
      <c r="B832"/>
      <c r="C832"/>
      <c r="D832"/>
      <c r="H832" s="5"/>
    </row>
    <row r="833" spans="1:8">
      <c r="A833"/>
      <c r="B833"/>
      <c r="C833"/>
      <c r="D833"/>
      <c r="H833" s="5"/>
    </row>
    <row r="834" spans="1:8">
      <c r="A834"/>
      <c r="B834"/>
      <c r="C834"/>
      <c r="D834"/>
      <c r="H834" s="5"/>
    </row>
    <row r="835" spans="1:8">
      <c r="A835"/>
      <c r="B835"/>
      <c r="C835"/>
      <c r="D835"/>
      <c r="H835" s="5"/>
    </row>
    <row r="836" spans="1:8">
      <c r="A836"/>
      <c r="B836"/>
      <c r="C836"/>
      <c r="D836"/>
      <c r="H836" s="5"/>
    </row>
    <row r="837" spans="1:8">
      <c r="A837"/>
      <c r="B837"/>
      <c r="C837"/>
      <c r="D837"/>
      <c r="H837" s="5"/>
    </row>
    <row r="838" spans="1:8">
      <c r="A838"/>
      <c r="B838"/>
      <c r="C838"/>
      <c r="D838"/>
      <c r="H838" s="5"/>
    </row>
    <row r="839" spans="1:8">
      <c r="A839"/>
      <c r="B839"/>
      <c r="C839"/>
      <c r="D839"/>
      <c r="H839" s="5"/>
    </row>
    <row r="840" spans="1:8">
      <c r="A840"/>
      <c r="B840"/>
      <c r="C840"/>
      <c r="D840"/>
      <c r="H840" s="5"/>
    </row>
    <row r="841" spans="1:8">
      <c r="A841"/>
      <c r="B841"/>
      <c r="C841"/>
      <c r="D841"/>
      <c r="H841" s="5"/>
    </row>
    <row r="842" spans="1:8">
      <c r="A842"/>
      <c r="B842"/>
      <c r="C842"/>
      <c r="D842"/>
      <c r="H842" s="5"/>
    </row>
    <row r="843" spans="1:8">
      <c r="A843"/>
      <c r="B843"/>
      <c r="C843"/>
      <c r="D843"/>
      <c r="H843" s="5"/>
    </row>
    <row r="844" spans="1:8">
      <c r="A844"/>
      <c r="B844"/>
      <c r="C844"/>
      <c r="D844"/>
      <c r="H844" s="5"/>
    </row>
    <row r="845" spans="1:8">
      <c r="A845"/>
      <c r="B845"/>
      <c r="C845"/>
      <c r="D845"/>
      <c r="H845" s="5"/>
    </row>
    <row r="846" spans="1:8">
      <c r="A846"/>
      <c r="B846"/>
      <c r="C846"/>
      <c r="D846"/>
      <c r="H846" s="5"/>
    </row>
    <row r="847" spans="1:8">
      <c r="A847"/>
      <c r="B847"/>
      <c r="C847"/>
      <c r="D847"/>
      <c r="H847" s="5"/>
    </row>
    <row r="848" spans="1:8">
      <c r="A848"/>
      <c r="B848"/>
      <c r="C848"/>
      <c r="D848"/>
      <c r="H848" s="5"/>
    </row>
    <row r="849" spans="1:8">
      <c r="A849"/>
      <c r="B849"/>
      <c r="C849"/>
      <c r="D849"/>
      <c r="H849" s="5"/>
    </row>
    <row r="850" spans="1:8">
      <c r="A850"/>
      <c r="B850"/>
      <c r="C850"/>
      <c r="D850"/>
      <c r="H850" s="5"/>
    </row>
    <row r="851" spans="1:8">
      <c r="A851"/>
      <c r="B851"/>
      <c r="C851"/>
      <c r="D851"/>
      <c r="H851" s="5"/>
    </row>
    <row r="852" spans="1:8">
      <c r="A852"/>
      <c r="B852"/>
      <c r="C852"/>
      <c r="D852"/>
      <c r="H852" s="5"/>
    </row>
    <row r="853" spans="1:8">
      <c r="A853"/>
      <c r="B853"/>
      <c r="C853"/>
      <c r="D853"/>
      <c r="H853" s="5"/>
    </row>
    <row r="854" spans="1:8">
      <c r="A854"/>
      <c r="B854"/>
      <c r="C854"/>
      <c r="D854"/>
      <c r="H854" s="5"/>
    </row>
    <row r="855" spans="1:8">
      <c r="A855"/>
      <c r="B855"/>
      <c r="C855"/>
      <c r="D855"/>
      <c r="H855" s="5"/>
    </row>
    <row r="856" spans="1:8">
      <c r="A856"/>
      <c r="B856"/>
      <c r="C856"/>
      <c r="D856"/>
      <c r="H856" s="5"/>
    </row>
    <row r="857" spans="1:8">
      <c r="A857"/>
      <c r="B857"/>
      <c r="C857"/>
      <c r="D857"/>
      <c r="H857" s="5"/>
    </row>
    <row r="858" spans="1:8">
      <c r="A858"/>
      <c r="B858"/>
      <c r="C858"/>
      <c r="D858"/>
      <c r="H858" s="5"/>
    </row>
    <row r="859" spans="1:8">
      <c r="A859"/>
      <c r="B859"/>
      <c r="C859"/>
      <c r="D859"/>
      <c r="H859" s="5"/>
    </row>
    <row r="860" spans="1:8">
      <c r="A860"/>
      <c r="B860"/>
      <c r="C860"/>
      <c r="D860"/>
      <c r="H860" s="5"/>
    </row>
    <row r="861" spans="1:8">
      <c r="A861"/>
      <c r="B861"/>
      <c r="C861"/>
      <c r="D861"/>
      <c r="H861" s="5"/>
    </row>
    <row r="862" spans="1:8">
      <c r="A862"/>
      <c r="B862"/>
      <c r="C862"/>
      <c r="D862"/>
      <c r="H862" s="5"/>
    </row>
    <row r="863" spans="1:8">
      <c r="A863"/>
      <c r="B863"/>
      <c r="C863"/>
      <c r="D863"/>
      <c r="H863" s="5"/>
    </row>
    <row r="864" spans="1:8">
      <c r="A864"/>
      <c r="B864"/>
      <c r="C864"/>
      <c r="D864"/>
      <c r="H864" s="5"/>
    </row>
    <row r="865" spans="1:8">
      <c r="A865"/>
      <c r="B865"/>
      <c r="C865"/>
      <c r="D865"/>
      <c r="H865" s="5"/>
    </row>
    <row r="866" spans="1:8">
      <c r="A866"/>
      <c r="B866"/>
      <c r="C866"/>
      <c r="D866"/>
      <c r="H866" s="5"/>
    </row>
    <row r="867" spans="1:8">
      <c r="A867"/>
      <c r="B867"/>
      <c r="C867"/>
      <c r="D867"/>
      <c r="H867" s="5"/>
    </row>
    <row r="868" spans="1:8">
      <c r="A868"/>
      <c r="B868"/>
      <c r="C868"/>
      <c r="D868"/>
      <c r="H868" s="5"/>
    </row>
    <row r="869" spans="1:8">
      <c r="A869"/>
      <c r="B869"/>
      <c r="C869"/>
      <c r="D869"/>
      <c r="H869" s="5"/>
    </row>
    <row r="870" spans="1:8">
      <c r="A870"/>
      <c r="B870"/>
      <c r="C870"/>
      <c r="D870"/>
      <c r="H870" s="5"/>
    </row>
    <row r="871" spans="1:8">
      <c r="A871"/>
      <c r="B871"/>
      <c r="C871"/>
      <c r="D871"/>
      <c r="H871" s="5"/>
    </row>
    <row r="872" spans="1:8">
      <c r="A872"/>
      <c r="B872"/>
      <c r="C872"/>
      <c r="D872"/>
      <c r="H872" s="5"/>
    </row>
    <row r="873" spans="1:8">
      <c r="A873"/>
      <c r="B873"/>
      <c r="C873"/>
      <c r="D873"/>
      <c r="H873" s="5"/>
    </row>
    <row r="874" spans="1:8">
      <c r="A874"/>
      <c r="B874"/>
      <c r="C874"/>
      <c r="D874"/>
      <c r="H874" s="5"/>
    </row>
    <row r="875" spans="1:8">
      <c r="A875"/>
      <c r="B875"/>
      <c r="C875"/>
      <c r="D875"/>
      <c r="H875" s="5"/>
    </row>
    <row r="876" spans="1:8">
      <c r="A876"/>
      <c r="B876"/>
      <c r="C876"/>
      <c r="D876"/>
      <c r="H876" s="5"/>
    </row>
    <row r="877" spans="1:8">
      <c r="A877"/>
      <c r="B877"/>
      <c r="C877"/>
      <c r="D877"/>
      <c r="H877" s="5"/>
    </row>
    <row r="878" spans="1:8">
      <c r="A878"/>
      <c r="B878"/>
      <c r="C878"/>
      <c r="D878"/>
      <c r="H878" s="5"/>
    </row>
    <row r="879" spans="1:8">
      <c r="A879"/>
      <c r="B879"/>
      <c r="C879"/>
      <c r="D879"/>
      <c r="H879" s="5"/>
    </row>
    <row r="880" spans="1:8">
      <c r="A880"/>
      <c r="B880"/>
      <c r="C880"/>
      <c r="D880"/>
      <c r="H880" s="5"/>
    </row>
    <row r="881" spans="1:8">
      <c r="A881"/>
      <c r="B881"/>
      <c r="C881"/>
      <c r="D881"/>
      <c r="H881" s="5"/>
    </row>
    <row r="882" spans="1:8">
      <c r="A882"/>
      <c r="B882"/>
      <c r="C882"/>
      <c r="D882"/>
      <c r="H882" s="5"/>
    </row>
    <row r="883" spans="1:8">
      <c r="A883"/>
      <c r="B883"/>
      <c r="C883"/>
      <c r="D883"/>
      <c r="H883" s="5"/>
    </row>
    <row r="884" spans="1:8">
      <c r="A884"/>
      <c r="B884"/>
      <c r="C884"/>
      <c r="D884"/>
      <c r="H884" s="5"/>
    </row>
    <row r="885" spans="1:8">
      <c r="A885"/>
      <c r="B885"/>
      <c r="C885"/>
      <c r="D885"/>
      <c r="H885" s="5"/>
    </row>
    <row r="886" spans="1:8">
      <c r="A886"/>
      <c r="B886"/>
      <c r="C886"/>
      <c r="D886"/>
      <c r="H886" s="5"/>
    </row>
    <row r="887" spans="1:8">
      <c r="A887"/>
      <c r="B887"/>
      <c r="C887"/>
      <c r="D887"/>
      <c r="H887" s="5"/>
    </row>
    <row r="888" spans="1:8">
      <c r="A888"/>
      <c r="B888"/>
      <c r="C888"/>
      <c r="D888"/>
      <c r="H888" s="5"/>
    </row>
    <row r="889" spans="1:8">
      <c r="A889"/>
      <c r="B889"/>
      <c r="C889"/>
      <c r="D889"/>
      <c r="H889" s="5"/>
    </row>
    <row r="890" spans="1:8">
      <c r="A890"/>
      <c r="B890"/>
      <c r="C890"/>
      <c r="D890"/>
      <c r="H890" s="5"/>
    </row>
    <row r="891" spans="1:8">
      <c r="A891"/>
      <c r="B891"/>
      <c r="C891"/>
      <c r="D891"/>
      <c r="H891" s="5"/>
    </row>
    <row r="892" spans="1:8">
      <c r="A892"/>
      <c r="B892"/>
      <c r="C892"/>
      <c r="D892"/>
      <c r="H892" s="5"/>
    </row>
    <row r="893" spans="1:8">
      <c r="A893"/>
      <c r="B893"/>
      <c r="C893"/>
      <c r="D893"/>
      <c r="H893" s="5"/>
    </row>
    <row r="894" spans="1:8">
      <c r="A894"/>
      <c r="B894"/>
      <c r="C894"/>
      <c r="D894"/>
      <c r="H894" s="5"/>
    </row>
    <row r="895" spans="1:8">
      <c r="A895"/>
      <c r="B895"/>
      <c r="C895"/>
      <c r="D895"/>
      <c r="H895" s="5"/>
    </row>
    <row r="896" spans="1:8">
      <c r="A896"/>
      <c r="B896"/>
      <c r="C896"/>
      <c r="D896"/>
      <c r="H896" s="5"/>
    </row>
    <row r="897" spans="1:8">
      <c r="A897"/>
      <c r="B897"/>
      <c r="C897"/>
      <c r="D897"/>
      <c r="H897" s="5"/>
    </row>
    <row r="898" spans="1:8">
      <c r="A898"/>
      <c r="B898"/>
      <c r="C898"/>
      <c r="D898"/>
      <c r="H898" s="5"/>
    </row>
    <row r="899" spans="1:8">
      <c r="A899"/>
      <c r="B899"/>
      <c r="C899"/>
      <c r="D899"/>
      <c r="H899" s="5"/>
    </row>
    <row r="900" spans="1:8">
      <c r="A900"/>
      <c r="B900"/>
      <c r="C900"/>
      <c r="D900"/>
      <c r="H900" s="5"/>
    </row>
    <row r="901" spans="1:8">
      <c r="A901"/>
      <c r="B901"/>
      <c r="C901"/>
      <c r="D901"/>
      <c r="H901" s="5"/>
    </row>
    <row r="902" spans="1:8">
      <c r="A902"/>
      <c r="B902"/>
      <c r="C902"/>
      <c r="D902"/>
      <c r="H902" s="5"/>
    </row>
  </sheetData>
  <mergeCells count="7">
    <mergeCell ref="G1:G2"/>
    <mergeCell ref="H1:H2"/>
    <mergeCell ref="A1:A2"/>
    <mergeCell ref="B1:B2"/>
    <mergeCell ref="C1:D1"/>
    <mergeCell ref="E1:E2"/>
    <mergeCell ref="F1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G17" sqref="G17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43"/>
      <c r="C2" s="6" t="s">
        <v>6</v>
      </c>
      <c r="D2" s="6" t="s">
        <v>8</v>
      </c>
      <c r="E2" s="43"/>
      <c r="F2" s="43"/>
      <c r="G2" s="43"/>
      <c r="H2" s="43"/>
    </row>
    <row r="3" spans="1:8">
      <c r="A3">
        <v>1</v>
      </c>
      <c r="B3">
        <v>1</v>
      </c>
      <c r="C3">
        <v>2600</v>
      </c>
      <c r="D3">
        <v>304</v>
      </c>
      <c r="E3" s="4">
        <f>IF(AND(D3&lt;=C3*1.2,D3&gt;=C3*0.8),1,0)</f>
        <v>0</v>
      </c>
      <c r="F3" s="4">
        <f>ABS(C3-D3)</f>
        <v>2296</v>
      </c>
      <c r="G3" s="4">
        <f>POWER(F3,2)</f>
        <v>5271616</v>
      </c>
      <c r="H3" s="5">
        <f>SQRT(SUM('r-pi-2'!$D$3:D3)/COUNTIF($A$3:A3,"&lt;&gt;0"))</f>
        <v>17.435595774162696</v>
      </c>
    </row>
    <row r="4" spans="1:8">
      <c r="A4">
        <v>2</v>
      </c>
      <c r="B4">
        <v>1</v>
      </c>
      <c r="C4">
        <v>2600</v>
      </c>
      <c r="D4">
        <v>1329</v>
      </c>
      <c r="E4" s="4">
        <f t="shared" ref="E4:E67" si="0">IF(AND(D4&lt;=C4*1.2,D4&gt;=C4*0.8),1,0)</f>
        <v>0</v>
      </c>
      <c r="F4" s="4">
        <f t="shared" ref="F4:F67" si="1">ABS(C4-D4)</f>
        <v>1271</v>
      </c>
      <c r="G4" s="4">
        <f t="shared" ref="G4:G67" si="2">POWER(F4,2)</f>
        <v>1615441</v>
      </c>
      <c r="H4" s="5">
        <f>SQRT(SUM('r-pi-2'!$D$3:D4)/COUNTIF($A$3:A4,"&lt;&gt;0"))</f>
        <v>28.574464124459098</v>
      </c>
    </row>
    <row r="5" spans="1:8">
      <c r="A5">
        <v>3</v>
      </c>
      <c r="B5">
        <v>1</v>
      </c>
      <c r="C5">
        <v>2600</v>
      </c>
      <c r="D5">
        <v>1280</v>
      </c>
      <c r="E5" s="4">
        <f t="shared" si="0"/>
        <v>0</v>
      </c>
      <c r="F5" s="4">
        <f t="shared" si="1"/>
        <v>1320</v>
      </c>
      <c r="G5" s="4">
        <f t="shared" si="2"/>
        <v>1742400</v>
      </c>
      <c r="H5" s="5">
        <f>SQRT(SUM('r-pi-2'!$D$3:D5)/COUNTIF($A$3:A5,"&lt;&gt;0"))</f>
        <v>31.160872901765767</v>
      </c>
    </row>
    <row r="6" spans="1:8">
      <c r="A6">
        <v>4</v>
      </c>
      <c r="B6">
        <v>1</v>
      </c>
      <c r="C6">
        <v>2600</v>
      </c>
      <c r="D6">
        <v>1489</v>
      </c>
      <c r="E6" s="4">
        <f t="shared" si="0"/>
        <v>0</v>
      </c>
      <c r="F6" s="4">
        <f t="shared" si="1"/>
        <v>1111</v>
      </c>
      <c r="G6" s="4">
        <f t="shared" si="2"/>
        <v>1234321</v>
      </c>
      <c r="H6" s="5">
        <f>SQRT(SUM('r-pi-2'!$D$3:D6)/COUNTIF($A$3:A6,"&lt;&gt;0"))</f>
        <v>33.173784830796741</v>
      </c>
    </row>
    <row r="7" spans="1:8">
      <c r="A7">
        <v>5</v>
      </c>
      <c r="B7">
        <v>1</v>
      </c>
      <c r="C7">
        <v>2600</v>
      </c>
      <c r="D7">
        <v>1295</v>
      </c>
      <c r="E7" s="4">
        <f t="shared" si="0"/>
        <v>0</v>
      </c>
      <c r="F7" s="4">
        <f t="shared" si="1"/>
        <v>1305</v>
      </c>
      <c r="G7" s="4">
        <f t="shared" si="2"/>
        <v>1703025</v>
      </c>
      <c r="H7" s="5">
        <f>SQRT(SUM('r-pi-2'!$D$3:D7)/COUNTIF($A$3:A7,"&lt;&gt;0"))</f>
        <v>33.754999629684491</v>
      </c>
    </row>
    <row r="8" spans="1:8">
      <c r="A8">
        <v>6</v>
      </c>
      <c r="B8">
        <v>1</v>
      </c>
      <c r="C8">
        <v>2600</v>
      </c>
      <c r="D8">
        <v>1479</v>
      </c>
      <c r="E8" s="4">
        <f t="shared" si="0"/>
        <v>0</v>
      </c>
      <c r="F8" s="4">
        <f t="shared" si="1"/>
        <v>1121</v>
      </c>
      <c r="G8" s="4">
        <f t="shared" si="2"/>
        <v>1256641</v>
      </c>
      <c r="H8" s="5">
        <f>SQRT(SUM('r-pi-2'!$D$3:D8)/COUNTIF($A$3:A8,"&lt;&gt;0"))</f>
        <v>34.583232931581165</v>
      </c>
    </row>
    <row r="9" spans="1:8">
      <c r="A9">
        <v>7</v>
      </c>
      <c r="B9">
        <v>1</v>
      </c>
      <c r="C9">
        <v>2600</v>
      </c>
      <c r="D9">
        <v>1465</v>
      </c>
      <c r="E9" s="4">
        <f t="shared" si="0"/>
        <v>0</v>
      </c>
      <c r="F9" s="4">
        <f t="shared" si="1"/>
        <v>1135</v>
      </c>
      <c r="G9" s="4">
        <f t="shared" si="2"/>
        <v>1288225</v>
      </c>
      <c r="H9" s="5">
        <f>SQRT(SUM('r-pi-2'!$D$3:D9)/COUNTIF($A$3:A9,"&lt;&gt;0"))</f>
        <v>35.134435692473723</v>
      </c>
    </row>
    <row r="10" spans="1:8">
      <c r="A10">
        <v>8</v>
      </c>
      <c r="B10">
        <v>1</v>
      </c>
      <c r="C10">
        <v>2600</v>
      </c>
      <c r="D10">
        <v>1499</v>
      </c>
      <c r="E10" s="4">
        <f t="shared" si="0"/>
        <v>0</v>
      </c>
      <c r="F10" s="4">
        <f t="shared" si="1"/>
        <v>1101</v>
      </c>
      <c r="G10" s="4">
        <f t="shared" si="2"/>
        <v>1212201</v>
      </c>
      <c r="H10" s="5">
        <f>SQRT(SUM('r-pi-2'!$D$3:D10)/COUNTIF($A$3:A10,"&lt;&gt;0"))</f>
        <v>35.601966237835796</v>
      </c>
    </row>
    <row r="11" spans="1:8">
      <c r="A11">
        <v>9</v>
      </c>
      <c r="B11">
        <v>1</v>
      </c>
      <c r="C11">
        <v>2600</v>
      </c>
      <c r="D11">
        <v>1510</v>
      </c>
      <c r="E11" s="4">
        <f t="shared" si="0"/>
        <v>0</v>
      </c>
      <c r="F11" s="4">
        <f t="shared" si="1"/>
        <v>1090</v>
      </c>
      <c r="G11" s="4">
        <f t="shared" si="2"/>
        <v>1188100</v>
      </c>
      <c r="H11" s="5">
        <f>SQRT(SUM('r-pi-2'!$D$3:D11)/COUNTIF($A$3:A11,"&lt;&gt;0"))</f>
        <v>35.978388574871502</v>
      </c>
    </row>
    <row r="12" spans="1:8">
      <c r="A12">
        <v>10</v>
      </c>
      <c r="B12">
        <v>1</v>
      </c>
      <c r="C12">
        <v>2600</v>
      </c>
      <c r="D12">
        <v>1493</v>
      </c>
      <c r="E12" s="4">
        <f t="shared" si="0"/>
        <v>0</v>
      </c>
      <c r="F12" s="4">
        <f t="shared" si="1"/>
        <v>1107</v>
      </c>
      <c r="G12" s="4">
        <f t="shared" si="2"/>
        <v>1225449</v>
      </c>
      <c r="H12" s="5">
        <f>SQRT(SUM('r-pi-2'!$D$3:D12)/COUNTIF($A$3:A12,"&lt;&gt;0"))</f>
        <v>36.253275714064792</v>
      </c>
    </row>
    <row r="13" spans="1:8">
      <c r="A13">
        <v>11</v>
      </c>
      <c r="B13">
        <v>1</v>
      </c>
      <c r="C13">
        <v>2600</v>
      </c>
      <c r="D13">
        <v>1476</v>
      </c>
      <c r="E13" s="4">
        <f t="shared" si="0"/>
        <v>0</v>
      </c>
      <c r="F13" s="4">
        <f t="shared" si="1"/>
        <v>1124</v>
      </c>
      <c r="G13" s="4">
        <f t="shared" si="2"/>
        <v>1263376</v>
      </c>
      <c r="H13" s="5">
        <f>SQRT(SUM('r-pi-2'!$D$3:D13)/COUNTIF($A$3:A13,"&lt;&gt;0"))</f>
        <v>36.455452267116371</v>
      </c>
    </row>
    <row r="14" spans="1:8">
      <c r="A14">
        <v>12</v>
      </c>
      <c r="B14">
        <v>1</v>
      </c>
      <c r="C14">
        <v>2600</v>
      </c>
      <c r="D14">
        <v>1466</v>
      </c>
      <c r="E14" s="4">
        <f t="shared" si="0"/>
        <v>0</v>
      </c>
      <c r="F14" s="4">
        <f t="shared" si="1"/>
        <v>1134</v>
      </c>
      <c r="G14" s="4">
        <f t="shared" si="2"/>
        <v>1285956</v>
      </c>
      <c r="H14" s="5">
        <f>SQRT(SUM('r-pi-2'!$D$3:D14)/COUNTIF($A$3:A14,"&lt;&gt;0"))</f>
        <v>36.611701226065236</v>
      </c>
    </row>
    <row r="15" spans="1:8">
      <c r="A15">
        <v>13</v>
      </c>
      <c r="B15">
        <v>1</v>
      </c>
      <c r="C15">
        <v>2600</v>
      </c>
      <c r="D15">
        <v>1510</v>
      </c>
      <c r="E15" s="4">
        <f t="shared" si="0"/>
        <v>0</v>
      </c>
      <c r="F15" s="4">
        <f t="shared" si="1"/>
        <v>1090</v>
      </c>
      <c r="G15" s="4">
        <f t="shared" si="2"/>
        <v>1188100</v>
      </c>
      <c r="H15" s="5">
        <f>SQRT(SUM('r-pi-2'!$D$3:D15)/COUNTIF($A$3:A15,"&lt;&gt;0"))</f>
        <v>36.78942155649554</v>
      </c>
    </row>
    <row r="16" spans="1:8">
      <c r="A16">
        <v>14</v>
      </c>
      <c r="B16">
        <v>1</v>
      </c>
      <c r="C16">
        <v>2600</v>
      </c>
      <c r="D16">
        <v>1492</v>
      </c>
      <c r="E16" s="4">
        <f t="shared" si="0"/>
        <v>0</v>
      </c>
      <c r="F16" s="4">
        <f t="shared" si="1"/>
        <v>1108</v>
      </c>
      <c r="G16" s="4">
        <f t="shared" si="2"/>
        <v>1227664</v>
      </c>
      <c r="H16" s="5">
        <f>SQRT(SUM('r-pi-2'!$D$3:D16)/COUNTIF($A$3:A16,"&lt;&gt;0"))</f>
        <v>36.923666433022909</v>
      </c>
    </row>
    <row r="17" spans="1:8">
      <c r="A17">
        <v>15</v>
      </c>
      <c r="B17">
        <v>1</v>
      </c>
      <c r="C17">
        <v>2600</v>
      </c>
      <c r="D17">
        <v>1474</v>
      </c>
      <c r="E17" s="4">
        <f t="shared" si="0"/>
        <v>0</v>
      </c>
      <c r="F17" s="4">
        <f t="shared" si="1"/>
        <v>1126</v>
      </c>
      <c r="G17" s="4">
        <f t="shared" si="2"/>
        <v>1267876</v>
      </c>
      <c r="H17" s="5">
        <f>SQRT(SUM('r-pi-2'!$D$3:D17)/COUNTIF($A$3:A17,"&lt;&gt;0"))</f>
        <v>37.023416013832829</v>
      </c>
    </row>
    <row r="18" spans="1:8">
      <c r="A18">
        <v>16</v>
      </c>
      <c r="B18">
        <v>2</v>
      </c>
      <c r="C18">
        <v>2600</v>
      </c>
      <c r="D18">
        <v>2554</v>
      </c>
      <c r="E18" s="4">
        <f t="shared" si="0"/>
        <v>1</v>
      </c>
      <c r="F18" s="4">
        <f t="shared" si="1"/>
        <v>46</v>
      </c>
      <c r="G18" s="4">
        <f t="shared" si="2"/>
        <v>2116</v>
      </c>
      <c r="H18" s="5">
        <f>SQRT(SUM('r-pi-2'!$D$3:D18)/COUNTIF($A$3:A18,"&lt;&gt;0"))</f>
        <v>38.009044976163239</v>
      </c>
    </row>
    <row r="19" spans="1:8">
      <c r="A19">
        <v>17</v>
      </c>
      <c r="B19">
        <v>1</v>
      </c>
      <c r="C19">
        <v>2600</v>
      </c>
      <c r="D19">
        <v>1490</v>
      </c>
      <c r="E19" s="4">
        <f t="shared" si="0"/>
        <v>0</v>
      </c>
      <c r="F19" s="4">
        <f t="shared" si="1"/>
        <v>1110</v>
      </c>
      <c r="G19" s="4">
        <f t="shared" si="2"/>
        <v>1232100</v>
      </c>
      <c r="H19" s="5">
        <f>SQRT(SUM('r-pi-2'!$D$3:D19)/COUNTIF($A$3:A19,"&lt;&gt;0"))</f>
        <v>38.04409206665958</v>
      </c>
    </row>
    <row r="20" spans="1:8">
      <c r="A20">
        <v>18</v>
      </c>
      <c r="B20">
        <v>2</v>
      </c>
      <c r="C20">
        <v>2600</v>
      </c>
      <c r="D20">
        <v>2578</v>
      </c>
      <c r="E20" s="4">
        <f t="shared" si="0"/>
        <v>1</v>
      </c>
      <c r="F20" s="4">
        <f t="shared" si="1"/>
        <v>22</v>
      </c>
      <c r="G20" s="4">
        <f t="shared" si="2"/>
        <v>484</v>
      </c>
      <c r="H20" s="5">
        <f>SQRT(SUM('r-pi-2'!$D$3:D20)/COUNTIF($A$3:A20,"&lt;&gt;0"))</f>
        <v>38.860862917164702</v>
      </c>
    </row>
    <row r="21" spans="1:8">
      <c r="A21">
        <v>19</v>
      </c>
      <c r="B21">
        <v>1</v>
      </c>
      <c r="C21">
        <v>2600</v>
      </c>
      <c r="D21">
        <v>1464</v>
      </c>
      <c r="E21" s="4">
        <f t="shared" si="0"/>
        <v>0</v>
      </c>
      <c r="F21" s="4">
        <f t="shared" si="1"/>
        <v>1136</v>
      </c>
      <c r="G21" s="4">
        <f t="shared" si="2"/>
        <v>1290496</v>
      </c>
      <c r="H21" s="5">
        <f>SQRT(SUM('r-pi-2'!$D$3:D21)/COUNTIF($A$3:A21,"&lt;&gt;0"))</f>
        <v>38.829587199779283</v>
      </c>
    </row>
    <row r="22" spans="1:8">
      <c r="A22">
        <v>20</v>
      </c>
      <c r="B22">
        <v>2</v>
      </c>
      <c r="C22">
        <v>2600</v>
      </c>
      <c r="D22">
        <v>2594</v>
      </c>
      <c r="E22" s="4">
        <f t="shared" si="0"/>
        <v>1</v>
      </c>
      <c r="F22" s="4">
        <f t="shared" si="1"/>
        <v>6</v>
      </c>
      <c r="G22" s="4">
        <f t="shared" si="2"/>
        <v>36</v>
      </c>
      <c r="H22" s="5">
        <f>SQRT(SUM('r-pi-2'!$D$3:D22)/COUNTIF($A$3:A22,"&lt;&gt;0"))</f>
        <v>39.522778242426227</v>
      </c>
    </row>
    <row r="23" spans="1:8">
      <c r="A23">
        <v>21</v>
      </c>
      <c r="B23">
        <v>2</v>
      </c>
      <c r="C23">
        <v>2600</v>
      </c>
      <c r="D23">
        <v>2588</v>
      </c>
      <c r="E23" s="4">
        <f t="shared" si="0"/>
        <v>1</v>
      </c>
      <c r="F23" s="4">
        <f t="shared" si="1"/>
        <v>12</v>
      </c>
      <c r="G23" s="4">
        <f t="shared" si="2"/>
        <v>144</v>
      </c>
      <c r="H23" s="5">
        <f>SQRT(SUM('r-pi-2'!$D$3:D23)/COUNTIF($A$3:A23,"&lt;&gt;0"))</f>
        <v>40.136078058335023</v>
      </c>
    </row>
    <row r="24" spans="1:8">
      <c r="A24">
        <v>22</v>
      </c>
      <c r="B24">
        <v>2</v>
      </c>
      <c r="C24">
        <v>2600</v>
      </c>
      <c r="D24">
        <v>2581</v>
      </c>
      <c r="E24" s="4">
        <f t="shared" si="0"/>
        <v>1</v>
      </c>
      <c r="F24" s="4">
        <f t="shared" si="1"/>
        <v>19</v>
      </c>
      <c r="G24" s="4">
        <f t="shared" si="2"/>
        <v>361</v>
      </c>
      <c r="H24" s="5">
        <f>SQRT(SUM('r-pi-2'!$D$3:D24)/COUNTIF($A$3:A24,"&lt;&gt;0"))</f>
        <v>40.681691213615984</v>
      </c>
    </row>
    <row r="25" spans="1:8">
      <c r="A25">
        <v>23</v>
      </c>
      <c r="B25">
        <v>2</v>
      </c>
      <c r="C25">
        <v>2600</v>
      </c>
      <c r="D25">
        <v>2498</v>
      </c>
      <c r="E25" s="4">
        <f t="shared" si="0"/>
        <v>1</v>
      </c>
      <c r="F25" s="4">
        <f t="shared" si="1"/>
        <v>102</v>
      </c>
      <c r="G25" s="4">
        <f t="shared" si="2"/>
        <v>10404</v>
      </c>
      <c r="H25" s="5">
        <f>SQRT(SUM('r-pi-2'!$D$3:D25)/COUNTIF($A$3:A25,"&lt;&gt;0"))</f>
        <v>41.129699414328854</v>
      </c>
    </row>
    <row r="26" spans="1:8">
      <c r="A26">
        <v>24</v>
      </c>
      <c r="B26">
        <v>2</v>
      </c>
      <c r="C26">
        <v>2600</v>
      </c>
      <c r="D26">
        <v>2596</v>
      </c>
      <c r="E26" s="4">
        <f t="shared" si="0"/>
        <v>1</v>
      </c>
      <c r="F26" s="4">
        <f t="shared" si="1"/>
        <v>4</v>
      </c>
      <c r="G26" s="4">
        <f t="shared" si="2"/>
        <v>16</v>
      </c>
      <c r="H26" s="5">
        <f>SQRT(SUM('r-pi-2'!$D$3:D26)/COUNTIF($A$3:A26,"&lt;&gt;0"))</f>
        <v>41.585253796668518</v>
      </c>
    </row>
    <row r="27" spans="1:8">
      <c r="A27">
        <v>25</v>
      </c>
      <c r="B27">
        <v>2</v>
      </c>
      <c r="C27">
        <v>2600</v>
      </c>
      <c r="D27">
        <v>2538</v>
      </c>
      <c r="E27" s="4">
        <f t="shared" si="0"/>
        <v>1</v>
      </c>
      <c r="F27" s="4">
        <f t="shared" si="1"/>
        <v>62</v>
      </c>
      <c r="G27" s="4">
        <f t="shared" si="2"/>
        <v>3844</v>
      </c>
      <c r="H27" s="5">
        <f>SQRT(SUM('r-pi-2'!$D$3:D27)/COUNTIF($A$3:A27,"&lt;&gt;0"))</f>
        <v>41.972371865311594</v>
      </c>
    </row>
    <row r="28" spans="1:8">
      <c r="A28">
        <v>26</v>
      </c>
      <c r="B28">
        <v>2</v>
      </c>
      <c r="C28">
        <v>2600</v>
      </c>
      <c r="D28">
        <v>2570</v>
      </c>
      <c r="E28" s="4">
        <f t="shared" si="0"/>
        <v>1</v>
      </c>
      <c r="F28" s="4">
        <f t="shared" si="1"/>
        <v>30</v>
      </c>
      <c r="G28" s="4">
        <f t="shared" si="2"/>
        <v>900</v>
      </c>
      <c r="H28" s="5">
        <f>SQRT(SUM('r-pi-2'!$D$3:D28)/COUNTIF($A$3:A28,"&lt;&gt;0"))</f>
        <v>42.341105686663767</v>
      </c>
    </row>
    <row r="29" spans="1:8">
      <c r="A29">
        <v>27</v>
      </c>
      <c r="B29">
        <v>2</v>
      </c>
      <c r="C29">
        <v>2600</v>
      </c>
      <c r="D29">
        <v>2539</v>
      </c>
      <c r="E29" s="4">
        <f t="shared" si="0"/>
        <v>1</v>
      </c>
      <c r="F29" s="4">
        <f t="shared" si="1"/>
        <v>61</v>
      </c>
      <c r="G29" s="4">
        <f t="shared" si="2"/>
        <v>3721</v>
      </c>
      <c r="H29" s="5">
        <f>SQRT(SUM('r-pi-2'!$D$3:D29)/COUNTIF($A$3:A29,"&lt;&gt;0"))</f>
        <v>42.666232636681286</v>
      </c>
    </row>
    <row r="30" spans="1:8">
      <c r="A30">
        <v>28</v>
      </c>
      <c r="B30">
        <v>2</v>
      </c>
      <c r="C30">
        <v>2600</v>
      </c>
      <c r="D30">
        <v>2611</v>
      </c>
      <c r="E30" s="4">
        <f t="shared" si="0"/>
        <v>1</v>
      </c>
      <c r="F30" s="4">
        <f t="shared" si="1"/>
        <v>11</v>
      </c>
      <c r="G30" s="4">
        <f t="shared" si="2"/>
        <v>121</v>
      </c>
      <c r="H30" s="5">
        <f>SQRT(SUM('r-pi-2'!$D$3:D30)/COUNTIF($A$3:A30,"&lt;&gt;0"))</f>
        <v>42.995846975526099</v>
      </c>
    </row>
    <row r="31" spans="1:8">
      <c r="A31">
        <v>29</v>
      </c>
      <c r="B31">
        <v>2</v>
      </c>
      <c r="C31">
        <v>2600</v>
      </c>
      <c r="D31">
        <v>2538</v>
      </c>
      <c r="E31" s="4">
        <f t="shared" si="0"/>
        <v>1</v>
      </c>
      <c r="F31" s="4">
        <f t="shared" si="1"/>
        <v>62</v>
      </c>
      <c r="G31" s="4">
        <f t="shared" si="2"/>
        <v>3844</v>
      </c>
      <c r="H31" s="5">
        <f>SQRT(SUM('r-pi-2'!$D$3:D31)/COUNTIF($A$3:A31,"&lt;&gt;0"))</f>
        <v>43.271396939588726</v>
      </c>
    </row>
    <row r="32" spans="1:8">
      <c r="A32">
        <v>30</v>
      </c>
      <c r="B32">
        <v>2</v>
      </c>
      <c r="C32">
        <v>2600</v>
      </c>
      <c r="D32">
        <v>2299</v>
      </c>
      <c r="E32" s="4">
        <f t="shared" si="0"/>
        <v>1</v>
      </c>
      <c r="F32" s="4">
        <f t="shared" si="1"/>
        <v>301</v>
      </c>
      <c r="G32" s="4">
        <f t="shared" si="2"/>
        <v>90601</v>
      </c>
      <c r="H32" s="5">
        <f>SQRT(SUM('r-pi-2'!$D$3:D32)/COUNTIF($A$3:A32,"&lt;&gt;0"))</f>
        <v>43.435392634732032</v>
      </c>
    </row>
    <row r="33" spans="1:8">
      <c r="A33">
        <v>31</v>
      </c>
      <c r="B33">
        <v>2</v>
      </c>
      <c r="C33">
        <v>2600</v>
      </c>
      <c r="D33">
        <v>2542</v>
      </c>
      <c r="E33" s="4">
        <f t="shared" si="0"/>
        <v>1</v>
      </c>
      <c r="F33" s="4">
        <f t="shared" si="1"/>
        <v>58</v>
      </c>
      <c r="G33" s="4">
        <f t="shared" si="2"/>
        <v>3364</v>
      </c>
      <c r="H33" s="5">
        <f>SQRT(SUM('r-pi-2'!$D$3:D33)/COUNTIF($A$3:A33,"&lt;&gt;0"))</f>
        <v>43.678074517409613</v>
      </c>
    </row>
    <row r="34" spans="1:8">
      <c r="A34">
        <v>32</v>
      </c>
      <c r="B34">
        <v>2</v>
      </c>
      <c r="C34">
        <v>2600</v>
      </c>
      <c r="D34">
        <v>2556</v>
      </c>
      <c r="E34" s="4">
        <f t="shared" si="0"/>
        <v>1</v>
      </c>
      <c r="F34" s="4">
        <f t="shared" si="1"/>
        <v>44</v>
      </c>
      <c r="G34" s="4">
        <f t="shared" si="2"/>
        <v>1936</v>
      </c>
      <c r="H34" s="5">
        <f>SQRT(SUM('r-pi-2'!$D$3:D34)/COUNTIF($A$3:A34,"&lt;&gt;0"))</f>
        <v>43.909352648382324</v>
      </c>
    </row>
    <row r="35" spans="1:8">
      <c r="A35">
        <v>33</v>
      </c>
      <c r="B35">
        <v>2</v>
      </c>
      <c r="C35">
        <v>2600</v>
      </c>
      <c r="D35">
        <v>2581</v>
      </c>
      <c r="E35" s="4">
        <f t="shared" si="0"/>
        <v>1</v>
      </c>
      <c r="F35" s="4">
        <f t="shared" si="1"/>
        <v>19</v>
      </c>
      <c r="G35" s="4">
        <f t="shared" si="2"/>
        <v>361</v>
      </c>
      <c r="H35" s="5">
        <f>SQRT(SUM('r-pi-2'!$D$3:D35)/COUNTIF($A$3:A35,"&lt;&gt;0"))</f>
        <v>44.134093191298057</v>
      </c>
    </row>
    <row r="36" spans="1:8">
      <c r="A36">
        <v>34</v>
      </c>
      <c r="B36">
        <v>2</v>
      </c>
      <c r="C36">
        <v>2600</v>
      </c>
      <c r="D36">
        <v>2603</v>
      </c>
      <c r="E36" s="4">
        <f t="shared" si="0"/>
        <v>1</v>
      </c>
      <c r="F36" s="4">
        <f t="shared" si="1"/>
        <v>3</v>
      </c>
      <c r="G36" s="4">
        <f t="shared" si="2"/>
        <v>9</v>
      </c>
      <c r="H36" s="5">
        <f>SQRT(SUM('r-pi-2'!$D$3:D36)/COUNTIF($A$3:A36,"&lt;&gt;0"))</f>
        <v>44.351868453246901</v>
      </c>
    </row>
    <row r="37" spans="1:8">
      <c r="A37">
        <v>35</v>
      </c>
      <c r="B37">
        <v>2</v>
      </c>
      <c r="C37">
        <v>2600</v>
      </c>
      <c r="D37">
        <v>2387</v>
      </c>
      <c r="E37" s="4">
        <f t="shared" si="0"/>
        <v>1</v>
      </c>
      <c r="F37" s="4">
        <f t="shared" si="1"/>
        <v>213</v>
      </c>
      <c r="G37" s="4">
        <f t="shared" si="2"/>
        <v>45369</v>
      </c>
      <c r="H37" s="5">
        <f>SQRT(SUM('r-pi-2'!$D$3:D37)/COUNTIF($A$3:A37,"&lt;&gt;0"))</f>
        <v>44.48691621460982</v>
      </c>
    </row>
    <row r="38" spans="1:8">
      <c r="A38">
        <v>36</v>
      </c>
      <c r="B38">
        <v>2</v>
      </c>
      <c r="C38">
        <v>2600</v>
      </c>
      <c r="D38">
        <v>2255</v>
      </c>
      <c r="E38" s="4">
        <f t="shared" si="0"/>
        <v>1</v>
      </c>
      <c r="F38" s="4">
        <f t="shared" si="1"/>
        <v>345</v>
      </c>
      <c r="G38" s="4">
        <f t="shared" si="2"/>
        <v>119025</v>
      </c>
      <c r="H38" s="5">
        <f>SQRT(SUM('r-pi-2'!$D$3:D38)/COUNTIF($A$3:A38,"&lt;&gt;0"))</f>
        <v>44.572973874310875</v>
      </c>
    </row>
    <row r="39" spans="1:8">
      <c r="A39">
        <v>37</v>
      </c>
      <c r="B39">
        <v>2</v>
      </c>
      <c r="C39">
        <v>2600</v>
      </c>
      <c r="D39">
        <v>2383</v>
      </c>
      <c r="E39" s="4">
        <f t="shared" si="0"/>
        <v>1</v>
      </c>
      <c r="F39" s="4">
        <f t="shared" si="1"/>
        <v>217</v>
      </c>
      <c r="G39" s="4">
        <f t="shared" si="2"/>
        <v>47089</v>
      </c>
      <c r="H39" s="5">
        <f>SQRT(SUM('r-pi-2'!$D$3:D39)/COUNTIF($A$3:A39,"&lt;&gt;0"))</f>
        <v>44.692946417297883</v>
      </c>
    </row>
    <row r="40" spans="1:8">
      <c r="A40">
        <v>38</v>
      </c>
      <c r="B40">
        <v>2</v>
      </c>
      <c r="C40">
        <v>2600</v>
      </c>
      <c r="D40">
        <v>2559</v>
      </c>
      <c r="E40" s="4">
        <f t="shared" si="0"/>
        <v>1</v>
      </c>
      <c r="F40" s="4">
        <f t="shared" si="1"/>
        <v>41</v>
      </c>
      <c r="G40" s="4">
        <f t="shared" si="2"/>
        <v>1681</v>
      </c>
      <c r="H40" s="5">
        <f>SQRT(SUM('r-pi-2'!$D$3:D40)/COUNTIF($A$3:A40,"&lt;&gt;0"))</f>
        <v>44.857962973203129</v>
      </c>
    </row>
    <row r="41" spans="1:8">
      <c r="A41">
        <v>39</v>
      </c>
      <c r="B41">
        <v>2</v>
      </c>
      <c r="C41">
        <v>2600</v>
      </c>
      <c r="D41">
        <v>2561</v>
      </c>
      <c r="E41" s="4">
        <f t="shared" si="0"/>
        <v>1</v>
      </c>
      <c r="F41" s="4">
        <f t="shared" si="1"/>
        <v>39</v>
      </c>
      <c r="G41" s="4">
        <f t="shared" si="2"/>
        <v>1521</v>
      </c>
      <c r="H41" s="5">
        <f>SQRT(SUM('r-pi-2'!$D$3:D41)/COUNTIF($A$3:A41,"&lt;&gt;0"))</f>
        <v>45.014527569526848</v>
      </c>
    </row>
    <row r="42" spans="1:8">
      <c r="A42">
        <v>40</v>
      </c>
      <c r="B42">
        <v>2</v>
      </c>
      <c r="C42">
        <v>2600</v>
      </c>
      <c r="D42">
        <v>2485</v>
      </c>
      <c r="E42" s="4">
        <f t="shared" si="0"/>
        <v>1</v>
      </c>
      <c r="F42" s="4">
        <f t="shared" si="1"/>
        <v>115</v>
      </c>
      <c r="G42" s="4">
        <f t="shared" si="2"/>
        <v>13225</v>
      </c>
      <c r="H42" s="5">
        <f>SQRT(SUM('r-pi-2'!$D$3:D42)/COUNTIF($A$3:A42,"&lt;&gt;0"))</f>
        <v>45.141721278657506</v>
      </c>
    </row>
    <row r="43" spans="1:8">
      <c r="A43">
        <v>41</v>
      </c>
      <c r="B43">
        <v>2</v>
      </c>
      <c r="C43">
        <v>2600</v>
      </c>
      <c r="D43">
        <v>2573</v>
      </c>
      <c r="E43" s="4">
        <f t="shared" si="0"/>
        <v>1</v>
      </c>
      <c r="F43" s="4">
        <f t="shared" si="1"/>
        <v>27</v>
      </c>
      <c r="G43" s="4">
        <f t="shared" si="2"/>
        <v>729</v>
      </c>
      <c r="H43" s="5">
        <f>SQRT(SUM('r-pi-2'!$D$3:D43)/COUNTIF($A$3:A43,"&lt;&gt;0"))</f>
        <v>45.286082501058566</v>
      </c>
    </row>
    <row r="44" spans="1:8">
      <c r="A44">
        <v>42</v>
      </c>
      <c r="B44">
        <v>2</v>
      </c>
      <c r="C44">
        <v>2600</v>
      </c>
      <c r="D44">
        <v>2566</v>
      </c>
      <c r="E44" s="4">
        <f t="shared" si="0"/>
        <v>1</v>
      </c>
      <c r="F44" s="4">
        <f t="shared" si="1"/>
        <v>34</v>
      </c>
      <c r="G44" s="4">
        <f t="shared" si="2"/>
        <v>1156</v>
      </c>
      <c r="H44" s="5">
        <f>SQRT(SUM('r-pi-2'!$D$3:D44)/COUNTIF($A$3:A44,"&lt;&gt;0"))</f>
        <v>45.421308194450305</v>
      </c>
    </row>
    <row r="45" spans="1:8">
      <c r="A45">
        <v>43</v>
      </c>
      <c r="B45">
        <v>2</v>
      </c>
      <c r="C45">
        <v>2600</v>
      </c>
      <c r="D45">
        <v>2566</v>
      </c>
      <c r="E45" s="4">
        <f t="shared" si="0"/>
        <v>1</v>
      </c>
      <c r="F45" s="4">
        <f t="shared" si="1"/>
        <v>34</v>
      </c>
      <c r="G45" s="4">
        <f t="shared" si="2"/>
        <v>1156</v>
      </c>
      <c r="H45" s="5">
        <f>SQRT(SUM('r-pi-2'!$D$3:D45)/COUNTIF($A$3:A45,"&lt;&gt;0"))</f>
        <v>45.549870446296751</v>
      </c>
    </row>
    <row r="46" spans="1:8">
      <c r="A46">
        <v>44</v>
      </c>
      <c r="B46">
        <v>2</v>
      </c>
      <c r="C46">
        <v>2600</v>
      </c>
      <c r="D46">
        <v>2505</v>
      </c>
      <c r="E46" s="4">
        <f t="shared" si="0"/>
        <v>1</v>
      </c>
      <c r="F46" s="4">
        <f t="shared" si="1"/>
        <v>95</v>
      </c>
      <c r="G46" s="4">
        <f t="shared" si="2"/>
        <v>9025</v>
      </c>
      <c r="H46" s="5">
        <f>SQRT(SUM('r-pi-2'!$D$3:D46)/COUNTIF($A$3:A46,"&lt;&gt;0"))</f>
        <v>45.657071542294318</v>
      </c>
    </row>
    <row r="47" spans="1:8">
      <c r="A47">
        <v>45</v>
      </c>
      <c r="B47">
        <v>2</v>
      </c>
      <c r="C47">
        <v>2600</v>
      </c>
      <c r="D47">
        <v>2534</v>
      </c>
      <c r="E47" s="4">
        <f t="shared" si="0"/>
        <v>1</v>
      </c>
      <c r="F47" s="4">
        <f t="shared" si="1"/>
        <v>66</v>
      </c>
      <c r="G47" s="4">
        <f t="shared" si="2"/>
        <v>4356</v>
      </c>
      <c r="H47" s="5">
        <f>SQRT(SUM('r-pi-2'!$D$3:D47)/COUNTIF($A$3:A47,"&lt;&gt;0"))</f>
        <v>45.766314638121735</v>
      </c>
    </row>
    <row r="48" spans="1:8">
      <c r="A48">
        <v>46</v>
      </c>
      <c r="B48">
        <v>2</v>
      </c>
      <c r="C48">
        <v>2600</v>
      </c>
      <c r="D48">
        <v>2525</v>
      </c>
      <c r="E48" s="4">
        <f t="shared" si="0"/>
        <v>1</v>
      </c>
      <c r="F48" s="4">
        <f t="shared" si="1"/>
        <v>75</v>
      </c>
      <c r="G48" s="4">
        <f t="shared" si="2"/>
        <v>5625</v>
      </c>
      <c r="H48" s="5">
        <f>SQRT(SUM('r-pi-2'!$D$3:D48)/COUNTIF($A$3:A48,"&lt;&gt;0"))</f>
        <v>45.868431883794116</v>
      </c>
    </row>
    <row r="49" spans="1:8">
      <c r="A49">
        <v>47</v>
      </c>
      <c r="B49">
        <v>2</v>
      </c>
      <c r="C49">
        <v>2600</v>
      </c>
      <c r="D49">
        <v>2547</v>
      </c>
      <c r="E49" s="4">
        <f t="shared" si="0"/>
        <v>1</v>
      </c>
      <c r="F49" s="4">
        <f t="shared" si="1"/>
        <v>53</v>
      </c>
      <c r="G49" s="4">
        <f t="shared" si="2"/>
        <v>2809</v>
      </c>
      <c r="H49" s="5">
        <f>SQRT(SUM('r-pi-2'!$D$3:D49)/COUNTIF($A$3:A49,"&lt;&gt;0"))</f>
        <v>45.971082492496464</v>
      </c>
    </row>
    <row r="50" spans="1:8">
      <c r="A50">
        <v>48</v>
      </c>
      <c r="B50">
        <v>2</v>
      </c>
      <c r="C50">
        <v>2600</v>
      </c>
      <c r="D50">
        <v>2523</v>
      </c>
      <c r="E50" s="4">
        <f t="shared" si="0"/>
        <v>1</v>
      </c>
      <c r="F50" s="4">
        <f t="shared" si="1"/>
        <v>77</v>
      </c>
      <c r="G50" s="4">
        <f t="shared" si="2"/>
        <v>5929</v>
      </c>
      <c r="H50" s="5">
        <f>SQRT(SUM('r-pi-2'!$D$3:D50)/COUNTIF($A$3:A50,"&lt;&gt;0"))</f>
        <v>46.063814431720701</v>
      </c>
    </row>
    <row r="51" spans="1:8">
      <c r="A51">
        <v>49</v>
      </c>
      <c r="B51">
        <v>2</v>
      </c>
      <c r="C51">
        <v>2600</v>
      </c>
      <c r="D51">
        <v>2545</v>
      </c>
      <c r="E51" s="4">
        <f t="shared" si="0"/>
        <v>1</v>
      </c>
      <c r="F51" s="4">
        <f t="shared" si="1"/>
        <v>55</v>
      </c>
      <c r="G51" s="4">
        <f t="shared" si="2"/>
        <v>3025</v>
      </c>
      <c r="H51" s="5">
        <f>SQRT(SUM('r-pi-2'!$D$3:D51)/COUNTIF($A$3:A51,"&lt;&gt;0"))</f>
        <v>46.157450147095787</v>
      </c>
    </row>
    <row r="52" spans="1:8">
      <c r="A52">
        <v>50</v>
      </c>
      <c r="B52">
        <v>2</v>
      </c>
      <c r="C52">
        <v>2600</v>
      </c>
      <c r="D52">
        <v>2331</v>
      </c>
      <c r="E52" s="4">
        <f t="shared" si="0"/>
        <v>1</v>
      </c>
      <c r="F52" s="4">
        <f t="shared" si="1"/>
        <v>269</v>
      </c>
      <c r="G52" s="4">
        <f t="shared" si="2"/>
        <v>72361</v>
      </c>
      <c r="H52" s="5">
        <f>SQRT(SUM('r-pi-2'!$D$3:D52)/COUNTIF($A$3:A52,"&lt;&gt;0"))</f>
        <v>46.200865792753277</v>
      </c>
    </row>
    <row r="53" spans="1:8">
      <c r="A53">
        <v>51</v>
      </c>
      <c r="B53">
        <v>2</v>
      </c>
      <c r="C53">
        <v>2600</v>
      </c>
      <c r="D53">
        <v>2517</v>
      </c>
      <c r="E53" s="4">
        <f t="shared" si="0"/>
        <v>1</v>
      </c>
      <c r="F53" s="4">
        <f t="shared" si="1"/>
        <v>83</v>
      </c>
      <c r="G53" s="4">
        <f t="shared" si="2"/>
        <v>6889</v>
      </c>
      <c r="H53" s="5">
        <f>SQRT(SUM('r-pi-2'!$D$3:D53)/COUNTIF($A$3:A53,"&lt;&gt;0"))</f>
        <v>46.281957692421969</v>
      </c>
    </row>
    <row r="54" spans="1:8">
      <c r="A54">
        <v>52</v>
      </c>
      <c r="B54">
        <v>2</v>
      </c>
      <c r="C54">
        <v>2600</v>
      </c>
      <c r="D54">
        <v>2547</v>
      </c>
      <c r="E54" s="4">
        <f t="shared" si="0"/>
        <v>1</v>
      </c>
      <c r="F54" s="4">
        <f t="shared" si="1"/>
        <v>53</v>
      </c>
      <c r="G54" s="4">
        <f t="shared" si="2"/>
        <v>2809</v>
      </c>
      <c r="H54" s="5">
        <f>SQRT(SUM('r-pi-2'!$D$3:D54)/COUNTIF($A$3:A54,"&lt;&gt;0"))</f>
        <v>46.366018723928548</v>
      </c>
    </row>
    <row r="55" spans="1:8">
      <c r="A55">
        <v>53</v>
      </c>
      <c r="B55">
        <v>2</v>
      </c>
      <c r="C55">
        <v>2600</v>
      </c>
      <c r="D55">
        <v>2550</v>
      </c>
      <c r="E55" s="4">
        <f t="shared" si="0"/>
        <v>1</v>
      </c>
      <c r="F55" s="4">
        <f t="shared" si="1"/>
        <v>50</v>
      </c>
      <c r="G55" s="4">
        <f t="shared" si="2"/>
        <v>2500</v>
      </c>
      <c r="H55" s="5">
        <f>SQRT(SUM('r-pi-2'!$D$3:D55)/COUNTIF($A$3:A55,"&lt;&gt;0"))</f>
        <v>46.447373344098132</v>
      </c>
    </row>
    <row r="56" spans="1:8">
      <c r="A56">
        <v>54</v>
      </c>
      <c r="B56">
        <v>2</v>
      </c>
      <c r="C56">
        <v>2600</v>
      </c>
      <c r="D56">
        <v>2246</v>
      </c>
      <c r="E56" s="4">
        <f t="shared" si="0"/>
        <v>1</v>
      </c>
      <c r="F56" s="4">
        <f t="shared" si="1"/>
        <v>354</v>
      </c>
      <c r="G56" s="4">
        <f t="shared" si="2"/>
        <v>125316</v>
      </c>
      <c r="H56" s="5">
        <f>SQRT(SUM('r-pi-2'!$D$3:D56)/COUNTIF($A$3:A56,"&lt;&gt;0"))</f>
        <v>46.465040621955772</v>
      </c>
    </row>
    <row r="57" spans="1:8">
      <c r="A57">
        <v>55</v>
      </c>
      <c r="B57">
        <v>2</v>
      </c>
      <c r="C57">
        <v>2600</v>
      </c>
      <c r="D57">
        <v>2501</v>
      </c>
      <c r="E57" s="4">
        <f t="shared" si="0"/>
        <v>1</v>
      </c>
      <c r="F57" s="4">
        <f t="shared" si="1"/>
        <v>99</v>
      </c>
      <c r="G57" s="4">
        <f t="shared" si="2"/>
        <v>9801</v>
      </c>
      <c r="H57" s="5">
        <f>SQRT(SUM('r-pi-2'!$D$3:D57)/COUNTIF($A$3:A57,"&lt;&gt;0"))</f>
        <v>46.531904988063637</v>
      </c>
    </row>
    <row r="58" spans="1:8">
      <c r="A58">
        <v>56</v>
      </c>
      <c r="B58">
        <v>2</v>
      </c>
      <c r="C58">
        <v>2600</v>
      </c>
      <c r="D58">
        <v>2103</v>
      </c>
      <c r="E58" s="4">
        <f t="shared" si="0"/>
        <v>1</v>
      </c>
      <c r="F58" s="4">
        <f t="shared" si="1"/>
        <v>497</v>
      </c>
      <c r="G58" s="4">
        <f t="shared" si="2"/>
        <v>247009</v>
      </c>
      <c r="H58" s="5">
        <f>SQRT(SUM('r-pi-2'!$D$3:D58)/COUNTIF($A$3:A58,"&lt;&gt;0"))</f>
        <v>46.519964992002549</v>
      </c>
    </row>
    <row r="59" spans="1:8">
      <c r="A59">
        <v>57</v>
      </c>
      <c r="B59">
        <v>2</v>
      </c>
      <c r="C59">
        <v>2600</v>
      </c>
      <c r="D59">
        <v>2537</v>
      </c>
      <c r="E59" s="4">
        <f t="shared" si="0"/>
        <v>1</v>
      </c>
      <c r="F59" s="4">
        <f t="shared" si="1"/>
        <v>63</v>
      </c>
      <c r="G59" s="4">
        <f t="shared" si="2"/>
        <v>3969</v>
      </c>
      <c r="H59" s="5">
        <f>SQRT(SUM('r-pi-2'!$D$3:D59)/COUNTIF($A$3:A59,"&lt;&gt;0"))</f>
        <v>46.590225614467869</v>
      </c>
    </row>
    <row r="60" spans="1:8">
      <c r="A60">
        <v>58</v>
      </c>
      <c r="B60">
        <v>2</v>
      </c>
      <c r="C60">
        <v>2600</v>
      </c>
      <c r="D60">
        <v>2546</v>
      </c>
      <c r="E60" s="4">
        <f t="shared" si="0"/>
        <v>1</v>
      </c>
      <c r="F60" s="4">
        <f t="shared" si="1"/>
        <v>54</v>
      </c>
      <c r="G60" s="4">
        <f t="shared" si="2"/>
        <v>2916</v>
      </c>
      <c r="H60" s="5">
        <f>SQRT(SUM('r-pi-2'!$D$3:D60)/COUNTIF($A$3:A60,"&lt;&gt;0"))</f>
        <v>46.659625905649655</v>
      </c>
    </row>
    <row r="61" spans="1:8">
      <c r="A61">
        <v>59</v>
      </c>
      <c r="B61">
        <v>2</v>
      </c>
      <c r="C61">
        <v>2600</v>
      </c>
      <c r="D61">
        <v>2545</v>
      </c>
      <c r="E61" s="4">
        <f t="shared" si="0"/>
        <v>1</v>
      </c>
      <c r="F61" s="4">
        <f t="shared" si="1"/>
        <v>55</v>
      </c>
      <c r="G61" s="4">
        <f t="shared" si="2"/>
        <v>3025</v>
      </c>
      <c r="H61" s="5">
        <f>SQRT(SUM('r-pi-2'!$D$3:D61)/COUNTIF($A$3:A61,"&lt;&gt;0"))</f>
        <v>46.726394384794872</v>
      </c>
    </row>
    <row r="62" spans="1:8">
      <c r="A62">
        <v>60</v>
      </c>
      <c r="B62">
        <v>2</v>
      </c>
      <c r="C62">
        <v>2600</v>
      </c>
      <c r="D62">
        <v>2473</v>
      </c>
      <c r="E62" s="4">
        <f t="shared" si="0"/>
        <v>1</v>
      </c>
      <c r="F62" s="4">
        <f t="shared" si="1"/>
        <v>127</v>
      </c>
      <c r="G62" s="4">
        <f t="shared" si="2"/>
        <v>16129</v>
      </c>
      <c r="H62" s="5">
        <f>SQRT(SUM('r-pi-2'!$D$3:D62)/COUNTIF($A$3:A62,"&lt;&gt;0"))</f>
        <v>46.778021904878933</v>
      </c>
    </row>
    <row r="63" spans="1:8">
      <c r="A63">
        <v>61</v>
      </c>
      <c r="B63">
        <v>2</v>
      </c>
      <c r="C63">
        <v>2600</v>
      </c>
      <c r="D63">
        <v>2524</v>
      </c>
      <c r="E63" s="4">
        <f t="shared" si="0"/>
        <v>1</v>
      </c>
      <c r="F63" s="4">
        <f t="shared" si="1"/>
        <v>76</v>
      </c>
      <c r="G63" s="4">
        <f t="shared" si="2"/>
        <v>5776</v>
      </c>
      <c r="H63" s="5">
        <f>SQRT(SUM('r-pi-2'!$D$3:D63)/COUNTIF($A$3:A63,"&lt;&gt;0"))</f>
        <v>46.836828720464879</v>
      </c>
    </row>
    <row r="64" spans="1:8">
      <c r="A64">
        <v>62</v>
      </c>
      <c r="B64">
        <v>2</v>
      </c>
      <c r="C64">
        <v>2600</v>
      </c>
      <c r="D64">
        <v>2547</v>
      </c>
      <c r="E64" s="4">
        <f t="shared" si="0"/>
        <v>1</v>
      </c>
      <c r="F64" s="4">
        <f t="shared" si="1"/>
        <v>53</v>
      </c>
      <c r="G64" s="4">
        <f t="shared" si="2"/>
        <v>2809</v>
      </c>
      <c r="H64" s="5">
        <f>SQRT(SUM('r-pi-2'!$D$3:D64)/COUNTIF($A$3:A64,"&lt;&gt;0"))</f>
        <v>46.897623572780248</v>
      </c>
    </row>
    <row r="65" spans="1:8">
      <c r="A65">
        <v>63</v>
      </c>
      <c r="B65">
        <v>2</v>
      </c>
      <c r="C65">
        <v>2600</v>
      </c>
      <c r="D65">
        <v>2538</v>
      </c>
      <c r="E65" s="4">
        <f t="shared" si="0"/>
        <v>1</v>
      </c>
      <c r="F65" s="4">
        <f t="shared" si="1"/>
        <v>62</v>
      </c>
      <c r="G65" s="4">
        <f t="shared" si="2"/>
        <v>3844</v>
      </c>
      <c r="H65" s="5">
        <f>SQRT(SUM('r-pi-2'!$D$3:D65)/COUNTIF($A$3:A65,"&lt;&gt;0"))</f>
        <v>46.954892234589408</v>
      </c>
    </row>
    <row r="66" spans="1:8">
      <c r="A66">
        <v>64</v>
      </c>
      <c r="B66">
        <v>2</v>
      </c>
      <c r="C66">
        <v>2600</v>
      </c>
      <c r="D66">
        <v>2451</v>
      </c>
      <c r="E66" s="4">
        <f t="shared" si="0"/>
        <v>1</v>
      </c>
      <c r="F66" s="4">
        <f t="shared" si="1"/>
        <v>149</v>
      </c>
      <c r="G66" s="4">
        <f t="shared" si="2"/>
        <v>22201</v>
      </c>
      <c r="H66" s="5">
        <f>SQRT(SUM('r-pi-2'!$D$3:D66)/COUNTIF($A$3:A66,"&lt;&gt;0"))</f>
        <v>46.995844231165805</v>
      </c>
    </row>
    <row r="67" spans="1:8">
      <c r="A67">
        <v>65</v>
      </c>
      <c r="B67">
        <v>2</v>
      </c>
      <c r="C67">
        <v>2600</v>
      </c>
      <c r="D67">
        <v>2539</v>
      </c>
      <c r="E67" s="4">
        <f t="shared" si="0"/>
        <v>1</v>
      </c>
      <c r="F67" s="4">
        <f t="shared" si="1"/>
        <v>61</v>
      </c>
      <c r="G67" s="4">
        <f t="shared" si="2"/>
        <v>3721</v>
      </c>
      <c r="H67" s="5">
        <f>SQRT(SUM('r-pi-2'!$D$3:D67)/COUNTIF($A$3:A67,"&lt;&gt;0"))</f>
        <v>47.0498916862973</v>
      </c>
    </row>
    <row r="68" spans="1:8">
      <c r="A68">
        <v>66</v>
      </c>
      <c r="B68">
        <v>2</v>
      </c>
      <c r="C68">
        <v>2600</v>
      </c>
      <c r="D68">
        <v>2495</v>
      </c>
      <c r="E68" s="4">
        <f t="shared" ref="E68:E131" si="3">IF(AND(D68&lt;=C68*1.2,D68&gt;=C68*0.8),1,0)</f>
        <v>1</v>
      </c>
      <c r="F68" s="4">
        <f t="shared" ref="F68:F131" si="4">ABS(C68-D68)</f>
        <v>105</v>
      </c>
      <c r="G68" s="4">
        <f t="shared" ref="G68:G131" si="5">POWER(F68,2)</f>
        <v>11025</v>
      </c>
      <c r="H68" s="5">
        <f>SQRT(SUM('r-pi-2'!$D$3:D68)/COUNTIF($A$3:A68,"&lt;&gt;0"))</f>
        <v>47.095164777868071</v>
      </c>
    </row>
    <row r="69" spans="1:8">
      <c r="A69">
        <v>67</v>
      </c>
      <c r="B69">
        <v>2</v>
      </c>
      <c r="C69">
        <v>2600</v>
      </c>
      <c r="D69">
        <v>2429</v>
      </c>
      <c r="E69" s="4">
        <f t="shared" si="3"/>
        <v>1</v>
      </c>
      <c r="F69" s="4">
        <f t="shared" si="4"/>
        <v>171</v>
      </c>
      <c r="G69" s="4">
        <f t="shared" si="5"/>
        <v>29241</v>
      </c>
      <c r="H69" s="5">
        <f>SQRT(SUM('r-pi-2'!$D$3:D69)/COUNTIF($A$3:A69,"&lt;&gt;0"))</f>
        <v>47.1285951160433</v>
      </c>
    </row>
    <row r="70" spans="1:8">
      <c r="A70">
        <v>68</v>
      </c>
      <c r="B70">
        <v>2</v>
      </c>
      <c r="C70">
        <v>2600</v>
      </c>
      <c r="D70">
        <v>2370</v>
      </c>
      <c r="E70" s="4">
        <f t="shared" si="3"/>
        <v>1</v>
      </c>
      <c r="F70" s="4">
        <f t="shared" si="4"/>
        <v>230</v>
      </c>
      <c r="G70" s="4">
        <f t="shared" si="5"/>
        <v>52900</v>
      </c>
      <c r="H70" s="5">
        <f>SQRT(SUM('r-pi-2'!$D$3:D70)/COUNTIF($A$3:A70,"&lt;&gt;0"))</f>
        <v>47.151819876300202</v>
      </c>
    </row>
    <row r="71" spans="1:8">
      <c r="A71">
        <v>69</v>
      </c>
      <c r="B71">
        <v>2</v>
      </c>
      <c r="C71">
        <v>2600</v>
      </c>
      <c r="D71">
        <v>2475</v>
      </c>
      <c r="E71" s="4">
        <f t="shared" si="3"/>
        <v>1</v>
      </c>
      <c r="F71" s="4">
        <f t="shared" si="4"/>
        <v>125</v>
      </c>
      <c r="G71" s="4">
        <f t="shared" si="5"/>
        <v>15625</v>
      </c>
      <c r="H71" s="5">
        <f>SQRT(SUM('r-pi-2'!$D$3:D71)/COUNTIF($A$3:A71,"&lt;&gt;0"))</f>
        <v>47.190486636455731</v>
      </c>
    </row>
    <row r="72" spans="1:8">
      <c r="A72">
        <v>70</v>
      </c>
      <c r="B72">
        <v>2</v>
      </c>
      <c r="C72">
        <v>2600</v>
      </c>
      <c r="D72">
        <v>2482</v>
      </c>
      <c r="E72" s="4">
        <f t="shared" si="3"/>
        <v>1</v>
      </c>
      <c r="F72" s="4">
        <f t="shared" si="4"/>
        <v>118</v>
      </c>
      <c r="G72" s="4">
        <f t="shared" si="5"/>
        <v>13924</v>
      </c>
      <c r="H72" s="5">
        <f>SQRT(SUM('r-pi-2'!$D$3:D72)/COUNTIF($A$3:A72,"&lt;&gt;0"))</f>
        <v>47.229077000145942</v>
      </c>
    </row>
    <row r="73" spans="1:8">
      <c r="A73">
        <v>71</v>
      </c>
      <c r="B73">
        <v>2</v>
      </c>
      <c r="C73">
        <v>2600</v>
      </c>
      <c r="D73">
        <v>2540</v>
      </c>
      <c r="E73" s="4">
        <f t="shared" si="3"/>
        <v>1</v>
      </c>
      <c r="F73" s="4">
        <f t="shared" si="4"/>
        <v>60</v>
      </c>
      <c r="G73" s="4">
        <f t="shared" si="5"/>
        <v>3600</v>
      </c>
      <c r="H73" s="5">
        <f>SQRT(SUM('r-pi-2'!$D$3:D73)/COUNTIF($A$3:A73,"&lt;&gt;0"))</f>
        <v>47.275190766107237</v>
      </c>
    </row>
    <row r="74" spans="1:8">
      <c r="A74">
        <v>72</v>
      </c>
      <c r="B74">
        <v>2</v>
      </c>
      <c r="C74">
        <v>2600</v>
      </c>
      <c r="D74">
        <v>2438</v>
      </c>
      <c r="E74" s="4">
        <f t="shared" si="3"/>
        <v>1</v>
      </c>
      <c r="F74" s="4">
        <f t="shared" si="4"/>
        <v>162</v>
      </c>
      <c r="G74" s="4">
        <f t="shared" si="5"/>
        <v>26244</v>
      </c>
      <c r="H74" s="5">
        <f>SQRT(SUM('r-pi-2'!$D$3:D74)/COUNTIF($A$3:A74,"&lt;&gt;0"))</f>
        <v>47.30500913105174</v>
      </c>
    </row>
    <row r="75" spans="1:8">
      <c r="A75">
        <v>73</v>
      </c>
      <c r="B75">
        <v>2</v>
      </c>
      <c r="C75">
        <v>2600</v>
      </c>
      <c r="D75">
        <v>2471</v>
      </c>
      <c r="E75" s="4">
        <f t="shared" si="3"/>
        <v>1</v>
      </c>
      <c r="F75" s="4">
        <f t="shared" si="4"/>
        <v>129</v>
      </c>
      <c r="G75" s="4">
        <f t="shared" si="5"/>
        <v>16641</v>
      </c>
      <c r="H75" s="5">
        <f>SQRT(SUM('r-pi-2'!$D$3:D75)/COUNTIF($A$3:A75,"&lt;&gt;0"))</f>
        <v>47.338767454482685</v>
      </c>
    </row>
    <row r="76" spans="1:8">
      <c r="A76">
        <v>74</v>
      </c>
      <c r="B76">
        <v>2</v>
      </c>
      <c r="C76">
        <v>2600</v>
      </c>
      <c r="D76">
        <v>2483</v>
      </c>
      <c r="E76" s="4">
        <f t="shared" si="3"/>
        <v>1</v>
      </c>
      <c r="F76" s="4">
        <f t="shared" si="4"/>
        <v>117</v>
      </c>
      <c r="G76" s="4">
        <f t="shared" si="5"/>
        <v>13689</v>
      </c>
      <c r="H76" s="5">
        <f>SQRT(SUM('r-pi-2'!$D$3:D76)/COUNTIF($A$3:A76,"&lt;&gt;0"))</f>
        <v>47.37330186644931</v>
      </c>
    </row>
    <row r="77" spans="1:8">
      <c r="A77">
        <v>75</v>
      </c>
      <c r="B77">
        <v>2</v>
      </c>
      <c r="C77">
        <v>2600</v>
      </c>
      <c r="D77">
        <v>2475</v>
      </c>
      <c r="E77" s="4">
        <f t="shared" si="3"/>
        <v>1</v>
      </c>
      <c r="F77" s="4">
        <f t="shared" si="4"/>
        <v>125</v>
      </c>
      <c r="G77" s="4">
        <f t="shared" si="5"/>
        <v>15625</v>
      </c>
      <c r="H77" s="5">
        <f>SQRT(SUM('r-pi-2'!$D$3:D77)/COUNTIF($A$3:A77,"&lt;&gt;0"))</f>
        <v>47.40576617529419</v>
      </c>
    </row>
    <row r="78" spans="1:8">
      <c r="A78">
        <v>76</v>
      </c>
      <c r="B78">
        <v>2</v>
      </c>
      <c r="C78">
        <v>2600</v>
      </c>
      <c r="D78">
        <v>2497</v>
      </c>
      <c r="E78" s="4">
        <f t="shared" si="3"/>
        <v>1</v>
      </c>
      <c r="F78" s="4">
        <f t="shared" si="4"/>
        <v>103</v>
      </c>
      <c r="G78" s="4">
        <f t="shared" si="5"/>
        <v>10609</v>
      </c>
      <c r="H78" s="5">
        <f>SQRT(SUM('r-pi-2'!$D$3:D78)/COUNTIF($A$3:A78,"&lt;&gt;0"))</f>
        <v>47.440405829452573</v>
      </c>
    </row>
    <row r="79" spans="1:8">
      <c r="A79">
        <v>77</v>
      </c>
      <c r="B79">
        <v>2</v>
      </c>
      <c r="C79">
        <v>2600</v>
      </c>
      <c r="D79">
        <v>2459</v>
      </c>
      <c r="E79" s="4">
        <f t="shared" si="3"/>
        <v>1</v>
      </c>
      <c r="F79" s="4">
        <f t="shared" si="4"/>
        <v>141</v>
      </c>
      <c r="G79" s="4">
        <f t="shared" si="5"/>
        <v>19881</v>
      </c>
      <c r="H79" s="5">
        <f>SQRT(SUM('r-pi-2'!$D$3:D79)/COUNTIF($A$3:A79,"&lt;&gt;0"))</f>
        <v>47.468923532124691</v>
      </c>
    </row>
    <row r="80" spans="1:8">
      <c r="A80">
        <v>78</v>
      </c>
      <c r="B80">
        <v>2</v>
      </c>
      <c r="C80">
        <v>2600</v>
      </c>
      <c r="D80">
        <v>2549</v>
      </c>
      <c r="E80" s="4">
        <f t="shared" si="3"/>
        <v>1</v>
      </c>
      <c r="F80" s="4">
        <f t="shared" si="4"/>
        <v>51</v>
      </c>
      <c r="G80" s="4">
        <f t="shared" si="5"/>
        <v>2601</v>
      </c>
      <c r="H80" s="5">
        <f>SQRT(SUM('r-pi-2'!$D$3:D80)/COUNTIF($A$3:A80,"&lt;&gt;0"))</f>
        <v>47.508838583886089</v>
      </c>
    </row>
    <row r="81" spans="1:8">
      <c r="A81">
        <v>79</v>
      </c>
      <c r="B81">
        <v>2</v>
      </c>
      <c r="C81">
        <v>2600</v>
      </c>
      <c r="D81">
        <v>2469</v>
      </c>
      <c r="E81" s="4">
        <f t="shared" si="3"/>
        <v>1</v>
      </c>
      <c r="F81" s="4">
        <f t="shared" si="4"/>
        <v>131</v>
      </c>
      <c r="G81" s="4">
        <f t="shared" si="5"/>
        <v>17161</v>
      </c>
      <c r="H81" s="5">
        <f>SQRT(SUM('r-pi-2'!$D$3:D81)/COUNTIF($A$3:A81,"&lt;&gt;0"))</f>
        <v>47.537060825199681</v>
      </c>
    </row>
    <row r="82" spans="1:8">
      <c r="A82">
        <v>80</v>
      </c>
      <c r="B82">
        <v>2</v>
      </c>
      <c r="C82">
        <v>2600</v>
      </c>
      <c r="D82">
        <v>2529</v>
      </c>
      <c r="E82" s="4">
        <f t="shared" si="3"/>
        <v>1</v>
      </c>
      <c r="F82" s="4">
        <f t="shared" si="4"/>
        <v>71</v>
      </c>
      <c r="G82" s="4">
        <f t="shared" si="5"/>
        <v>5041</v>
      </c>
      <c r="H82" s="5">
        <f>SQRT(SUM('r-pi-2'!$D$3:D82)/COUNTIF($A$3:A82,"&lt;&gt;0"))</f>
        <v>47.572444755341301</v>
      </c>
    </row>
    <row r="83" spans="1:8">
      <c r="A83">
        <v>81</v>
      </c>
      <c r="B83">
        <v>2</v>
      </c>
      <c r="C83">
        <v>2600</v>
      </c>
      <c r="D83">
        <v>2534</v>
      </c>
      <c r="E83" s="4">
        <f t="shared" si="3"/>
        <v>1</v>
      </c>
      <c r="F83" s="4">
        <f t="shared" si="4"/>
        <v>66</v>
      </c>
      <c r="G83" s="4">
        <f t="shared" si="5"/>
        <v>4356</v>
      </c>
      <c r="H83" s="5">
        <f>SQRT(SUM('r-pi-2'!$D$3:D83)/COUNTIF($A$3:A83,"&lt;&gt;0"))</f>
        <v>47.607577983777766</v>
      </c>
    </row>
    <row r="84" spans="1:8">
      <c r="A84">
        <v>82</v>
      </c>
      <c r="B84">
        <v>2</v>
      </c>
      <c r="C84">
        <v>2600</v>
      </c>
      <c r="D84">
        <v>2474</v>
      </c>
      <c r="E84" s="4">
        <f t="shared" si="3"/>
        <v>1</v>
      </c>
      <c r="F84" s="4">
        <f t="shared" si="4"/>
        <v>126</v>
      </c>
      <c r="G84" s="4">
        <f t="shared" si="5"/>
        <v>15876</v>
      </c>
      <c r="H84" s="5">
        <f>SQRT(SUM('r-pi-2'!$D$3:D84)/COUNTIF($A$3:A84,"&lt;&gt;0"))</f>
        <v>47.634149463614349</v>
      </c>
    </row>
    <row r="85" spans="1:8">
      <c r="A85">
        <v>83</v>
      </c>
      <c r="B85">
        <v>2</v>
      </c>
      <c r="C85">
        <v>2600</v>
      </c>
      <c r="D85">
        <v>2509</v>
      </c>
      <c r="E85" s="4">
        <f t="shared" si="3"/>
        <v>1</v>
      </c>
      <c r="F85" s="4">
        <f t="shared" si="4"/>
        <v>91</v>
      </c>
      <c r="G85" s="4">
        <f t="shared" si="5"/>
        <v>8281</v>
      </c>
      <c r="H85" s="5">
        <f>SQRT(SUM('r-pi-2'!$D$3:D85)/COUNTIF($A$3:A85,"&lt;&gt;0"))</f>
        <v>47.66449007865112</v>
      </c>
    </row>
    <row r="86" spans="1:8">
      <c r="A86">
        <v>84</v>
      </c>
      <c r="B86">
        <v>2</v>
      </c>
      <c r="C86">
        <v>2600</v>
      </c>
      <c r="D86">
        <v>2474</v>
      </c>
      <c r="E86" s="4">
        <f t="shared" si="3"/>
        <v>1</v>
      </c>
      <c r="F86" s="4">
        <f t="shared" si="4"/>
        <v>126</v>
      </c>
      <c r="G86" s="4">
        <f t="shared" si="5"/>
        <v>15876</v>
      </c>
      <c r="H86" s="5">
        <f>SQRT(SUM('r-pi-2'!$D$3:D86)/COUNTIF($A$3:A86,"&lt;&gt;0"))</f>
        <v>47.689721364351918</v>
      </c>
    </row>
    <row r="87" spans="1:8">
      <c r="A87">
        <v>85</v>
      </c>
      <c r="B87">
        <v>2</v>
      </c>
      <c r="C87">
        <v>2600</v>
      </c>
      <c r="D87">
        <v>2475</v>
      </c>
      <c r="E87" s="4">
        <f t="shared" si="3"/>
        <v>1</v>
      </c>
      <c r="F87" s="4">
        <f t="shared" si="4"/>
        <v>125</v>
      </c>
      <c r="G87" s="4">
        <f t="shared" si="5"/>
        <v>15625</v>
      </c>
      <c r="H87" s="5">
        <f>SQRT(SUM('r-pi-2'!$D$3:D87)/COUNTIF($A$3:A87,"&lt;&gt;0"))</f>
        <v>47.714469380213103</v>
      </c>
    </row>
    <row r="88" spans="1:8">
      <c r="A88">
        <v>86</v>
      </c>
      <c r="B88">
        <v>2</v>
      </c>
      <c r="C88">
        <v>2600</v>
      </c>
      <c r="D88">
        <v>2482</v>
      </c>
      <c r="E88" s="4">
        <f t="shared" si="3"/>
        <v>1</v>
      </c>
      <c r="F88" s="4">
        <f t="shared" si="4"/>
        <v>118</v>
      </c>
      <c r="G88" s="4">
        <f t="shared" si="5"/>
        <v>13924</v>
      </c>
      <c r="H88" s="5">
        <f>SQRT(SUM('r-pi-2'!$D$3:D88)/COUNTIF($A$3:A88,"&lt;&gt;0"))</f>
        <v>47.73948197807433</v>
      </c>
    </row>
    <row r="89" spans="1:8">
      <c r="A89">
        <v>87</v>
      </c>
      <c r="B89">
        <v>2</v>
      </c>
      <c r="C89">
        <v>2600</v>
      </c>
      <c r="D89">
        <v>2464</v>
      </c>
      <c r="E89" s="4">
        <f t="shared" si="3"/>
        <v>1</v>
      </c>
      <c r="F89" s="4">
        <f t="shared" si="4"/>
        <v>136</v>
      </c>
      <c r="G89" s="4">
        <f t="shared" si="5"/>
        <v>18496</v>
      </c>
      <c r="H89" s="5">
        <f>SQRT(SUM('r-pi-2'!$D$3:D89)/COUNTIF($A$3:A89,"&lt;&gt;0"))</f>
        <v>47.76174104914913</v>
      </c>
    </row>
    <row r="90" spans="1:8">
      <c r="A90">
        <v>88</v>
      </c>
      <c r="B90">
        <v>2</v>
      </c>
      <c r="C90">
        <v>2600</v>
      </c>
      <c r="D90">
        <v>2279</v>
      </c>
      <c r="E90" s="4">
        <f t="shared" si="3"/>
        <v>1</v>
      </c>
      <c r="F90" s="4">
        <f t="shared" si="4"/>
        <v>321</v>
      </c>
      <c r="G90" s="4">
        <f t="shared" si="5"/>
        <v>103041</v>
      </c>
      <c r="H90" s="5">
        <f>SQRT(SUM('r-pi-2'!$D$3:D90)/COUNTIF($A$3:A90,"&lt;&gt;0"))</f>
        <v>47.761481247016313</v>
      </c>
    </row>
    <row r="91" spans="1:8">
      <c r="A91">
        <v>89</v>
      </c>
      <c r="B91">
        <v>2</v>
      </c>
      <c r="C91">
        <v>2600</v>
      </c>
      <c r="D91">
        <v>2498</v>
      </c>
      <c r="E91" s="4">
        <f t="shared" si="3"/>
        <v>1</v>
      </c>
      <c r="F91" s="4">
        <f t="shared" si="4"/>
        <v>102</v>
      </c>
      <c r="G91" s="4">
        <f t="shared" si="5"/>
        <v>10404</v>
      </c>
      <c r="H91" s="5">
        <f>SQRT(SUM('r-pi-2'!$D$3:D91)/COUNTIF($A$3:A91,"&lt;&gt;0"))</f>
        <v>47.786980503249808</v>
      </c>
    </row>
    <row r="92" spans="1:8">
      <c r="A92">
        <v>90</v>
      </c>
      <c r="B92">
        <v>2</v>
      </c>
      <c r="C92">
        <v>2600</v>
      </c>
      <c r="D92">
        <v>2444</v>
      </c>
      <c r="E92" s="4">
        <f t="shared" si="3"/>
        <v>1</v>
      </c>
      <c r="F92" s="4">
        <f t="shared" si="4"/>
        <v>156</v>
      </c>
      <c r="G92" s="4">
        <f t="shared" si="5"/>
        <v>24336</v>
      </c>
      <c r="H92" s="5">
        <f>SQRT(SUM('r-pi-2'!$D$3:D92)/COUNTIF($A$3:A92,"&lt;&gt;0"))</f>
        <v>47.805624959598404</v>
      </c>
    </row>
    <row r="93" spans="1:8">
      <c r="A93">
        <v>91</v>
      </c>
      <c r="B93">
        <v>2</v>
      </c>
      <c r="C93">
        <v>2600</v>
      </c>
      <c r="D93">
        <v>2487</v>
      </c>
      <c r="E93" s="4">
        <f t="shared" si="3"/>
        <v>1</v>
      </c>
      <c r="F93" s="4">
        <f t="shared" si="4"/>
        <v>113</v>
      </c>
      <c r="G93" s="4">
        <f t="shared" si="5"/>
        <v>12769</v>
      </c>
      <c r="H93" s="5">
        <f>SQRT(SUM('r-pi-2'!$D$3:D93)/COUNTIF($A$3:A93,"&lt;&gt;0"))</f>
        <v>47.828792652474583</v>
      </c>
    </row>
    <row r="94" spans="1:8">
      <c r="A94">
        <v>92</v>
      </c>
      <c r="B94">
        <v>2</v>
      </c>
      <c r="C94">
        <v>2600</v>
      </c>
      <c r="D94">
        <v>2482</v>
      </c>
      <c r="E94" s="4">
        <f t="shared" si="3"/>
        <v>1</v>
      </c>
      <c r="F94" s="4">
        <f t="shared" si="4"/>
        <v>118</v>
      </c>
      <c r="G94" s="4">
        <f t="shared" si="5"/>
        <v>13924</v>
      </c>
      <c r="H94" s="5">
        <f>SQRT(SUM('r-pi-2'!$D$3:D94)/COUNTIF($A$3:A94,"&lt;&gt;0"))</f>
        <v>47.850877962051342</v>
      </c>
    </row>
    <row r="95" spans="1:8">
      <c r="A95">
        <v>93</v>
      </c>
      <c r="B95">
        <v>2</v>
      </c>
      <c r="C95">
        <v>2600</v>
      </c>
      <c r="D95">
        <v>2515</v>
      </c>
      <c r="E95" s="4">
        <f t="shared" si="3"/>
        <v>1</v>
      </c>
      <c r="F95" s="4">
        <f t="shared" si="4"/>
        <v>85</v>
      </c>
      <c r="G95" s="4">
        <f t="shared" si="5"/>
        <v>7225</v>
      </c>
      <c r="H95" s="5">
        <f>SQRT(SUM('r-pi-2'!$D$3:D95)/COUNTIF($A$3:A95,"&lt;&gt;0"))</f>
        <v>47.876184395355324</v>
      </c>
    </row>
    <row r="96" spans="1:8">
      <c r="A96">
        <v>94</v>
      </c>
      <c r="B96">
        <v>2</v>
      </c>
      <c r="C96">
        <v>2600</v>
      </c>
      <c r="D96">
        <v>2491</v>
      </c>
      <c r="E96" s="4">
        <f t="shared" si="3"/>
        <v>1</v>
      </c>
      <c r="F96" s="4">
        <f t="shared" si="4"/>
        <v>109</v>
      </c>
      <c r="G96" s="4">
        <f t="shared" si="5"/>
        <v>11881</v>
      </c>
      <c r="H96" s="5">
        <f>SQRT(SUM('r-pi-2'!$D$3:D96)/COUNTIF($A$3:A96,"&lt;&gt;0"))</f>
        <v>47.898274299300844</v>
      </c>
    </row>
    <row r="97" spans="1:8">
      <c r="A97">
        <v>95</v>
      </c>
      <c r="B97">
        <v>2</v>
      </c>
      <c r="C97">
        <v>2600</v>
      </c>
      <c r="D97">
        <v>2524</v>
      </c>
      <c r="E97" s="4">
        <f t="shared" si="3"/>
        <v>1</v>
      </c>
      <c r="F97" s="4">
        <f t="shared" si="4"/>
        <v>76</v>
      </c>
      <c r="G97" s="4">
        <f t="shared" si="5"/>
        <v>5776</v>
      </c>
      <c r="H97" s="5">
        <f>SQRT(SUM('r-pi-2'!$D$3:D97)/COUNTIF($A$3:A97,"&lt;&gt;0"))</f>
        <v>47.923513622174418</v>
      </c>
    </row>
    <row r="98" spans="1:8">
      <c r="A98">
        <v>96</v>
      </c>
      <c r="B98">
        <v>2</v>
      </c>
      <c r="C98">
        <v>2600</v>
      </c>
      <c r="D98">
        <v>2446</v>
      </c>
      <c r="E98" s="4">
        <f t="shared" si="3"/>
        <v>1</v>
      </c>
      <c r="F98" s="4">
        <f t="shared" si="4"/>
        <v>154</v>
      </c>
      <c r="G98" s="4">
        <f t="shared" si="5"/>
        <v>23716</v>
      </c>
      <c r="H98" s="5">
        <f>SQRT(SUM('r-pi-2'!$D$3:D98)/COUNTIF($A$3:A98,"&lt;&gt;0"))</f>
        <v>47.939740821160058</v>
      </c>
    </row>
    <row r="99" spans="1:8">
      <c r="A99">
        <v>97</v>
      </c>
      <c r="B99">
        <v>2</v>
      </c>
      <c r="C99">
        <v>2600</v>
      </c>
      <c r="D99">
        <v>2460</v>
      </c>
      <c r="E99" s="4">
        <f t="shared" si="3"/>
        <v>1</v>
      </c>
      <c r="F99" s="4">
        <f t="shared" si="4"/>
        <v>140</v>
      </c>
      <c r="G99" s="4">
        <f t="shared" si="5"/>
        <v>19600</v>
      </c>
      <c r="H99" s="5">
        <f>SQRT(SUM('r-pi-2'!$D$3:D99)/COUNTIF($A$3:A99,"&lt;&gt;0"))</f>
        <v>47.957132920329428</v>
      </c>
    </row>
    <row r="100" spans="1:8">
      <c r="A100">
        <v>98</v>
      </c>
      <c r="B100">
        <v>2</v>
      </c>
      <c r="C100">
        <v>2600</v>
      </c>
      <c r="D100">
        <v>2363</v>
      </c>
      <c r="E100" s="4">
        <f t="shared" si="3"/>
        <v>1</v>
      </c>
      <c r="F100" s="4">
        <f t="shared" si="4"/>
        <v>237</v>
      </c>
      <c r="G100" s="4">
        <f t="shared" si="5"/>
        <v>56169</v>
      </c>
      <c r="H100" s="5">
        <f>SQRT(SUM('r-pi-2'!$D$3:D100)/COUNTIF($A$3:A100,"&lt;&gt;0"))</f>
        <v>47.963846929170494</v>
      </c>
    </row>
    <row r="101" spans="1:8">
      <c r="A101">
        <v>99</v>
      </c>
      <c r="B101">
        <v>2</v>
      </c>
      <c r="C101">
        <v>2600</v>
      </c>
      <c r="D101">
        <v>2514</v>
      </c>
      <c r="E101" s="4">
        <f t="shared" si="3"/>
        <v>1</v>
      </c>
      <c r="F101" s="4">
        <f t="shared" si="4"/>
        <v>86</v>
      </c>
      <c r="G101" s="4">
        <f t="shared" si="5"/>
        <v>7396</v>
      </c>
      <c r="H101" s="5">
        <f>SQRT(SUM('r-pi-2'!$D$3:D101)/COUNTIF($A$3:A101,"&lt;&gt;0"))</f>
        <v>47.98631959930735</v>
      </c>
    </row>
    <row r="102" spans="1:8">
      <c r="A102">
        <v>100</v>
      </c>
      <c r="B102">
        <v>2</v>
      </c>
      <c r="C102">
        <v>2600</v>
      </c>
      <c r="D102">
        <v>2452</v>
      </c>
      <c r="E102" s="4">
        <f t="shared" si="3"/>
        <v>1</v>
      </c>
      <c r="F102" s="4">
        <f t="shared" si="4"/>
        <v>148</v>
      </c>
      <c r="G102" s="4">
        <f t="shared" si="5"/>
        <v>21904</v>
      </c>
      <c r="H102" s="5">
        <f>SQRT(SUM('r-pi-2'!$D$3:D102)/COUNTIF($A$3:A102,"&lt;&gt;0"))</f>
        <v>48.001874963380338</v>
      </c>
    </row>
    <row r="103" spans="1:8">
      <c r="A103">
        <v>101</v>
      </c>
      <c r="B103">
        <v>2</v>
      </c>
      <c r="C103">
        <v>2600</v>
      </c>
      <c r="D103">
        <v>2545</v>
      </c>
      <c r="E103" s="4">
        <f t="shared" si="3"/>
        <v>1</v>
      </c>
      <c r="F103" s="4">
        <f t="shared" si="4"/>
        <v>55</v>
      </c>
      <c r="G103" s="4">
        <f t="shared" si="5"/>
        <v>3025</v>
      </c>
      <c r="H103" s="5">
        <f>SQRT(SUM('r-pi-2'!$D$3:D103)/COUNTIF($A$3:A103,"&lt;&gt;0"))</f>
        <v>48.026704617698307</v>
      </c>
    </row>
    <row r="104" spans="1:8">
      <c r="A104">
        <v>102</v>
      </c>
      <c r="B104">
        <v>2</v>
      </c>
      <c r="C104">
        <v>2600</v>
      </c>
      <c r="D104">
        <v>2498</v>
      </c>
      <c r="E104" s="4">
        <f t="shared" si="3"/>
        <v>1</v>
      </c>
      <c r="F104" s="4">
        <f t="shared" si="4"/>
        <v>102</v>
      </c>
      <c r="G104" s="4">
        <f t="shared" si="5"/>
        <v>10404</v>
      </c>
      <c r="H104" s="5">
        <f>SQRT(SUM('r-pi-2'!$D$3:D104)/COUNTIF($A$3:A104,"&lt;&gt;0"))</f>
        <v>48.046239982652004</v>
      </c>
    </row>
    <row r="105" spans="1:8">
      <c r="A105">
        <v>103</v>
      </c>
      <c r="B105">
        <v>2</v>
      </c>
      <c r="C105">
        <v>2600</v>
      </c>
      <c r="D105">
        <v>2466</v>
      </c>
      <c r="E105" s="4">
        <f t="shared" si="3"/>
        <v>1</v>
      </c>
      <c r="F105" s="4">
        <f t="shared" si="4"/>
        <v>134</v>
      </c>
      <c r="G105" s="4">
        <f t="shared" si="5"/>
        <v>17956</v>
      </c>
      <c r="H105" s="5">
        <f>SQRT(SUM('r-pi-2'!$D$3:D105)/COUNTIF($A$3:A105,"&lt;&gt;0"))</f>
        <v>48.062156358057926</v>
      </c>
    </row>
    <row r="106" spans="1:8">
      <c r="A106">
        <v>104</v>
      </c>
      <c r="B106">
        <v>3</v>
      </c>
      <c r="C106">
        <v>2600</v>
      </c>
      <c r="D106">
        <v>2536</v>
      </c>
      <c r="E106" s="4">
        <f t="shared" si="3"/>
        <v>1</v>
      </c>
      <c r="F106" s="4">
        <f t="shared" si="4"/>
        <v>64</v>
      </c>
      <c r="G106" s="4">
        <f t="shared" si="5"/>
        <v>4096</v>
      </c>
      <c r="H106" s="5">
        <f>SQRT(SUM('r-pi-2'!$D$3:D106)/COUNTIF($A$3:A106,"&lt;&gt;0"))</f>
        <v>48.084760899574313</v>
      </c>
    </row>
    <row r="107" spans="1:8">
      <c r="A107">
        <v>105</v>
      </c>
      <c r="B107">
        <v>3</v>
      </c>
      <c r="C107">
        <v>2600</v>
      </c>
      <c r="D107">
        <v>2514</v>
      </c>
      <c r="E107" s="4">
        <f t="shared" si="3"/>
        <v>1</v>
      </c>
      <c r="F107" s="4">
        <f t="shared" si="4"/>
        <v>86</v>
      </c>
      <c r="G107" s="4">
        <f t="shared" si="5"/>
        <v>7396</v>
      </c>
      <c r="H107" s="5">
        <f>SQRT(SUM('r-pi-2'!$D$3:D107)/COUNTIF($A$3:A107,"&lt;&gt;0"))</f>
        <v>48.104746820523509</v>
      </c>
    </row>
    <row r="108" spans="1:8">
      <c r="A108">
        <v>106</v>
      </c>
      <c r="B108">
        <v>3</v>
      </c>
      <c r="C108">
        <v>2600</v>
      </c>
      <c r="D108">
        <v>2597</v>
      </c>
      <c r="E108" s="4">
        <f t="shared" si="3"/>
        <v>1</v>
      </c>
      <c r="F108" s="4">
        <f t="shared" si="4"/>
        <v>3</v>
      </c>
      <c r="G108" s="4">
        <f t="shared" si="5"/>
        <v>9</v>
      </c>
      <c r="H108" s="5">
        <f>SQRT(SUM('r-pi-2'!$D$3:D108)/COUNTIF($A$3:A108,"&lt;&gt;0"))</f>
        <v>48.132482265686278</v>
      </c>
    </row>
    <row r="109" spans="1:8">
      <c r="A109">
        <v>107</v>
      </c>
      <c r="B109">
        <v>2</v>
      </c>
      <c r="C109">
        <v>2600</v>
      </c>
      <c r="D109">
        <v>2520</v>
      </c>
      <c r="E109" s="4">
        <f t="shared" si="3"/>
        <v>1</v>
      </c>
      <c r="F109" s="4">
        <f t="shared" si="4"/>
        <v>80</v>
      </c>
      <c r="G109" s="4">
        <f t="shared" si="5"/>
        <v>6400</v>
      </c>
      <c r="H109" s="5">
        <f>SQRT(SUM('r-pi-2'!$D$3:D109)/COUNTIF($A$3:A109,"&lt;&gt;0"))</f>
        <v>48.152211932773049</v>
      </c>
    </row>
    <row r="110" spans="1:8">
      <c r="A110">
        <v>108</v>
      </c>
      <c r="B110">
        <v>3</v>
      </c>
      <c r="C110">
        <v>2600</v>
      </c>
      <c r="D110">
        <v>2543</v>
      </c>
      <c r="E110" s="4">
        <f t="shared" si="3"/>
        <v>1</v>
      </c>
      <c r="F110" s="4">
        <f t="shared" si="4"/>
        <v>57</v>
      </c>
      <c r="G110" s="4">
        <f t="shared" si="5"/>
        <v>3249</v>
      </c>
      <c r="H110" s="5">
        <f>SQRT(SUM('r-pi-2'!$D$3:D110)/COUNTIF($A$3:A110,"&lt;&gt;0"))</f>
        <v>48.17377879057198</v>
      </c>
    </row>
    <row r="111" spans="1:8">
      <c r="A111">
        <v>109</v>
      </c>
      <c r="B111">
        <v>3</v>
      </c>
      <c r="C111">
        <v>2600</v>
      </c>
      <c r="D111">
        <v>2636</v>
      </c>
      <c r="E111" s="4">
        <f t="shared" si="3"/>
        <v>1</v>
      </c>
      <c r="F111" s="4">
        <f t="shared" si="4"/>
        <v>36</v>
      </c>
      <c r="G111" s="4">
        <f t="shared" si="5"/>
        <v>1296</v>
      </c>
      <c r="H111" s="5">
        <f>SQRT(SUM('r-pi-2'!$D$3:D111)/COUNTIF($A$3:A111,"&lt;&gt;0"))</f>
        <v>48.203791392245854</v>
      </c>
    </row>
    <row r="112" spans="1:8">
      <c r="A112">
        <v>110</v>
      </c>
      <c r="B112">
        <v>3</v>
      </c>
      <c r="C112">
        <v>2600</v>
      </c>
      <c r="D112">
        <v>2568</v>
      </c>
      <c r="E112" s="4">
        <f t="shared" si="3"/>
        <v>1</v>
      </c>
      <c r="F112" s="4">
        <f t="shared" si="4"/>
        <v>32</v>
      </c>
      <c r="G112" s="4">
        <f t="shared" si="5"/>
        <v>1024</v>
      </c>
      <c r="H112" s="5">
        <f>SQRT(SUM('r-pi-2'!$D$3:D112)/COUNTIF($A$3:A112,"&lt;&gt;0"))</f>
        <v>48.226831460580868</v>
      </c>
    </row>
    <row r="113" spans="1:8">
      <c r="A113">
        <v>111</v>
      </c>
      <c r="B113">
        <v>3</v>
      </c>
      <c r="C113">
        <v>2600</v>
      </c>
      <c r="D113">
        <v>2593</v>
      </c>
      <c r="E113" s="4">
        <f t="shared" si="3"/>
        <v>1</v>
      </c>
      <c r="F113" s="4">
        <f t="shared" si="4"/>
        <v>7</v>
      </c>
      <c r="G113" s="4">
        <f t="shared" si="5"/>
        <v>49</v>
      </c>
      <c r="H113" s="5">
        <f>SQRT(SUM('r-pi-2'!$D$3:D113)/COUNTIF($A$3:A113,"&lt;&gt;0"))</f>
        <v>48.251779596552019</v>
      </c>
    </row>
    <row r="114" spans="1:8">
      <c r="A114">
        <v>112</v>
      </c>
      <c r="B114">
        <v>3</v>
      </c>
      <c r="C114">
        <v>2600</v>
      </c>
      <c r="D114">
        <v>2493</v>
      </c>
      <c r="E114" s="4">
        <f t="shared" si="3"/>
        <v>1</v>
      </c>
      <c r="F114" s="4">
        <f t="shared" si="4"/>
        <v>107</v>
      </c>
      <c r="G114" s="4">
        <f t="shared" si="5"/>
        <v>11449</v>
      </c>
      <c r="H114" s="5">
        <f>SQRT(SUM('r-pi-2'!$D$3:D114)/COUNTIF($A$3:A114,"&lt;&gt;0"))</f>
        <v>48.267021423979102</v>
      </c>
    </row>
    <row r="115" spans="1:8">
      <c r="A115">
        <v>113</v>
      </c>
      <c r="B115">
        <v>3</v>
      </c>
      <c r="C115">
        <v>2600</v>
      </c>
      <c r="D115">
        <v>2584</v>
      </c>
      <c r="E115" s="4">
        <f t="shared" si="3"/>
        <v>1</v>
      </c>
      <c r="F115" s="4">
        <f t="shared" si="4"/>
        <v>16</v>
      </c>
      <c r="G115" s="4">
        <f t="shared" si="5"/>
        <v>256</v>
      </c>
      <c r="H115" s="5">
        <f>SQRT(SUM('r-pi-2'!$D$3:D115)/COUNTIF($A$3:A115,"&lt;&gt;0"))</f>
        <v>48.290327729395145</v>
      </c>
    </row>
    <row r="116" spans="1:8">
      <c r="A116">
        <v>114</v>
      </c>
      <c r="B116">
        <v>3</v>
      </c>
      <c r="C116">
        <v>2600</v>
      </c>
      <c r="D116">
        <v>2552</v>
      </c>
      <c r="E116" s="4">
        <f t="shared" si="3"/>
        <v>1</v>
      </c>
      <c r="F116" s="4">
        <f t="shared" si="4"/>
        <v>48</v>
      </c>
      <c r="G116" s="4">
        <f t="shared" si="5"/>
        <v>2304</v>
      </c>
      <c r="H116" s="5">
        <f>SQRT(SUM('r-pi-2'!$D$3:D116)/COUNTIF($A$3:A116,"&lt;&gt;0"))</f>
        <v>48.31030909559864</v>
      </c>
    </row>
    <row r="117" spans="1:8">
      <c r="A117">
        <v>115</v>
      </c>
      <c r="B117">
        <v>3</v>
      </c>
      <c r="C117">
        <v>2600</v>
      </c>
      <c r="D117">
        <v>2601</v>
      </c>
      <c r="E117" s="4">
        <f t="shared" si="3"/>
        <v>1</v>
      </c>
      <c r="F117" s="4">
        <f t="shared" si="4"/>
        <v>1</v>
      </c>
      <c r="G117" s="4">
        <f t="shared" si="5"/>
        <v>1</v>
      </c>
      <c r="H117" s="5">
        <f>SQRT(SUM('r-pi-2'!$D$3:D117)/COUNTIF($A$3:A117,"&lt;&gt;0"))</f>
        <v>48.334342818043716</v>
      </c>
    </row>
    <row r="118" spans="1:8">
      <c r="A118">
        <v>116</v>
      </c>
      <c r="B118">
        <v>3</v>
      </c>
      <c r="C118">
        <v>2600</v>
      </c>
      <c r="D118">
        <v>2476</v>
      </c>
      <c r="E118" s="4">
        <f t="shared" si="3"/>
        <v>1</v>
      </c>
      <c r="F118" s="4">
        <f t="shared" si="4"/>
        <v>124</v>
      </c>
      <c r="G118" s="4">
        <f t="shared" si="5"/>
        <v>15376</v>
      </c>
      <c r="H118" s="5">
        <f>SQRT(SUM('r-pi-2'!$D$3:D118)/COUNTIF($A$3:A118,"&lt;&gt;0"))</f>
        <v>48.346807475814245</v>
      </c>
    </row>
    <row r="119" spans="1:8">
      <c r="A119">
        <v>117</v>
      </c>
      <c r="B119">
        <v>3</v>
      </c>
      <c r="C119">
        <v>2600</v>
      </c>
      <c r="D119">
        <v>2568</v>
      </c>
      <c r="E119" s="4">
        <f t="shared" si="3"/>
        <v>1</v>
      </c>
      <c r="F119" s="4">
        <f t="shared" si="4"/>
        <v>32</v>
      </c>
      <c r="G119" s="4">
        <f t="shared" si="5"/>
        <v>1024</v>
      </c>
      <c r="H119" s="5">
        <f>SQRT(SUM('r-pi-2'!$D$3:D119)/COUNTIF($A$3:A119,"&lt;&gt;0"))</f>
        <v>48.3671853159207</v>
      </c>
    </row>
    <row r="120" spans="1:8">
      <c r="A120">
        <v>118</v>
      </c>
      <c r="B120">
        <v>3</v>
      </c>
      <c r="C120">
        <v>2600</v>
      </c>
      <c r="D120">
        <v>2580</v>
      </c>
      <c r="E120" s="4">
        <f t="shared" si="3"/>
        <v>1</v>
      </c>
      <c r="F120" s="4">
        <f t="shared" si="4"/>
        <v>20</v>
      </c>
      <c r="G120" s="4">
        <f t="shared" si="5"/>
        <v>400</v>
      </c>
      <c r="H120" s="5">
        <f>SQRT(SUM('r-pi-2'!$D$3:D120)/COUNTIF($A$3:A120,"&lt;&gt;0"))</f>
        <v>48.388260237515865</v>
      </c>
    </row>
    <row r="121" spans="1:8">
      <c r="A121">
        <v>119</v>
      </c>
      <c r="B121">
        <v>3</v>
      </c>
      <c r="C121">
        <v>2600</v>
      </c>
      <c r="D121">
        <v>2614</v>
      </c>
      <c r="E121" s="4">
        <f t="shared" si="3"/>
        <v>1</v>
      </c>
      <c r="F121" s="4">
        <f t="shared" si="4"/>
        <v>14</v>
      </c>
      <c r="G121" s="4">
        <f t="shared" si="5"/>
        <v>196</v>
      </c>
      <c r="H121" s="5">
        <f>SQRT(SUM('r-pi-2'!$D$3:D121)/COUNTIF($A$3:A121,"&lt;&gt;0"))</f>
        <v>48.411922970630755</v>
      </c>
    </row>
    <row r="122" spans="1:8">
      <c r="A122">
        <v>120</v>
      </c>
      <c r="B122">
        <v>3</v>
      </c>
      <c r="C122">
        <v>2600</v>
      </c>
      <c r="D122">
        <v>2511</v>
      </c>
      <c r="E122" s="4">
        <f t="shared" si="3"/>
        <v>1</v>
      </c>
      <c r="F122" s="4">
        <f t="shared" si="4"/>
        <v>89</v>
      </c>
      <c r="G122" s="4">
        <f t="shared" si="5"/>
        <v>7921</v>
      </c>
      <c r="H122" s="5">
        <f>SQRT(SUM('r-pi-2'!$D$3:D122)/COUNTIF($A$3:A122,"&lt;&gt;0"))</f>
        <v>48.426318601906267</v>
      </c>
    </row>
    <row r="123" spans="1:8">
      <c r="A123">
        <v>121</v>
      </c>
      <c r="B123">
        <v>3</v>
      </c>
      <c r="C123">
        <v>2600</v>
      </c>
      <c r="D123">
        <v>2580</v>
      </c>
      <c r="E123" s="4">
        <f t="shared" si="3"/>
        <v>1</v>
      </c>
      <c r="F123" s="4">
        <f t="shared" si="4"/>
        <v>20</v>
      </c>
      <c r="G123" s="4">
        <f t="shared" si="5"/>
        <v>400</v>
      </c>
      <c r="H123" s="5">
        <f>SQRT(SUM('r-pi-2'!$D$3:D123)/COUNTIF($A$3:A123,"&lt;&gt;0"))</f>
        <v>48.446357827775451</v>
      </c>
    </row>
    <row r="124" spans="1:8">
      <c r="A124">
        <v>122</v>
      </c>
      <c r="B124">
        <v>3</v>
      </c>
      <c r="C124">
        <v>2600</v>
      </c>
      <c r="D124">
        <v>2517</v>
      </c>
      <c r="E124" s="4">
        <f t="shared" si="3"/>
        <v>1</v>
      </c>
      <c r="F124" s="4">
        <f t="shared" si="4"/>
        <v>83</v>
      </c>
      <c r="G124" s="4">
        <f t="shared" si="5"/>
        <v>6889</v>
      </c>
      <c r="H124" s="5">
        <f>SQRT(SUM('r-pi-2'!$D$3:D124)/COUNTIF($A$3:A124,"&lt;&gt;0"))</f>
        <v>48.460732794199679</v>
      </c>
    </row>
    <row r="125" spans="1:8">
      <c r="A125">
        <v>123</v>
      </c>
      <c r="B125">
        <v>3</v>
      </c>
      <c r="C125">
        <v>2600</v>
      </c>
      <c r="D125">
        <v>2598</v>
      </c>
      <c r="E125" s="4">
        <f t="shared" si="3"/>
        <v>1</v>
      </c>
      <c r="F125" s="4">
        <f t="shared" si="4"/>
        <v>2</v>
      </c>
      <c r="G125" s="4">
        <f t="shared" si="5"/>
        <v>4</v>
      </c>
      <c r="H125" s="5">
        <f>SQRT(SUM('r-pi-2'!$D$3:D125)/COUNTIF($A$3:A125,"&lt;&gt;0"))</f>
        <v>48.481661942588637</v>
      </c>
    </row>
    <row r="126" spans="1:8">
      <c r="A126">
        <v>124</v>
      </c>
      <c r="B126">
        <v>3</v>
      </c>
      <c r="C126">
        <v>2600</v>
      </c>
      <c r="D126">
        <v>2552</v>
      </c>
      <c r="E126" s="4">
        <f t="shared" si="3"/>
        <v>1</v>
      </c>
      <c r="F126" s="4">
        <f t="shared" si="4"/>
        <v>48</v>
      </c>
      <c r="G126" s="4">
        <f t="shared" si="5"/>
        <v>2304</v>
      </c>
      <c r="H126" s="5">
        <f>SQRT(SUM('r-pi-2'!$D$3:D126)/COUNTIF($A$3:A126,"&lt;&gt;0"))</f>
        <v>48.498420326785372</v>
      </c>
    </row>
    <row r="127" spans="1:8">
      <c r="A127">
        <v>125</v>
      </c>
      <c r="B127">
        <v>3</v>
      </c>
      <c r="C127">
        <v>2600</v>
      </c>
      <c r="D127">
        <v>2558</v>
      </c>
      <c r="E127" s="4">
        <f t="shared" si="3"/>
        <v>1</v>
      </c>
      <c r="F127" s="4">
        <f t="shared" si="4"/>
        <v>42</v>
      </c>
      <c r="G127" s="4">
        <f t="shared" si="5"/>
        <v>1764</v>
      </c>
      <c r="H127" s="5">
        <f>SQRT(SUM('r-pi-2'!$D$3:D127)/COUNTIF($A$3:A127,"&lt;&gt;0"))</f>
        <v>48.51539961702882</v>
      </c>
    </row>
    <row r="128" spans="1:8">
      <c r="A128">
        <v>126</v>
      </c>
      <c r="B128">
        <v>3</v>
      </c>
      <c r="C128">
        <v>2600</v>
      </c>
      <c r="D128">
        <v>2615</v>
      </c>
      <c r="E128" s="4">
        <f t="shared" si="3"/>
        <v>1</v>
      </c>
      <c r="F128" s="4">
        <f t="shared" si="4"/>
        <v>15</v>
      </c>
      <c r="G128" s="4">
        <f t="shared" si="5"/>
        <v>225</v>
      </c>
      <c r="H128" s="5">
        <f>SQRT(SUM('r-pi-2'!$D$3:D128)/COUNTIF($A$3:A128,"&lt;&gt;0"))</f>
        <v>48.536764007476435</v>
      </c>
    </row>
    <row r="129" spans="1:8">
      <c r="A129">
        <v>127</v>
      </c>
      <c r="B129">
        <v>3</v>
      </c>
      <c r="C129">
        <v>2600</v>
      </c>
      <c r="D129">
        <v>2546</v>
      </c>
      <c r="E129" s="4">
        <f t="shared" si="3"/>
        <v>1</v>
      </c>
      <c r="F129" s="4">
        <f t="shared" si="4"/>
        <v>54</v>
      </c>
      <c r="G129" s="4">
        <f t="shared" si="5"/>
        <v>2916</v>
      </c>
      <c r="H129" s="5">
        <f>SQRT(SUM('r-pi-2'!$D$3:D129)/COUNTIF($A$3:A129,"&lt;&gt;0"))</f>
        <v>48.552188010736664</v>
      </c>
    </row>
    <row r="130" spans="1:8">
      <c r="A130">
        <v>128</v>
      </c>
      <c r="B130">
        <v>3</v>
      </c>
      <c r="C130">
        <v>2600</v>
      </c>
      <c r="D130">
        <v>2625</v>
      </c>
      <c r="E130" s="4">
        <f t="shared" si="3"/>
        <v>1</v>
      </c>
      <c r="F130" s="4">
        <f t="shared" si="4"/>
        <v>25</v>
      </c>
      <c r="G130" s="4">
        <f t="shared" si="5"/>
        <v>625</v>
      </c>
      <c r="H130" s="5">
        <f>SQRT(SUM('r-pi-2'!$D$3:D130)/COUNTIF($A$3:A130,"&lt;&gt;0"))</f>
        <v>48.573719746381379</v>
      </c>
    </row>
    <row r="131" spans="1:8">
      <c r="A131">
        <v>129</v>
      </c>
      <c r="B131">
        <v>3</v>
      </c>
      <c r="C131">
        <v>2600</v>
      </c>
      <c r="D131">
        <v>2575</v>
      </c>
      <c r="E131" s="4">
        <f t="shared" si="3"/>
        <v>1</v>
      </c>
      <c r="F131" s="4">
        <f t="shared" si="4"/>
        <v>25</v>
      </c>
      <c r="G131" s="4">
        <f t="shared" si="5"/>
        <v>625</v>
      </c>
      <c r="H131" s="5">
        <f>SQRT(SUM('r-pi-2'!$D$3:D131)/COUNTIF($A$3:A131,"&lt;&gt;0"))</f>
        <v>48.590920133085</v>
      </c>
    </row>
    <row r="132" spans="1:8">
      <c r="A132">
        <v>130</v>
      </c>
      <c r="B132">
        <v>3</v>
      </c>
      <c r="C132">
        <v>2600</v>
      </c>
      <c r="D132">
        <v>2575</v>
      </c>
      <c r="E132" s="4">
        <f t="shared" ref="E132:E152" si="6">IF(AND(D132&lt;=C132*1.2,D132&gt;=C132*0.8),1,0)</f>
        <v>1</v>
      </c>
      <c r="F132" s="4">
        <f t="shared" ref="F132:F152" si="7">ABS(C132-D132)</f>
        <v>25</v>
      </c>
      <c r="G132" s="4">
        <f t="shared" ref="G132:G152" si="8">POWER(F132,2)</f>
        <v>625</v>
      </c>
      <c r="H132" s="5">
        <f>SQRT(SUM('r-pi-2'!$D$3:D132)/COUNTIF($A$3:A132,"&lt;&gt;0"))</f>
        <v>48.60784995165983</v>
      </c>
    </row>
    <row r="133" spans="1:8">
      <c r="A133">
        <v>131</v>
      </c>
      <c r="B133">
        <v>3</v>
      </c>
      <c r="C133">
        <v>2600</v>
      </c>
      <c r="D133">
        <v>2531</v>
      </c>
      <c r="E133" s="4">
        <f t="shared" si="6"/>
        <v>1</v>
      </c>
      <c r="F133" s="4">
        <f t="shared" si="7"/>
        <v>69</v>
      </c>
      <c r="G133" s="4">
        <f t="shared" si="8"/>
        <v>4761</v>
      </c>
      <c r="H133" s="5">
        <f>SQRT(SUM('r-pi-2'!$D$3:D133)/COUNTIF($A$3:A133,"&lt;&gt;0"))</f>
        <v>48.621061625470354</v>
      </c>
    </row>
    <row r="134" spans="1:8">
      <c r="A134">
        <v>132</v>
      </c>
      <c r="B134">
        <v>3</v>
      </c>
      <c r="C134">
        <v>2600</v>
      </c>
      <c r="D134">
        <v>2541</v>
      </c>
      <c r="E134" s="4">
        <f t="shared" si="6"/>
        <v>1</v>
      </c>
      <c r="F134" s="4">
        <f t="shared" si="7"/>
        <v>59</v>
      </c>
      <c r="G134" s="4">
        <f t="shared" si="8"/>
        <v>3481</v>
      </c>
      <c r="H134" s="5">
        <f>SQRT(SUM('r-pi-2'!$D$3:D134)/COUNTIF($A$3:A134,"&lt;&gt;0"))</f>
        <v>48.634848461247259</v>
      </c>
    </row>
    <row r="135" spans="1:8">
      <c r="A135">
        <v>133</v>
      </c>
      <c r="B135">
        <v>3</v>
      </c>
      <c r="C135">
        <v>2600</v>
      </c>
      <c r="D135">
        <v>2538</v>
      </c>
      <c r="E135" s="4">
        <f t="shared" si="6"/>
        <v>1</v>
      </c>
      <c r="F135" s="4">
        <f t="shared" si="7"/>
        <v>62</v>
      </c>
      <c r="G135" s="4">
        <f t="shared" si="8"/>
        <v>3844</v>
      </c>
      <c r="H135" s="5">
        <f>SQRT(SUM('r-pi-2'!$D$3:D135)/COUNTIF($A$3:A135,"&lt;&gt;0"))</f>
        <v>48.648192325525862</v>
      </c>
    </row>
    <row r="136" spans="1:8">
      <c r="A136">
        <v>134</v>
      </c>
      <c r="B136">
        <v>3</v>
      </c>
      <c r="C136">
        <v>2600</v>
      </c>
      <c r="D136">
        <v>2523</v>
      </c>
      <c r="E136" s="4">
        <f t="shared" si="6"/>
        <v>1</v>
      </c>
      <c r="F136" s="4">
        <f t="shared" si="7"/>
        <v>77</v>
      </c>
      <c r="G136" s="4">
        <f t="shared" si="8"/>
        <v>5929</v>
      </c>
      <c r="H136" s="5">
        <f>SQRT(SUM('r-pi-2'!$D$3:D136)/COUNTIF($A$3:A136,"&lt;&gt;0"))</f>
        <v>48.660183238822896</v>
      </c>
    </row>
    <row r="137" spans="1:8">
      <c r="A137">
        <v>135</v>
      </c>
      <c r="B137">
        <v>3</v>
      </c>
      <c r="C137">
        <v>2600</v>
      </c>
      <c r="D137">
        <v>2519</v>
      </c>
      <c r="E137" s="4">
        <f t="shared" si="6"/>
        <v>1</v>
      </c>
      <c r="F137" s="4">
        <f t="shared" si="7"/>
        <v>81</v>
      </c>
      <c r="G137" s="4">
        <f t="shared" si="8"/>
        <v>6561</v>
      </c>
      <c r="H137" s="5">
        <f>SQRT(SUM('r-pi-2'!$D$3:D137)/COUNTIF($A$3:A137,"&lt;&gt;0"))</f>
        <v>48.671689238543316</v>
      </c>
    </row>
    <row r="138" spans="1:8">
      <c r="A138">
        <v>136</v>
      </c>
      <c r="B138">
        <v>3</v>
      </c>
      <c r="C138">
        <v>2600</v>
      </c>
      <c r="D138">
        <v>2354</v>
      </c>
      <c r="E138" s="4">
        <f t="shared" si="6"/>
        <v>1</v>
      </c>
      <c r="F138" s="4">
        <f t="shared" si="7"/>
        <v>246</v>
      </c>
      <c r="G138" s="4">
        <f t="shared" si="8"/>
        <v>60516</v>
      </c>
      <c r="H138" s="5">
        <f>SQRT(SUM('r-pi-2'!$D$3:D138)/COUNTIF($A$3:A138,"&lt;&gt;0"))</f>
        <v>48.670561219404128</v>
      </c>
    </row>
    <row r="139" spans="1:8">
      <c r="A139">
        <v>137</v>
      </c>
      <c r="B139">
        <v>3</v>
      </c>
      <c r="C139">
        <v>2600</v>
      </c>
      <c r="D139">
        <v>2531</v>
      </c>
      <c r="E139" s="4">
        <f t="shared" si="6"/>
        <v>1</v>
      </c>
      <c r="F139" s="4">
        <f t="shared" si="7"/>
        <v>69</v>
      </c>
      <c r="G139" s="4">
        <f t="shared" si="8"/>
        <v>4761</v>
      </c>
      <c r="H139" s="5">
        <f>SQRT(SUM('r-pi-2'!$D$3:D139)/COUNTIF($A$3:A139,"&lt;&gt;0"))</f>
        <v>48.682720746380568</v>
      </c>
    </row>
    <row r="140" spans="1:8">
      <c r="A140">
        <v>138</v>
      </c>
      <c r="B140">
        <v>3</v>
      </c>
      <c r="C140">
        <v>2600</v>
      </c>
      <c r="D140">
        <v>2550</v>
      </c>
      <c r="E140" s="4">
        <f t="shared" si="6"/>
        <v>1</v>
      </c>
      <c r="F140" s="4">
        <f t="shared" si="7"/>
        <v>50</v>
      </c>
      <c r="G140" s="4">
        <f t="shared" si="8"/>
        <v>2500</v>
      </c>
      <c r="H140" s="5">
        <f>SQRT(SUM('r-pi-2'!$D$3:D140)/COUNTIF($A$3:A140,"&lt;&gt;0"))</f>
        <v>48.696114775235394</v>
      </c>
    </row>
    <row r="141" spans="1:8">
      <c r="A141">
        <v>139</v>
      </c>
      <c r="B141">
        <v>3</v>
      </c>
      <c r="C141">
        <v>2600</v>
      </c>
      <c r="D141">
        <v>2556</v>
      </c>
      <c r="E141" s="4">
        <f t="shared" si="6"/>
        <v>1</v>
      </c>
      <c r="F141" s="4">
        <f t="shared" si="7"/>
        <v>44</v>
      </c>
      <c r="G141" s="4">
        <f t="shared" si="8"/>
        <v>1936</v>
      </c>
      <c r="H141" s="5">
        <f>SQRT(SUM('r-pi-2'!$D$3:D141)/COUNTIF($A$3:A141,"&lt;&gt;0"))</f>
        <v>48.709755570827738</v>
      </c>
    </row>
    <row r="142" spans="1:8">
      <c r="A142">
        <v>140</v>
      </c>
      <c r="B142">
        <v>3</v>
      </c>
      <c r="C142">
        <v>2600</v>
      </c>
      <c r="D142">
        <v>2565</v>
      </c>
      <c r="E142" s="4">
        <f t="shared" si="6"/>
        <v>1</v>
      </c>
      <c r="F142" s="4">
        <f t="shared" si="7"/>
        <v>35</v>
      </c>
      <c r="G142" s="4">
        <f t="shared" si="8"/>
        <v>1225</v>
      </c>
      <c r="H142" s="5">
        <f>SQRT(SUM('r-pi-2'!$D$3:D142)/COUNTIF($A$3:A142,"&lt;&gt;0"))</f>
        <v>48.723857459301037</v>
      </c>
    </row>
    <row r="143" spans="1:8">
      <c r="A143">
        <v>141</v>
      </c>
      <c r="B143">
        <v>3</v>
      </c>
      <c r="C143">
        <v>2600</v>
      </c>
      <c r="D143">
        <v>2520</v>
      </c>
      <c r="E143" s="4">
        <f t="shared" si="6"/>
        <v>1</v>
      </c>
      <c r="F143" s="4">
        <f t="shared" si="7"/>
        <v>80</v>
      </c>
      <c r="G143" s="4">
        <f t="shared" si="8"/>
        <v>6400</v>
      </c>
      <c r="H143" s="5">
        <f>SQRT(SUM('r-pi-2'!$D$3:D143)/COUNTIF($A$3:A143,"&lt;&gt;0"))</f>
        <v>48.734481072337999</v>
      </c>
    </row>
    <row r="144" spans="1:8">
      <c r="A144">
        <v>142</v>
      </c>
      <c r="B144">
        <v>3</v>
      </c>
      <c r="C144">
        <v>2600</v>
      </c>
      <c r="D144">
        <v>2544</v>
      </c>
      <c r="E144" s="4">
        <f t="shared" si="6"/>
        <v>1</v>
      </c>
      <c r="F144" s="4">
        <f t="shared" si="7"/>
        <v>56</v>
      </c>
      <c r="G144" s="4">
        <f t="shared" si="8"/>
        <v>3136</v>
      </c>
      <c r="H144" s="5">
        <f>SQRT(SUM('r-pi-2'!$D$3:D144)/COUNTIF($A$3:A144,"&lt;&gt;0"))</f>
        <v>48.74668641681933</v>
      </c>
    </row>
    <row r="145" spans="1:8">
      <c r="A145">
        <v>143</v>
      </c>
      <c r="B145">
        <v>3</v>
      </c>
      <c r="C145">
        <v>2600</v>
      </c>
      <c r="D145">
        <v>2259</v>
      </c>
      <c r="E145" s="4">
        <f t="shared" si="6"/>
        <v>1</v>
      </c>
      <c r="F145" s="4">
        <f t="shared" si="7"/>
        <v>341</v>
      </c>
      <c r="G145" s="4">
        <f t="shared" si="8"/>
        <v>116281</v>
      </c>
      <c r="H145" s="5">
        <f>SQRT(SUM('r-pi-2'!$D$3:D145)/COUNTIF($A$3:A145,"&lt;&gt;0"))</f>
        <v>48.738276338208564</v>
      </c>
    </row>
    <row r="146" spans="1:8">
      <c r="A146">
        <v>144</v>
      </c>
      <c r="B146">
        <v>3</v>
      </c>
      <c r="C146">
        <v>2600</v>
      </c>
      <c r="D146">
        <v>2410</v>
      </c>
      <c r="E146" s="4">
        <f t="shared" si="6"/>
        <v>1</v>
      </c>
      <c r="F146" s="4">
        <f t="shared" si="7"/>
        <v>190</v>
      </c>
      <c r="G146" s="4">
        <f t="shared" si="8"/>
        <v>36100</v>
      </c>
      <c r="H146" s="5">
        <f>SQRT(SUM('r-pi-2'!$D$3:D146)/COUNTIF($A$3:A146,"&lt;&gt;0"))</f>
        <v>48.740739861251818</v>
      </c>
    </row>
    <row r="147" spans="1:8">
      <c r="A147">
        <v>145</v>
      </c>
      <c r="B147">
        <v>3</v>
      </c>
      <c r="C147">
        <v>2600</v>
      </c>
      <c r="D147">
        <v>2563</v>
      </c>
      <c r="E147" s="4">
        <f t="shared" si="6"/>
        <v>1</v>
      </c>
      <c r="F147" s="4">
        <f t="shared" si="7"/>
        <v>37</v>
      </c>
      <c r="G147" s="4">
        <f t="shared" si="8"/>
        <v>1369</v>
      </c>
      <c r="H147" s="5">
        <f>SQRT(SUM('r-pi-2'!$D$3:D147)/COUNTIF($A$3:A147,"&lt;&gt;0"))</f>
        <v>48.753991879003415</v>
      </c>
    </row>
    <row r="148" spans="1:8">
      <c r="A148">
        <v>146</v>
      </c>
      <c r="B148">
        <v>3</v>
      </c>
      <c r="C148">
        <v>2600</v>
      </c>
      <c r="D148">
        <v>2508</v>
      </c>
      <c r="E148" s="4">
        <f t="shared" si="6"/>
        <v>1</v>
      </c>
      <c r="F148" s="4">
        <f t="shared" si="7"/>
        <v>92</v>
      </c>
      <c r="G148" s="4">
        <f t="shared" si="8"/>
        <v>8464</v>
      </c>
      <c r="H148" s="5">
        <f>SQRT(SUM('r-pi-2'!$D$3:D148)/COUNTIF($A$3:A148,"&lt;&gt;0"))</f>
        <v>48.763196317186726</v>
      </c>
    </row>
    <row r="149" spans="1:8">
      <c r="A149">
        <v>147</v>
      </c>
      <c r="B149">
        <v>3</v>
      </c>
      <c r="C149">
        <v>2600</v>
      </c>
      <c r="D149">
        <v>2527</v>
      </c>
      <c r="E149" s="4">
        <f t="shared" si="6"/>
        <v>1</v>
      </c>
      <c r="F149" s="4">
        <f t="shared" si="7"/>
        <v>73</v>
      </c>
      <c r="G149" s="4">
        <f t="shared" si="8"/>
        <v>5329</v>
      </c>
      <c r="H149" s="5">
        <f>SQRT(SUM('r-pi-2'!$D$3:D149)/COUNTIF($A$3:A149,"&lt;&gt;0"))</f>
        <v>48.773598858175632</v>
      </c>
    </row>
    <row r="150" spans="1:8">
      <c r="A150">
        <v>148</v>
      </c>
      <c r="B150">
        <v>3</v>
      </c>
      <c r="C150">
        <v>2600</v>
      </c>
      <c r="D150">
        <v>2526</v>
      </c>
      <c r="E150" s="4">
        <f t="shared" si="6"/>
        <v>1</v>
      </c>
      <c r="F150" s="4">
        <f t="shared" si="7"/>
        <v>74</v>
      </c>
      <c r="G150" s="4">
        <f t="shared" si="8"/>
        <v>5476</v>
      </c>
      <c r="H150" s="5">
        <f>SQRT(SUM('r-pi-2'!$D$3:D150)/COUNTIF($A$3:A150,"&lt;&gt;0"))</f>
        <v>48.783789398816772</v>
      </c>
    </row>
    <row r="151" spans="1:8">
      <c r="A151">
        <v>149</v>
      </c>
      <c r="B151">
        <v>3</v>
      </c>
      <c r="C151">
        <v>2600</v>
      </c>
      <c r="D151">
        <v>2534</v>
      </c>
      <c r="E151" s="4">
        <f t="shared" si="6"/>
        <v>1</v>
      </c>
      <c r="F151" s="4">
        <f t="shared" si="7"/>
        <v>66</v>
      </c>
      <c r="G151" s="4">
        <f t="shared" si="8"/>
        <v>4356</v>
      </c>
      <c r="H151" s="5">
        <f>SQRT(SUM('r-pi-2'!$D$3:D151)/COUNTIF($A$3:A151,"&lt;&gt;0"))</f>
        <v>48.794391249913801</v>
      </c>
    </row>
    <row r="152" spans="1:8">
      <c r="A152">
        <v>150</v>
      </c>
      <c r="B152">
        <v>3</v>
      </c>
      <c r="C152">
        <v>2600</v>
      </c>
      <c r="D152">
        <v>2434</v>
      </c>
      <c r="E152" s="4">
        <f t="shared" si="6"/>
        <v>1</v>
      </c>
      <c r="F152" s="4">
        <f t="shared" si="7"/>
        <v>166</v>
      </c>
      <c r="G152" s="4">
        <f t="shared" si="8"/>
        <v>27556</v>
      </c>
      <c r="H152" s="5">
        <f>SQRT(SUM('r-pi-2'!$D$3:D152)/COUNTIF($A$3:A152,"&lt;&gt;0"))</f>
        <v>48.798019085477911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2"/>
  <sheetViews>
    <sheetView topLeftCell="A130" workbookViewId="0">
      <selection activeCell="C3" sqref="C3:D15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43"/>
      <c r="C2" s="6" t="s">
        <v>6</v>
      </c>
      <c r="D2" s="6" t="s">
        <v>8</v>
      </c>
      <c r="E2" s="43"/>
      <c r="F2" s="43"/>
      <c r="G2" s="43"/>
      <c r="H2" s="43"/>
    </row>
    <row r="3" spans="1:8">
      <c r="A3">
        <v>1</v>
      </c>
      <c r="B3">
        <v>1</v>
      </c>
      <c r="C3">
        <v>4600</v>
      </c>
      <c r="D3">
        <v>359</v>
      </c>
      <c r="E3" s="4">
        <f>IF(AND(D3&lt;=C3*1.2,D3&gt;=C3*0.8),1,0)</f>
        <v>0</v>
      </c>
      <c r="F3" s="4">
        <f>ABS(C3-D3)</f>
        <v>4241</v>
      </c>
      <c r="G3" s="4">
        <f>POWER(F3,2)</f>
        <v>17986081</v>
      </c>
      <c r="H3" s="5">
        <f>SQRT(SUM('r-pi-5'!$D$3:D3)/COUNTIF($A$3:A3,"&lt;&gt;0"))</f>
        <v>18.947295321496416</v>
      </c>
    </row>
    <row r="4" spans="1:8">
      <c r="A4">
        <v>2</v>
      </c>
      <c r="B4">
        <v>1</v>
      </c>
      <c r="C4">
        <v>4600</v>
      </c>
      <c r="D4">
        <v>1432</v>
      </c>
      <c r="E4" s="4">
        <f t="shared" ref="E4:E67" si="0">IF(AND(D4&lt;=C4*1.2,D4&gt;=C4*0.8),1,0)</f>
        <v>0</v>
      </c>
      <c r="F4" s="4">
        <f t="shared" ref="F4:F67" si="1">ABS(C4-D4)</f>
        <v>3168</v>
      </c>
      <c r="G4" s="4">
        <f t="shared" ref="G4:G67" si="2">POWER(F4,2)</f>
        <v>10036224</v>
      </c>
      <c r="H4" s="5">
        <f>SQRT(SUM('r-pi-5'!$D$3:D4)/COUNTIF($A$3:A4,"&lt;&gt;0"))</f>
        <v>29.924906014890006</v>
      </c>
    </row>
    <row r="5" spans="1:8">
      <c r="A5">
        <v>3</v>
      </c>
      <c r="B5">
        <v>1</v>
      </c>
      <c r="C5">
        <v>4600</v>
      </c>
      <c r="D5">
        <v>1483</v>
      </c>
      <c r="E5" s="4">
        <f t="shared" si="0"/>
        <v>0</v>
      </c>
      <c r="F5" s="4">
        <f t="shared" si="1"/>
        <v>3117</v>
      </c>
      <c r="G5" s="4">
        <f t="shared" si="2"/>
        <v>9715689</v>
      </c>
      <c r="H5" s="5">
        <f>SQRT(SUM('r-pi-5'!$D$3:D5)/COUNTIF($A$3:A5,"&lt;&gt;0"))</f>
        <v>33.03533461815293</v>
      </c>
    </row>
    <row r="6" spans="1:8">
      <c r="A6">
        <v>4</v>
      </c>
      <c r="B6">
        <v>1</v>
      </c>
      <c r="C6">
        <v>4600</v>
      </c>
      <c r="D6">
        <v>1491</v>
      </c>
      <c r="E6" s="4">
        <f t="shared" si="0"/>
        <v>0</v>
      </c>
      <c r="F6" s="4">
        <f t="shared" si="1"/>
        <v>3109</v>
      </c>
      <c r="G6" s="4">
        <f t="shared" si="2"/>
        <v>9665881</v>
      </c>
      <c r="H6" s="5">
        <f>SQRT(SUM('r-pi-5'!$D$3:D6)/COUNTIF($A$3:A6,"&lt;&gt;0"))</f>
        <v>34.514489710844636</v>
      </c>
    </row>
    <row r="7" spans="1:8">
      <c r="A7">
        <v>5</v>
      </c>
      <c r="B7">
        <v>1</v>
      </c>
      <c r="C7">
        <v>4600</v>
      </c>
      <c r="D7">
        <v>1383</v>
      </c>
      <c r="E7" s="4">
        <f t="shared" si="0"/>
        <v>0</v>
      </c>
      <c r="F7" s="4">
        <f t="shared" si="1"/>
        <v>3217</v>
      </c>
      <c r="G7" s="4">
        <f t="shared" si="2"/>
        <v>10349089</v>
      </c>
      <c r="H7" s="5">
        <f>SQRT(SUM('r-pi-5'!$D$3:D7)/COUNTIF($A$3:A7,"&lt;&gt;0"))</f>
        <v>35.065652710308989</v>
      </c>
    </row>
    <row r="8" spans="1:8">
      <c r="A8">
        <v>6</v>
      </c>
      <c r="B8">
        <v>2</v>
      </c>
      <c r="C8">
        <v>4600</v>
      </c>
      <c r="D8">
        <v>2682</v>
      </c>
      <c r="E8" s="4">
        <f t="shared" si="0"/>
        <v>0</v>
      </c>
      <c r="F8" s="4">
        <f t="shared" si="1"/>
        <v>1918</v>
      </c>
      <c r="G8" s="4">
        <f t="shared" si="2"/>
        <v>3678724</v>
      </c>
      <c r="H8" s="5">
        <f>SQRT(SUM('r-pi-5'!$D$3:D8)/COUNTIF($A$3:A8,"&lt;&gt;0"))</f>
        <v>38.362307890254293</v>
      </c>
    </row>
    <row r="9" spans="1:8">
      <c r="A9">
        <v>7</v>
      </c>
      <c r="B9">
        <v>2</v>
      </c>
      <c r="C9">
        <v>4600</v>
      </c>
      <c r="D9">
        <v>2651</v>
      </c>
      <c r="E9" s="4">
        <f t="shared" si="0"/>
        <v>0</v>
      </c>
      <c r="F9" s="4">
        <f t="shared" si="1"/>
        <v>1949</v>
      </c>
      <c r="G9" s="4">
        <f t="shared" si="2"/>
        <v>3798601</v>
      </c>
      <c r="H9" s="5">
        <f>SQRT(SUM('r-pi-5'!$D$3:D9)/COUNTIF($A$3:A9,"&lt;&gt;0"))</f>
        <v>40.498677227075667</v>
      </c>
    </row>
    <row r="10" spans="1:8">
      <c r="A10">
        <v>8</v>
      </c>
      <c r="B10">
        <v>2</v>
      </c>
      <c r="C10">
        <v>4600</v>
      </c>
      <c r="D10">
        <v>2586</v>
      </c>
      <c r="E10" s="4">
        <f t="shared" si="0"/>
        <v>0</v>
      </c>
      <c r="F10" s="4">
        <f t="shared" si="1"/>
        <v>2014</v>
      </c>
      <c r="G10" s="4">
        <f t="shared" si="2"/>
        <v>4056196</v>
      </c>
      <c r="H10" s="5">
        <f>SQRT(SUM('r-pi-5'!$D$3:D10)/COUNTIF($A$3:A10,"&lt;&gt;0"))</f>
        <v>41.932982245483089</v>
      </c>
    </row>
    <row r="11" spans="1:8">
      <c r="A11">
        <v>9</v>
      </c>
      <c r="B11">
        <v>2</v>
      </c>
      <c r="C11">
        <v>4600</v>
      </c>
      <c r="D11">
        <v>2661</v>
      </c>
      <c r="E11" s="4">
        <f t="shared" si="0"/>
        <v>0</v>
      </c>
      <c r="F11" s="4">
        <f t="shared" si="1"/>
        <v>1939</v>
      </c>
      <c r="G11" s="4">
        <f t="shared" si="2"/>
        <v>3759721</v>
      </c>
      <c r="H11" s="5">
        <f>SQRT(SUM('r-pi-5'!$D$3:D11)/COUNTIF($A$3:A11,"&lt;&gt;0"))</f>
        <v>43.112256571265981</v>
      </c>
    </row>
    <row r="12" spans="1:8">
      <c r="A12">
        <v>10</v>
      </c>
      <c r="B12">
        <v>2</v>
      </c>
      <c r="C12">
        <v>4600</v>
      </c>
      <c r="D12">
        <v>2603</v>
      </c>
      <c r="E12" s="4">
        <f t="shared" si="0"/>
        <v>0</v>
      </c>
      <c r="F12" s="4">
        <f t="shared" si="1"/>
        <v>1997</v>
      </c>
      <c r="G12" s="4">
        <f t="shared" si="2"/>
        <v>3988009</v>
      </c>
      <c r="H12" s="5">
        <f>SQRT(SUM('r-pi-5'!$D$3:D12)/COUNTIF($A$3:A12,"&lt;&gt;0"))</f>
        <v>43.967033104361271</v>
      </c>
    </row>
    <row r="13" spans="1:8">
      <c r="A13">
        <v>11</v>
      </c>
      <c r="B13">
        <v>3</v>
      </c>
      <c r="C13">
        <v>4600</v>
      </c>
      <c r="D13">
        <v>2684</v>
      </c>
      <c r="E13" s="4">
        <f t="shared" si="0"/>
        <v>0</v>
      </c>
      <c r="F13" s="4">
        <f t="shared" si="1"/>
        <v>1916</v>
      </c>
      <c r="G13" s="4">
        <f t="shared" si="2"/>
        <v>3671056</v>
      </c>
      <c r="H13" s="5">
        <f>SQRT(SUM('r-pi-5'!$D$3:D13)/COUNTIF($A$3:A13,"&lt;&gt;0"))</f>
        <v>44.736602870173726</v>
      </c>
    </row>
    <row r="14" spans="1:8">
      <c r="A14">
        <v>12</v>
      </c>
      <c r="B14">
        <v>3</v>
      </c>
      <c r="C14">
        <v>4600</v>
      </c>
      <c r="D14">
        <v>2683</v>
      </c>
      <c r="E14" s="4">
        <f t="shared" si="0"/>
        <v>0</v>
      </c>
      <c r="F14" s="4">
        <f t="shared" si="1"/>
        <v>1917</v>
      </c>
      <c r="G14" s="4">
        <f t="shared" si="2"/>
        <v>3674889</v>
      </c>
      <c r="H14" s="5">
        <f>SQRT(SUM('r-pi-5'!$D$3:D14)/COUNTIF($A$3:A14,"&lt;&gt;0"))</f>
        <v>45.367021796307796</v>
      </c>
    </row>
    <row r="15" spans="1:8">
      <c r="A15">
        <v>13</v>
      </c>
      <c r="B15">
        <v>3</v>
      </c>
      <c r="C15">
        <v>4600</v>
      </c>
      <c r="D15">
        <v>2659</v>
      </c>
      <c r="E15" s="4">
        <f t="shared" si="0"/>
        <v>0</v>
      </c>
      <c r="F15" s="4">
        <f t="shared" si="1"/>
        <v>1941</v>
      </c>
      <c r="G15" s="4">
        <f t="shared" si="2"/>
        <v>3767481</v>
      </c>
      <c r="H15" s="5">
        <f>SQRT(SUM('r-pi-5'!$D$3:D15)/COUNTIF($A$3:A15,"&lt;&gt;0"))</f>
        <v>45.873572080061692</v>
      </c>
    </row>
    <row r="16" spans="1:8">
      <c r="A16">
        <v>14</v>
      </c>
      <c r="B16">
        <v>3</v>
      </c>
      <c r="C16">
        <v>4600</v>
      </c>
      <c r="D16">
        <v>2731</v>
      </c>
      <c r="E16" s="4">
        <f t="shared" si="0"/>
        <v>0</v>
      </c>
      <c r="F16" s="4">
        <f t="shared" si="1"/>
        <v>1869</v>
      </c>
      <c r="G16" s="4">
        <f t="shared" si="2"/>
        <v>3493161</v>
      </c>
      <c r="H16" s="5">
        <f>SQRT(SUM('r-pi-5'!$D$3:D16)/COUNTIF($A$3:A16,"&lt;&gt;0"))</f>
        <v>46.358848746952908</v>
      </c>
    </row>
    <row r="17" spans="1:8">
      <c r="A17">
        <v>15</v>
      </c>
      <c r="B17">
        <v>3</v>
      </c>
      <c r="C17">
        <v>4600</v>
      </c>
      <c r="D17">
        <v>2746</v>
      </c>
      <c r="E17" s="4">
        <f t="shared" si="0"/>
        <v>0</v>
      </c>
      <c r="F17" s="4">
        <f t="shared" si="1"/>
        <v>1854</v>
      </c>
      <c r="G17" s="4">
        <f t="shared" si="2"/>
        <v>3437316</v>
      </c>
      <c r="H17" s="5">
        <f>SQRT(SUM('r-pi-5'!$D$3:D17)/COUNTIF($A$3:A17,"&lt;&gt;0"))</f>
        <v>46.786037803316212</v>
      </c>
    </row>
    <row r="18" spans="1:8">
      <c r="A18">
        <v>16</v>
      </c>
      <c r="B18">
        <v>3</v>
      </c>
      <c r="C18">
        <v>4600</v>
      </c>
      <c r="D18">
        <v>2725</v>
      </c>
      <c r="E18" s="4">
        <f t="shared" si="0"/>
        <v>0</v>
      </c>
      <c r="F18" s="4">
        <f t="shared" si="1"/>
        <v>1875</v>
      </c>
      <c r="G18" s="4">
        <f t="shared" si="2"/>
        <v>3515625</v>
      </c>
      <c r="H18" s="5">
        <f>SQRT(SUM('r-pi-5'!$D$3:D18)/COUNTIF($A$3:A18,"&lt;&gt;0"))</f>
        <v>47.142735389453165</v>
      </c>
    </row>
    <row r="19" spans="1:8">
      <c r="A19">
        <v>17</v>
      </c>
      <c r="B19">
        <v>4</v>
      </c>
      <c r="C19">
        <v>4600</v>
      </c>
      <c r="D19">
        <v>4308</v>
      </c>
      <c r="E19" s="4">
        <f t="shared" si="0"/>
        <v>1</v>
      </c>
      <c r="F19" s="4">
        <f t="shared" si="1"/>
        <v>292</v>
      </c>
      <c r="G19" s="4">
        <f t="shared" si="2"/>
        <v>85264</v>
      </c>
      <c r="H19" s="5">
        <f>SQRT(SUM('r-pi-5'!$D$3:D19)/COUNTIF($A$3:A19,"&lt;&gt;0"))</f>
        <v>48.426414765691909</v>
      </c>
    </row>
    <row r="20" spans="1:8">
      <c r="A20">
        <v>18</v>
      </c>
      <c r="B20">
        <v>3</v>
      </c>
      <c r="C20">
        <v>4600</v>
      </c>
      <c r="D20">
        <v>2611</v>
      </c>
      <c r="E20" s="4">
        <f t="shared" si="0"/>
        <v>0</v>
      </c>
      <c r="F20" s="4">
        <f t="shared" si="1"/>
        <v>1989</v>
      </c>
      <c r="G20" s="4">
        <f t="shared" si="2"/>
        <v>3956121</v>
      </c>
      <c r="H20" s="5">
        <f>SQRT(SUM('r-pi-5'!$D$3:D20)/COUNTIF($A$3:A20,"&lt;&gt;0"))</f>
        <v>48.578687599490465</v>
      </c>
    </row>
    <row r="21" spans="1:8">
      <c r="A21">
        <v>19</v>
      </c>
      <c r="B21">
        <v>4</v>
      </c>
      <c r="C21">
        <v>4600</v>
      </c>
      <c r="D21">
        <v>4338</v>
      </c>
      <c r="E21" s="4">
        <f t="shared" si="0"/>
        <v>1</v>
      </c>
      <c r="F21" s="4">
        <f t="shared" si="1"/>
        <v>262</v>
      </c>
      <c r="G21" s="4">
        <f t="shared" si="2"/>
        <v>68644</v>
      </c>
      <c r="H21" s="5">
        <f>SQRT(SUM('r-pi-5'!$D$3:D21)/COUNTIF($A$3:A21,"&lt;&gt;0"))</f>
        <v>49.638694583963428</v>
      </c>
    </row>
    <row r="22" spans="1:8">
      <c r="A22">
        <v>20</v>
      </c>
      <c r="B22">
        <v>4</v>
      </c>
      <c r="C22">
        <v>4600</v>
      </c>
      <c r="D22">
        <v>4369</v>
      </c>
      <c r="E22" s="4">
        <f t="shared" si="0"/>
        <v>1</v>
      </c>
      <c r="F22" s="4">
        <f t="shared" si="1"/>
        <v>231</v>
      </c>
      <c r="G22" s="4">
        <f t="shared" si="2"/>
        <v>53361</v>
      </c>
      <c r="H22" s="5">
        <f>SQRT(SUM('r-pi-5'!$D$3:D22)/COUNTIF($A$3:A22,"&lt;&gt;0"))</f>
        <v>50.589030431507581</v>
      </c>
    </row>
    <row r="23" spans="1:8">
      <c r="A23">
        <v>21</v>
      </c>
      <c r="B23">
        <v>4</v>
      </c>
      <c r="C23">
        <v>4600</v>
      </c>
      <c r="D23">
        <v>4322</v>
      </c>
      <c r="E23" s="4">
        <f t="shared" si="0"/>
        <v>1</v>
      </c>
      <c r="F23" s="4">
        <f t="shared" si="1"/>
        <v>278</v>
      </c>
      <c r="G23" s="4">
        <f t="shared" si="2"/>
        <v>77284</v>
      </c>
      <c r="H23" s="5">
        <f>SQRT(SUM('r-pi-5'!$D$3:D23)/COUNTIF($A$3:A23,"&lt;&gt;0"))</f>
        <v>51.411968219379389</v>
      </c>
    </row>
    <row r="24" spans="1:8">
      <c r="A24">
        <v>22</v>
      </c>
      <c r="B24">
        <v>4</v>
      </c>
      <c r="C24">
        <v>4600</v>
      </c>
      <c r="D24">
        <v>4235</v>
      </c>
      <c r="E24" s="4">
        <f t="shared" si="0"/>
        <v>1</v>
      </c>
      <c r="F24" s="4">
        <f t="shared" si="1"/>
        <v>365</v>
      </c>
      <c r="G24" s="4">
        <f t="shared" si="2"/>
        <v>133225</v>
      </c>
      <c r="H24" s="5">
        <f>SQRT(SUM('r-pi-5'!$D$3:D24)/COUNTIF($A$3:A24,"&lt;&gt;0"))</f>
        <v>52.110895737316341</v>
      </c>
    </row>
    <row r="25" spans="1:8">
      <c r="A25">
        <v>23</v>
      </c>
      <c r="B25">
        <v>4</v>
      </c>
      <c r="C25">
        <v>4600</v>
      </c>
      <c r="D25">
        <v>4351</v>
      </c>
      <c r="E25" s="4">
        <f t="shared" si="0"/>
        <v>1</v>
      </c>
      <c r="F25" s="4">
        <f t="shared" si="1"/>
        <v>249</v>
      </c>
      <c r="G25" s="4">
        <f t="shared" si="2"/>
        <v>62001</v>
      </c>
      <c r="H25" s="5">
        <f>SQRT(SUM('r-pi-5'!$D$3:D25)/COUNTIF($A$3:A25,"&lt;&gt;0"))</f>
        <v>52.788750448490859</v>
      </c>
    </row>
    <row r="26" spans="1:8">
      <c r="A26">
        <v>24</v>
      </c>
      <c r="B26">
        <v>4</v>
      </c>
      <c r="C26">
        <v>4600</v>
      </c>
      <c r="D26">
        <v>4288</v>
      </c>
      <c r="E26" s="4">
        <f t="shared" si="0"/>
        <v>1</v>
      </c>
      <c r="F26" s="4">
        <f t="shared" si="1"/>
        <v>312</v>
      </c>
      <c r="G26" s="4">
        <f t="shared" si="2"/>
        <v>97344</v>
      </c>
      <c r="H26" s="5">
        <f>SQRT(SUM('r-pi-5'!$D$3:D26)/COUNTIF($A$3:A26,"&lt;&gt;0"))</f>
        <v>53.377976107504615</v>
      </c>
    </row>
    <row r="27" spans="1:8">
      <c r="A27">
        <v>25</v>
      </c>
      <c r="B27">
        <v>4</v>
      </c>
      <c r="C27">
        <v>4600</v>
      </c>
      <c r="D27">
        <v>3950</v>
      </c>
      <c r="E27" s="4">
        <f t="shared" si="0"/>
        <v>1</v>
      </c>
      <c r="F27" s="4">
        <f t="shared" si="1"/>
        <v>650</v>
      </c>
      <c r="G27" s="4">
        <f t="shared" si="2"/>
        <v>422500</v>
      </c>
      <c r="H27" s="5">
        <f>SQRT(SUM('r-pi-5'!$D$3:D27)/COUNTIF($A$3:A27,"&lt;&gt;0"))</f>
        <v>53.788846427489034</v>
      </c>
    </row>
    <row r="28" spans="1:8">
      <c r="A28">
        <v>26</v>
      </c>
      <c r="B28">
        <v>4</v>
      </c>
      <c r="C28">
        <v>4600</v>
      </c>
      <c r="D28">
        <v>4174</v>
      </c>
      <c r="E28" s="4">
        <f t="shared" si="0"/>
        <v>1</v>
      </c>
      <c r="F28" s="4">
        <f t="shared" si="1"/>
        <v>426</v>
      </c>
      <c r="G28" s="4">
        <f t="shared" si="2"/>
        <v>181476</v>
      </c>
      <c r="H28" s="5">
        <f>SQRT(SUM('r-pi-5'!$D$3:D28)/COUNTIF($A$3:A28,"&lt;&gt;0"))</f>
        <v>54.244815420462075</v>
      </c>
    </row>
    <row r="29" spans="1:8">
      <c r="A29">
        <v>27</v>
      </c>
      <c r="B29">
        <v>4</v>
      </c>
      <c r="C29">
        <v>4600</v>
      </c>
      <c r="D29">
        <v>4335</v>
      </c>
      <c r="E29" s="4">
        <f t="shared" si="0"/>
        <v>1</v>
      </c>
      <c r="F29" s="4">
        <f t="shared" si="1"/>
        <v>265</v>
      </c>
      <c r="G29" s="4">
        <f t="shared" si="2"/>
        <v>70225</v>
      </c>
      <c r="H29" s="5">
        <f>SQRT(SUM('r-pi-5'!$D$3:D29)/COUNTIF($A$3:A29,"&lt;&gt;0"))</f>
        <v>54.718132954936188</v>
      </c>
    </row>
    <row r="30" spans="1:8">
      <c r="A30">
        <v>28</v>
      </c>
      <c r="B30">
        <v>4</v>
      </c>
      <c r="C30">
        <v>4600</v>
      </c>
      <c r="D30">
        <v>4361</v>
      </c>
      <c r="E30" s="4">
        <f t="shared" si="0"/>
        <v>1</v>
      </c>
      <c r="F30" s="4">
        <f t="shared" si="1"/>
        <v>239</v>
      </c>
      <c r="G30" s="4">
        <f t="shared" si="2"/>
        <v>57121</v>
      </c>
      <c r="H30" s="5">
        <f>SQRT(SUM('r-pi-5'!$D$3:D30)/COUNTIF($A$3:A30,"&lt;&gt;0"))</f>
        <v>55.162422509738072</v>
      </c>
    </row>
    <row r="31" spans="1:8">
      <c r="A31">
        <v>29</v>
      </c>
      <c r="B31">
        <v>4</v>
      </c>
      <c r="C31">
        <v>4600</v>
      </c>
      <c r="D31">
        <v>4327</v>
      </c>
      <c r="E31" s="4">
        <f t="shared" si="0"/>
        <v>1</v>
      </c>
      <c r="F31" s="4">
        <f t="shared" si="1"/>
        <v>273</v>
      </c>
      <c r="G31" s="4">
        <f t="shared" si="2"/>
        <v>74529</v>
      </c>
      <c r="H31" s="5">
        <f>SQRT(SUM('r-pi-5'!$D$3:D31)/COUNTIF($A$3:A31,"&lt;&gt;0"))</f>
        <v>55.562329088988911</v>
      </c>
    </row>
    <row r="32" spans="1:8">
      <c r="A32">
        <v>30</v>
      </c>
      <c r="B32">
        <v>4</v>
      </c>
      <c r="C32">
        <v>4600</v>
      </c>
      <c r="D32">
        <v>4273</v>
      </c>
      <c r="E32" s="4">
        <f t="shared" si="0"/>
        <v>1</v>
      </c>
      <c r="F32" s="4">
        <f t="shared" si="1"/>
        <v>327</v>
      </c>
      <c r="G32" s="4">
        <f t="shared" si="2"/>
        <v>106929</v>
      </c>
      <c r="H32" s="5">
        <f>SQRT(SUM('r-pi-5'!$D$3:D32)/COUNTIF($A$3:A32,"&lt;&gt;0"))</f>
        <v>55.916902632388357</v>
      </c>
    </row>
    <row r="33" spans="1:8">
      <c r="A33">
        <v>31</v>
      </c>
      <c r="B33">
        <v>4</v>
      </c>
      <c r="C33">
        <v>4600</v>
      </c>
      <c r="D33">
        <v>4287</v>
      </c>
      <c r="E33" s="4">
        <f t="shared" si="0"/>
        <v>1</v>
      </c>
      <c r="F33" s="4">
        <f t="shared" si="1"/>
        <v>313</v>
      </c>
      <c r="G33" s="4">
        <f t="shared" si="2"/>
        <v>97969</v>
      </c>
      <c r="H33" s="5">
        <f>SQRT(SUM('r-pi-5'!$D$3:D33)/COUNTIF($A$3:A33,"&lt;&gt;0"))</f>
        <v>56.250591394740596</v>
      </c>
    </row>
    <row r="34" spans="1:8">
      <c r="A34">
        <v>32</v>
      </c>
      <c r="B34">
        <v>4</v>
      </c>
      <c r="C34">
        <v>4600</v>
      </c>
      <c r="D34">
        <v>4299</v>
      </c>
      <c r="E34" s="4">
        <f t="shared" si="0"/>
        <v>1</v>
      </c>
      <c r="F34" s="4">
        <f t="shared" si="1"/>
        <v>301</v>
      </c>
      <c r="G34" s="4">
        <f t="shared" si="2"/>
        <v>90601</v>
      </c>
      <c r="H34" s="5">
        <f>SQRT(SUM('r-pi-5'!$D$3:D34)/COUNTIF($A$3:A34,"&lt;&gt;0"))</f>
        <v>56.564951604328279</v>
      </c>
    </row>
    <row r="35" spans="1:8">
      <c r="A35">
        <v>33</v>
      </c>
      <c r="B35">
        <v>4</v>
      </c>
      <c r="C35">
        <v>4600</v>
      </c>
      <c r="D35">
        <v>4362</v>
      </c>
      <c r="E35" s="4">
        <f t="shared" si="0"/>
        <v>1</v>
      </c>
      <c r="F35" s="4">
        <f t="shared" si="1"/>
        <v>238</v>
      </c>
      <c r="G35" s="4">
        <f t="shared" si="2"/>
        <v>56644</v>
      </c>
      <c r="H35" s="5">
        <f>SQRT(SUM('r-pi-5'!$D$3:D35)/COUNTIF($A$3:A35,"&lt;&gt;0"))</f>
        <v>56.875462036085317</v>
      </c>
    </row>
    <row r="36" spans="1:8">
      <c r="A36">
        <v>34</v>
      </c>
      <c r="B36">
        <v>4</v>
      </c>
      <c r="C36">
        <v>4600</v>
      </c>
      <c r="D36">
        <v>4332</v>
      </c>
      <c r="E36" s="4">
        <f t="shared" si="0"/>
        <v>1</v>
      </c>
      <c r="F36" s="4">
        <f t="shared" si="1"/>
        <v>268</v>
      </c>
      <c r="G36" s="4">
        <f t="shared" si="2"/>
        <v>71824</v>
      </c>
      <c r="H36" s="5">
        <f>SQRT(SUM('r-pi-5'!$D$3:D36)/COUNTIF($A$3:A36,"&lt;&gt;0"))</f>
        <v>57.158448503210067</v>
      </c>
    </row>
    <row r="37" spans="1:8">
      <c r="A37">
        <v>35</v>
      </c>
      <c r="B37">
        <v>4</v>
      </c>
      <c r="C37">
        <v>4600</v>
      </c>
      <c r="D37">
        <v>4347</v>
      </c>
      <c r="E37" s="4">
        <f t="shared" si="0"/>
        <v>1</v>
      </c>
      <c r="F37" s="4">
        <f t="shared" si="1"/>
        <v>253</v>
      </c>
      <c r="G37" s="4">
        <f t="shared" si="2"/>
        <v>64009</v>
      </c>
      <c r="H37" s="5">
        <f>SQRT(SUM('r-pi-5'!$D$3:D37)/COUNTIF($A$3:A37,"&lt;&gt;0"))</f>
        <v>57.427718543773416</v>
      </c>
    </row>
    <row r="38" spans="1:8">
      <c r="A38">
        <v>36</v>
      </c>
      <c r="B38">
        <v>4</v>
      </c>
      <c r="C38">
        <v>4600</v>
      </c>
      <c r="D38">
        <v>4386</v>
      </c>
      <c r="E38" s="4">
        <f t="shared" si="0"/>
        <v>1</v>
      </c>
      <c r="F38" s="4">
        <f t="shared" si="1"/>
        <v>214</v>
      </c>
      <c r="G38" s="4">
        <f t="shared" si="2"/>
        <v>45796</v>
      </c>
      <c r="H38" s="5">
        <f>SQRT(SUM('r-pi-5'!$D$3:D38)/COUNTIF($A$3:A38,"&lt;&gt;0"))</f>
        <v>57.690264921099697</v>
      </c>
    </row>
    <row r="39" spans="1:8">
      <c r="A39">
        <v>37</v>
      </c>
      <c r="B39">
        <v>4</v>
      </c>
      <c r="C39">
        <v>4600</v>
      </c>
      <c r="D39">
        <v>4296</v>
      </c>
      <c r="E39" s="4">
        <f t="shared" si="0"/>
        <v>1</v>
      </c>
      <c r="F39" s="4">
        <f t="shared" si="1"/>
        <v>304</v>
      </c>
      <c r="G39" s="4">
        <f t="shared" si="2"/>
        <v>92416</v>
      </c>
      <c r="H39" s="5">
        <f>SQRT(SUM('r-pi-5'!$D$3:D39)/COUNTIF($A$3:A39,"&lt;&gt;0"))</f>
        <v>57.916528938847193</v>
      </c>
    </row>
    <row r="40" spans="1:8">
      <c r="A40">
        <v>38</v>
      </c>
      <c r="B40">
        <v>4</v>
      </c>
      <c r="C40">
        <v>4600</v>
      </c>
      <c r="D40">
        <v>4415</v>
      </c>
      <c r="E40" s="4">
        <f t="shared" si="0"/>
        <v>1</v>
      </c>
      <c r="F40" s="4">
        <f t="shared" si="1"/>
        <v>185</v>
      </c>
      <c r="G40" s="4">
        <f t="shared" si="2"/>
        <v>34225</v>
      </c>
      <c r="H40" s="5">
        <f>SQRT(SUM('r-pi-5'!$D$3:D40)/COUNTIF($A$3:A40,"&lt;&gt;0"))</f>
        <v>58.157001660206518</v>
      </c>
    </row>
    <row r="41" spans="1:8">
      <c r="A41">
        <v>39</v>
      </c>
      <c r="B41">
        <v>4</v>
      </c>
      <c r="C41">
        <v>4600</v>
      </c>
      <c r="D41">
        <v>4338</v>
      </c>
      <c r="E41" s="4">
        <f t="shared" si="0"/>
        <v>1</v>
      </c>
      <c r="F41" s="4">
        <f t="shared" si="1"/>
        <v>262</v>
      </c>
      <c r="G41" s="4">
        <f t="shared" si="2"/>
        <v>68644</v>
      </c>
      <c r="H41" s="5">
        <f>SQRT(SUM('r-pi-5'!$D$3:D41)/COUNTIF($A$3:A41,"&lt;&gt;0"))</f>
        <v>58.367316108791485</v>
      </c>
    </row>
    <row r="42" spans="1:8">
      <c r="A42">
        <v>40</v>
      </c>
      <c r="B42">
        <v>4</v>
      </c>
      <c r="C42">
        <v>4600</v>
      </c>
      <c r="D42">
        <v>4287</v>
      </c>
      <c r="E42" s="4">
        <f t="shared" si="0"/>
        <v>1</v>
      </c>
      <c r="F42" s="4">
        <f t="shared" si="1"/>
        <v>313</v>
      </c>
      <c r="G42" s="4">
        <f t="shared" si="2"/>
        <v>97969</v>
      </c>
      <c r="H42" s="5">
        <f>SQRT(SUM('r-pi-5'!$D$3:D42)/COUNTIF($A$3:A42,"&lt;&gt;0"))</f>
        <v>58.555529200921754</v>
      </c>
    </row>
    <row r="43" spans="1:8">
      <c r="A43">
        <v>41</v>
      </c>
      <c r="B43">
        <v>4</v>
      </c>
      <c r="C43">
        <v>4600</v>
      </c>
      <c r="D43">
        <v>4244</v>
      </c>
      <c r="E43" s="4">
        <f t="shared" si="0"/>
        <v>1</v>
      </c>
      <c r="F43" s="4">
        <f t="shared" si="1"/>
        <v>356</v>
      </c>
      <c r="G43" s="4">
        <f t="shared" si="2"/>
        <v>126736</v>
      </c>
      <c r="H43" s="5">
        <f>SQRT(SUM('r-pi-5'!$D$3:D43)/COUNTIF($A$3:A43,"&lt;&gt;0"))</f>
        <v>58.725072552883773</v>
      </c>
    </row>
    <row r="44" spans="1:8">
      <c r="A44">
        <v>42</v>
      </c>
      <c r="B44">
        <v>4</v>
      </c>
      <c r="C44">
        <v>4600</v>
      </c>
      <c r="D44">
        <v>4390</v>
      </c>
      <c r="E44" s="4">
        <f t="shared" si="0"/>
        <v>1</v>
      </c>
      <c r="F44" s="4">
        <f t="shared" si="1"/>
        <v>210</v>
      </c>
      <c r="G44" s="4">
        <f t="shared" si="2"/>
        <v>44100</v>
      </c>
      <c r="H44" s="5">
        <f>SQRT(SUM('r-pi-5'!$D$3:D44)/COUNTIF($A$3:A44,"&lt;&gt;0"))</f>
        <v>58.915597417387012</v>
      </c>
    </row>
    <row r="45" spans="1:8">
      <c r="A45">
        <v>43</v>
      </c>
      <c r="B45">
        <v>4</v>
      </c>
      <c r="C45">
        <v>4600</v>
      </c>
      <c r="D45">
        <v>4338</v>
      </c>
      <c r="E45" s="4">
        <f t="shared" si="0"/>
        <v>1</v>
      </c>
      <c r="F45" s="4">
        <f t="shared" si="1"/>
        <v>262</v>
      </c>
      <c r="G45" s="4">
        <f t="shared" si="2"/>
        <v>68644</v>
      </c>
      <c r="H45" s="5">
        <f>SQRT(SUM('r-pi-5'!$D$3:D45)/COUNTIF($A$3:A45,"&lt;&gt;0"))</f>
        <v>59.086456166583403</v>
      </c>
    </row>
    <row r="46" spans="1:8">
      <c r="A46">
        <v>44</v>
      </c>
      <c r="B46">
        <v>4</v>
      </c>
      <c r="C46">
        <v>4600</v>
      </c>
      <c r="D46">
        <v>4258</v>
      </c>
      <c r="E46" s="4">
        <f t="shared" si="0"/>
        <v>1</v>
      </c>
      <c r="F46" s="4">
        <f t="shared" si="1"/>
        <v>342</v>
      </c>
      <c r="G46" s="4">
        <f t="shared" si="2"/>
        <v>116964</v>
      </c>
      <c r="H46" s="5">
        <f>SQRT(SUM('r-pi-5'!$D$3:D46)/COUNTIF($A$3:A46,"&lt;&gt;0"))</f>
        <v>59.233743454523989</v>
      </c>
    </row>
    <row r="47" spans="1:8">
      <c r="A47">
        <v>45</v>
      </c>
      <c r="B47">
        <v>4</v>
      </c>
      <c r="C47">
        <v>4600</v>
      </c>
      <c r="D47">
        <v>4293</v>
      </c>
      <c r="E47" s="4">
        <f t="shared" si="0"/>
        <v>1</v>
      </c>
      <c r="F47" s="4">
        <f t="shared" si="1"/>
        <v>307</v>
      </c>
      <c r="G47" s="4">
        <f t="shared" si="2"/>
        <v>94249</v>
      </c>
      <c r="H47" s="5">
        <f>SQRT(SUM('r-pi-5'!$D$3:D47)/COUNTIF($A$3:A47,"&lt;&gt;0"))</f>
        <v>59.380692709555575</v>
      </c>
    </row>
    <row r="48" spans="1:8">
      <c r="A48">
        <v>46</v>
      </c>
      <c r="B48">
        <v>4</v>
      </c>
      <c r="C48">
        <v>4600</v>
      </c>
      <c r="D48">
        <v>4383</v>
      </c>
      <c r="E48" s="4">
        <f t="shared" si="0"/>
        <v>1</v>
      </c>
      <c r="F48" s="4">
        <f t="shared" si="1"/>
        <v>217</v>
      </c>
      <c r="G48" s="4">
        <f t="shared" si="2"/>
        <v>47089</v>
      </c>
      <c r="H48" s="5">
        <f>SQRT(SUM('r-pi-5'!$D$3:D48)/COUNTIF($A$3:A48,"&lt;&gt;0"))</f>
        <v>59.537346700822276</v>
      </c>
    </row>
    <row r="49" spans="1:8">
      <c r="A49">
        <v>47</v>
      </c>
      <c r="B49">
        <v>4</v>
      </c>
      <c r="C49">
        <v>4600</v>
      </c>
      <c r="D49">
        <v>4380</v>
      </c>
      <c r="E49" s="4">
        <f t="shared" si="0"/>
        <v>1</v>
      </c>
      <c r="F49" s="4">
        <f t="shared" si="1"/>
        <v>220</v>
      </c>
      <c r="G49" s="4">
        <f t="shared" si="2"/>
        <v>48400</v>
      </c>
      <c r="H49" s="5">
        <f>SQRT(SUM('r-pi-5'!$D$3:D49)/COUNTIF($A$3:A49,"&lt;&gt;0"))</f>
        <v>59.686414577409352</v>
      </c>
    </row>
    <row r="50" spans="1:8">
      <c r="A50">
        <v>48</v>
      </c>
      <c r="B50">
        <v>4</v>
      </c>
      <c r="C50">
        <v>4600</v>
      </c>
      <c r="D50">
        <v>4323</v>
      </c>
      <c r="E50" s="4">
        <f t="shared" si="0"/>
        <v>1</v>
      </c>
      <c r="F50" s="4">
        <f t="shared" si="1"/>
        <v>277</v>
      </c>
      <c r="G50" s="4">
        <f t="shared" si="2"/>
        <v>76729</v>
      </c>
      <c r="H50" s="5">
        <f>SQRT(SUM('r-pi-5'!$D$3:D50)/COUNTIF($A$3:A50,"&lt;&gt;0"))</f>
        <v>59.818997818418858</v>
      </c>
    </row>
    <row r="51" spans="1:8">
      <c r="A51">
        <v>49</v>
      </c>
      <c r="B51">
        <v>4</v>
      </c>
      <c r="C51">
        <v>4600</v>
      </c>
      <c r="D51">
        <v>4323</v>
      </c>
      <c r="E51" s="4">
        <f t="shared" si="0"/>
        <v>1</v>
      </c>
      <c r="F51" s="4">
        <f t="shared" si="1"/>
        <v>277</v>
      </c>
      <c r="G51" s="4">
        <f t="shared" si="2"/>
        <v>76729</v>
      </c>
      <c r="H51" s="5">
        <f>SQRT(SUM('r-pi-5'!$D$3:D51)/COUNTIF($A$3:A51,"&lt;&gt;0"))</f>
        <v>59.9458939718279</v>
      </c>
    </row>
    <row r="52" spans="1:8">
      <c r="A52">
        <v>50</v>
      </c>
      <c r="B52">
        <v>4</v>
      </c>
      <c r="C52">
        <v>4600</v>
      </c>
      <c r="D52">
        <v>4274</v>
      </c>
      <c r="E52" s="4">
        <f t="shared" si="0"/>
        <v>1</v>
      </c>
      <c r="F52" s="4">
        <f t="shared" si="1"/>
        <v>326</v>
      </c>
      <c r="G52" s="4">
        <f t="shared" si="2"/>
        <v>106276</v>
      </c>
      <c r="H52" s="5">
        <f>SQRT(SUM('r-pi-5'!$D$3:D52)/COUNTIF($A$3:A52,"&lt;&gt;0"))</f>
        <v>60.059304025271551</v>
      </c>
    </row>
    <row r="53" spans="1:8">
      <c r="A53">
        <v>51</v>
      </c>
      <c r="B53">
        <v>5</v>
      </c>
      <c r="C53">
        <v>4600</v>
      </c>
      <c r="D53">
        <v>3868</v>
      </c>
      <c r="E53" s="4">
        <f t="shared" si="0"/>
        <v>1</v>
      </c>
      <c r="F53" s="4">
        <f t="shared" si="1"/>
        <v>732</v>
      </c>
      <c r="G53" s="4">
        <f t="shared" si="2"/>
        <v>535824</v>
      </c>
      <c r="H53" s="5">
        <f>SQRT(SUM('r-pi-5'!$D$3:D53)/COUNTIF($A$3:A53,"&lt;&gt;0"))</f>
        <v>60.101874297875661</v>
      </c>
    </row>
    <row r="54" spans="1:8">
      <c r="A54">
        <v>52</v>
      </c>
      <c r="B54">
        <v>5</v>
      </c>
      <c r="C54">
        <v>4600</v>
      </c>
      <c r="D54">
        <v>4526</v>
      </c>
      <c r="E54" s="4">
        <f t="shared" si="0"/>
        <v>1</v>
      </c>
      <c r="F54" s="4">
        <f t="shared" si="1"/>
        <v>74</v>
      </c>
      <c r="G54" s="4">
        <f t="shared" si="2"/>
        <v>5476</v>
      </c>
      <c r="H54" s="5">
        <f>SQRT(SUM('r-pi-5'!$D$3:D54)/COUNTIF($A$3:A54,"&lt;&gt;0"))</f>
        <v>60.247885376232851</v>
      </c>
    </row>
    <row r="55" spans="1:8">
      <c r="A55">
        <v>53</v>
      </c>
      <c r="B55">
        <v>5</v>
      </c>
      <c r="C55">
        <v>4600</v>
      </c>
      <c r="D55">
        <v>4529</v>
      </c>
      <c r="E55" s="4">
        <f t="shared" si="0"/>
        <v>1</v>
      </c>
      <c r="F55" s="4">
        <f t="shared" si="1"/>
        <v>71</v>
      </c>
      <c r="G55" s="4">
        <f t="shared" si="2"/>
        <v>5041</v>
      </c>
      <c r="H55" s="5">
        <f>SQRT(SUM('r-pi-5'!$D$3:D55)/COUNTIF($A$3:A55,"&lt;&gt;0"))</f>
        <v>60.38852196324779</v>
      </c>
    </row>
    <row r="56" spans="1:8">
      <c r="A56">
        <v>54</v>
      </c>
      <c r="B56">
        <v>5</v>
      </c>
      <c r="C56">
        <v>4600</v>
      </c>
      <c r="D56">
        <v>4557</v>
      </c>
      <c r="E56" s="4">
        <f t="shared" si="0"/>
        <v>1</v>
      </c>
      <c r="F56" s="4">
        <f t="shared" si="1"/>
        <v>43</v>
      </c>
      <c r="G56" s="4">
        <f t="shared" si="2"/>
        <v>1849</v>
      </c>
      <c r="H56" s="5">
        <f>SQRT(SUM('r-pi-5'!$D$3:D56)/COUNTIF($A$3:A56,"&lt;&gt;0"))</f>
        <v>60.527924378997412</v>
      </c>
    </row>
    <row r="57" spans="1:8">
      <c r="A57">
        <v>55</v>
      </c>
      <c r="B57">
        <v>5</v>
      </c>
      <c r="C57">
        <v>4600</v>
      </c>
      <c r="D57">
        <v>4528</v>
      </c>
      <c r="E57" s="4">
        <f t="shared" si="0"/>
        <v>1</v>
      </c>
      <c r="F57" s="4">
        <f t="shared" si="1"/>
        <v>72</v>
      </c>
      <c r="G57" s="4">
        <f t="shared" si="2"/>
        <v>5184</v>
      </c>
      <c r="H57" s="5">
        <f>SQRT(SUM('r-pi-5'!$D$3:D57)/COUNTIF($A$3:A57,"&lt;&gt;0"))</f>
        <v>60.65760838135192</v>
      </c>
    </row>
    <row r="58" spans="1:8">
      <c r="A58">
        <v>56</v>
      </c>
      <c r="B58">
        <v>5</v>
      </c>
      <c r="C58">
        <v>4600</v>
      </c>
      <c r="D58">
        <v>4521</v>
      </c>
      <c r="E58" s="4">
        <f t="shared" si="0"/>
        <v>1</v>
      </c>
      <c r="F58" s="4">
        <f t="shared" si="1"/>
        <v>79</v>
      </c>
      <c r="G58" s="4">
        <f t="shared" si="2"/>
        <v>6241</v>
      </c>
      <c r="H58" s="5">
        <f>SQRT(SUM('r-pi-5'!$D$3:D58)/COUNTIF($A$3:A58,"&lt;&gt;0"))</f>
        <v>60.781370501165895</v>
      </c>
    </row>
    <row r="59" spans="1:8">
      <c r="A59">
        <v>57</v>
      </c>
      <c r="B59">
        <v>5</v>
      </c>
      <c r="C59">
        <v>4600</v>
      </c>
      <c r="D59">
        <v>4012</v>
      </c>
      <c r="E59" s="4">
        <f t="shared" si="0"/>
        <v>1</v>
      </c>
      <c r="F59" s="4">
        <f t="shared" si="1"/>
        <v>588</v>
      </c>
      <c r="G59" s="4">
        <f t="shared" si="2"/>
        <v>345744</v>
      </c>
      <c r="H59" s="5">
        <f>SQRT(SUM('r-pi-5'!$D$3:D59)/COUNTIF($A$3:A59,"&lt;&gt;0"))</f>
        <v>60.827192672529712</v>
      </c>
    </row>
    <row r="60" spans="1:8">
      <c r="A60">
        <v>58</v>
      </c>
      <c r="B60">
        <v>5</v>
      </c>
      <c r="C60">
        <v>4600</v>
      </c>
      <c r="D60">
        <v>4550</v>
      </c>
      <c r="E60" s="4">
        <f t="shared" si="0"/>
        <v>1</v>
      </c>
      <c r="F60" s="4">
        <f t="shared" si="1"/>
        <v>50</v>
      </c>
      <c r="G60" s="4">
        <f t="shared" si="2"/>
        <v>2500</v>
      </c>
      <c r="H60" s="5">
        <f>SQRT(SUM('r-pi-5'!$D$3:D60)/COUNTIF($A$3:A60,"&lt;&gt;0"))</f>
        <v>60.947546696121101</v>
      </c>
    </row>
    <row r="61" spans="1:8">
      <c r="A61">
        <v>59</v>
      </c>
      <c r="B61">
        <v>5</v>
      </c>
      <c r="C61">
        <v>4600</v>
      </c>
      <c r="D61">
        <v>4627</v>
      </c>
      <c r="E61" s="4">
        <f t="shared" si="0"/>
        <v>1</v>
      </c>
      <c r="F61" s="4">
        <f t="shared" si="1"/>
        <v>27</v>
      </c>
      <c r="G61" s="4">
        <f t="shared" si="2"/>
        <v>729</v>
      </c>
      <c r="H61" s="5">
        <f>SQRT(SUM('r-pi-5'!$D$3:D61)/COUNTIF($A$3:A61,"&lt;&gt;0"))</f>
        <v>61.074280974974805</v>
      </c>
    </row>
    <row r="62" spans="1:8">
      <c r="A62">
        <v>60</v>
      </c>
      <c r="B62">
        <v>5</v>
      </c>
      <c r="C62">
        <v>4600</v>
      </c>
      <c r="D62">
        <v>4598</v>
      </c>
      <c r="E62" s="4">
        <f t="shared" si="0"/>
        <v>1</v>
      </c>
      <c r="F62" s="4">
        <f t="shared" si="1"/>
        <v>2</v>
      </c>
      <c r="G62" s="4">
        <f t="shared" si="2"/>
        <v>4</v>
      </c>
      <c r="H62" s="5">
        <f>SQRT(SUM('r-pi-5'!$D$3:D62)/COUNTIF($A$3:A62,"&lt;&gt;0"))</f>
        <v>61.192592144256587</v>
      </c>
    </row>
    <row r="63" spans="1:8">
      <c r="A63">
        <v>61</v>
      </c>
      <c r="B63">
        <v>5</v>
      </c>
      <c r="C63">
        <v>4600</v>
      </c>
      <c r="D63">
        <v>4456</v>
      </c>
      <c r="E63" s="4">
        <f t="shared" si="0"/>
        <v>1</v>
      </c>
      <c r="F63" s="4">
        <f t="shared" si="1"/>
        <v>144</v>
      </c>
      <c r="G63" s="4">
        <f t="shared" si="2"/>
        <v>20736</v>
      </c>
      <c r="H63" s="5">
        <f>SQRT(SUM('r-pi-5'!$D$3:D63)/COUNTIF($A$3:A63,"&lt;&gt;0"))</f>
        <v>61.287818702507884</v>
      </c>
    </row>
    <row r="64" spans="1:8">
      <c r="A64">
        <v>62</v>
      </c>
      <c r="B64">
        <v>5</v>
      </c>
      <c r="C64">
        <v>4600</v>
      </c>
      <c r="D64">
        <v>4533</v>
      </c>
      <c r="E64" s="4">
        <f t="shared" si="0"/>
        <v>1</v>
      </c>
      <c r="F64" s="4">
        <f t="shared" si="1"/>
        <v>67</v>
      </c>
      <c r="G64" s="4">
        <f t="shared" si="2"/>
        <v>4489</v>
      </c>
      <c r="H64" s="5">
        <f>SQRT(SUM('r-pi-5'!$D$3:D64)/COUNTIF($A$3:A64,"&lt;&gt;0"))</f>
        <v>61.389948741236239</v>
      </c>
    </row>
    <row r="65" spans="1:8">
      <c r="A65">
        <v>63</v>
      </c>
      <c r="B65">
        <v>5</v>
      </c>
      <c r="C65">
        <v>4600</v>
      </c>
      <c r="D65">
        <v>4554</v>
      </c>
      <c r="E65" s="4">
        <f t="shared" si="0"/>
        <v>1</v>
      </c>
      <c r="F65" s="4">
        <f t="shared" si="1"/>
        <v>46</v>
      </c>
      <c r="G65" s="4">
        <f t="shared" si="2"/>
        <v>2116</v>
      </c>
      <c r="H65" s="5">
        <f>SQRT(SUM('r-pi-5'!$D$3:D65)/COUNTIF($A$3:A65,"&lt;&gt;0"))</f>
        <v>61.491385381941726</v>
      </c>
    </row>
    <row r="66" spans="1:8">
      <c r="A66">
        <v>64</v>
      </c>
      <c r="B66">
        <v>5</v>
      </c>
      <c r="C66">
        <v>4600</v>
      </c>
      <c r="D66">
        <v>4565</v>
      </c>
      <c r="E66" s="4">
        <f t="shared" si="0"/>
        <v>1</v>
      </c>
      <c r="F66" s="4">
        <f t="shared" si="1"/>
        <v>35</v>
      </c>
      <c r="G66" s="4">
        <f t="shared" si="2"/>
        <v>1225</v>
      </c>
      <c r="H66" s="5">
        <f>SQRT(SUM('r-pi-5'!$D$3:D66)/COUNTIF($A$3:A66,"&lt;&gt;0"))</f>
        <v>61.590888124786773</v>
      </c>
    </row>
    <row r="67" spans="1:8">
      <c r="A67">
        <v>65</v>
      </c>
      <c r="B67">
        <v>5</v>
      </c>
      <c r="C67">
        <v>4600</v>
      </c>
      <c r="D67">
        <v>4543</v>
      </c>
      <c r="E67" s="4">
        <f t="shared" si="0"/>
        <v>1</v>
      </c>
      <c r="F67" s="4">
        <f t="shared" si="1"/>
        <v>57</v>
      </c>
      <c r="G67" s="4">
        <f t="shared" si="2"/>
        <v>3249</v>
      </c>
      <c r="H67" s="5">
        <f>SQRT(SUM('r-pi-5'!$D$3:D67)/COUNTIF($A$3:A67,"&lt;&gt;0"))</f>
        <v>61.684432645273077</v>
      </c>
    </row>
    <row r="68" spans="1:8">
      <c r="A68">
        <v>66</v>
      </c>
      <c r="B68">
        <v>5</v>
      </c>
      <c r="C68">
        <v>4600</v>
      </c>
      <c r="D68">
        <v>4568</v>
      </c>
      <c r="E68" s="4">
        <f t="shared" ref="E68:E131" si="3">IF(AND(D68&lt;=C68*1.2,D68&gt;=C68*0.8),1,0)</f>
        <v>1</v>
      </c>
      <c r="F68" s="4">
        <f t="shared" ref="F68:F131" si="4">ABS(C68-D68)</f>
        <v>32</v>
      </c>
      <c r="G68" s="4">
        <f t="shared" ref="G68:G131" si="5">POWER(F68,2)</f>
        <v>1024</v>
      </c>
      <c r="H68" s="5">
        <f>SQRT(SUM('r-pi-5'!$D$3:D68)/COUNTIF($A$3:A68,"&lt;&gt;0"))</f>
        <v>61.778072995443154</v>
      </c>
    </row>
    <row r="69" spans="1:8">
      <c r="A69">
        <v>67</v>
      </c>
      <c r="B69">
        <v>5</v>
      </c>
      <c r="C69">
        <v>4600</v>
      </c>
      <c r="D69">
        <v>4594</v>
      </c>
      <c r="E69" s="4">
        <f t="shared" si="3"/>
        <v>1</v>
      </c>
      <c r="F69" s="4">
        <f t="shared" si="4"/>
        <v>6</v>
      </c>
      <c r="G69" s="4">
        <f t="shared" si="5"/>
        <v>36</v>
      </c>
      <c r="H69" s="5">
        <f>SQRT(SUM('r-pi-5'!$D$3:D69)/COUNTIF($A$3:A69,"&lt;&gt;0"))</f>
        <v>61.871918738295236</v>
      </c>
    </row>
    <row r="70" spans="1:8">
      <c r="A70">
        <v>68</v>
      </c>
      <c r="B70">
        <v>5</v>
      </c>
      <c r="C70">
        <v>4600</v>
      </c>
      <c r="D70">
        <v>4569</v>
      </c>
      <c r="E70" s="4">
        <f t="shared" si="3"/>
        <v>1</v>
      </c>
      <c r="F70" s="4">
        <f t="shared" si="4"/>
        <v>31</v>
      </c>
      <c r="G70" s="4">
        <f t="shared" si="5"/>
        <v>961</v>
      </c>
      <c r="H70" s="5">
        <f>SQRT(SUM('r-pi-5'!$D$3:D70)/COUNTIF($A$3:A70,"&lt;&gt;0"))</f>
        <v>61.959901644246543</v>
      </c>
    </row>
    <row r="71" spans="1:8">
      <c r="A71">
        <v>69</v>
      </c>
      <c r="B71">
        <v>5</v>
      </c>
      <c r="C71">
        <v>4600</v>
      </c>
      <c r="D71">
        <v>4530</v>
      </c>
      <c r="E71" s="4">
        <f t="shared" si="3"/>
        <v>1</v>
      </c>
      <c r="F71" s="4">
        <f t="shared" si="4"/>
        <v>70</v>
      </c>
      <c r="G71" s="4">
        <f t="shared" si="5"/>
        <v>4900</v>
      </c>
      <c r="H71" s="5">
        <f>SQRT(SUM('r-pi-5'!$D$3:D71)/COUNTIF($A$3:A71,"&lt;&gt;0"))</f>
        <v>62.040659879315193</v>
      </c>
    </row>
    <row r="72" spans="1:8">
      <c r="A72">
        <v>70</v>
      </c>
      <c r="B72">
        <v>5</v>
      </c>
      <c r="C72">
        <v>4600</v>
      </c>
      <c r="D72">
        <v>4584</v>
      </c>
      <c r="E72" s="4">
        <f t="shared" si="3"/>
        <v>1</v>
      </c>
      <c r="F72" s="4">
        <f t="shared" si="4"/>
        <v>16</v>
      </c>
      <c r="G72" s="4">
        <f t="shared" si="5"/>
        <v>256</v>
      </c>
      <c r="H72" s="5">
        <f>SQRT(SUM('r-pi-5'!$D$3:D72)/COUNTIF($A$3:A72,"&lt;&gt;0"))</f>
        <v>62.125219171789304</v>
      </c>
    </row>
    <row r="73" spans="1:8">
      <c r="A73">
        <v>71</v>
      </c>
      <c r="B73">
        <v>5</v>
      </c>
      <c r="C73">
        <v>4600</v>
      </c>
      <c r="D73">
        <v>4316</v>
      </c>
      <c r="E73" s="4">
        <f t="shared" si="3"/>
        <v>1</v>
      </c>
      <c r="F73" s="4">
        <f t="shared" si="4"/>
        <v>284</v>
      </c>
      <c r="G73" s="4">
        <f t="shared" si="5"/>
        <v>80656</v>
      </c>
      <c r="H73" s="5">
        <f>SQRT(SUM('r-pi-5'!$D$3:D73)/COUNTIF($A$3:A73,"&lt;&gt;0"))</f>
        <v>62.176939704249804</v>
      </c>
    </row>
    <row r="74" spans="1:8">
      <c r="A74">
        <v>72</v>
      </c>
      <c r="B74">
        <v>5</v>
      </c>
      <c r="C74">
        <v>4600</v>
      </c>
      <c r="D74">
        <v>4563</v>
      </c>
      <c r="E74" s="4">
        <f t="shared" si="3"/>
        <v>1</v>
      </c>
      <c r="F74" s="4">
        <f t="shared" si="4"/>
        <v>37</v>
      </c>
      <c r="G74" s="4">
        <f t="shared" si="5"/>
        <v>1369</v>
      </c>
      <c r="H74" s="5">
        <f>SQRT(SUM('r-pi-5'!$D$3:D74)/COUNTIF($A$3:A74,"&lt;&gt;0"))</f>
        <v>62.254741006430812</v>
      </c>
    </row>
    <row r="75" spans="1:8">
      <c r="A75">
        <v>73</v>
      </c>
      <c r="B75">
        <v>5</v>
      </c>
      <c r="C75">
        <v>4600</v>
      </c>
      <c r="D75">
        <v>4435</v>
      </c>
      <c r="E75" s="4">
        <f t="shared" si="3"/>
        <v>1</v>
      </c>
      <c r="F75" s="4">
        <f t="shared" si="4"/>
        <v>165</v>
      </c>
      <c r="G75" s="4">
        <f t="shared" si="5"/>
        <v>27225</v>
      </c>
      <c r="H75" s="5">
        <f>SQRT(SUM('r-pi-5'!$D$3:D75)/COUNTIF($A$3:A75,"&lt;&gt;0"))</f>
        <v>62.316250436729185</v>
      </c>
    </row>
    <row r="76" spans="1:8">
      <c r="A76">
        <v>74</v>
      </c>
      <c r="B76">
        <v>5</v>
      </c>
      <c r="C76">
        <v>4600</v>
      </c>
      <c r="D76">
        <v>4555</v>
      </c>
      <c r="E76" s="4">
        <f t="shared" si="3"/>
        <v>1</v>
      </c>
      <c r="F76" s="4">
        <f t="shared" si="4"/>
        <v>45</v>
      </c>
      <c r="G76" s="4">
        <f t="shared" si="5"/>
        <v>2025</v>
      </c>
      <c r="H76" s="5">
        <f>SQRT(SUM('r-pi-5'!$D$3:D76)/COUNTIF($A$3:A76,"&lt;&gt;0"))</f>
        <v>62.389036632183156</v>
      </c>
    </row>
    <row r="77" spans="1:8">
      <c r="A77">
        <v>75</v>
      </c>
      <c r="B77">
        <v>5</v>
      </c>
      <c r="C77">
        <v>4600</v>
      </c>
      <c r="D77">
        <v>4602</v>
      </c>
      <c r="E77" s="4">
        <f t="shared" si="3"/>
        <v>1</v>
      </c>
      <c r="F77" s="4">
        <f t="shared" si="4"/>
        <v>2</v>
      </c>
      <c r="G77" s="4">
        <f t="shared" si="5"/>
        <v>4</v>
      </c>
      <c r="H77" s="5">
        <f>SQRT(SUM('r-pi-5'!$D$3:D77)/COUNTIF($A$3:A77,"&lt;&gt;0"))</f>
        <v>62.464816763785784</v>
      </c>
    </row>
    <row r="78" spans="1:8">
      <c r="A78">
        <v>76</v>
      </c>
      <c r="B78">
        <v>5</v>
      </c>
      <c r="C78">
        <v>4600</v>
      </c>
      <c r="D78">
        <v>4514</v>
      </c>
      <c r="E78" s="4">
        <f t="shared" si="3"/>
        <v>1</v>
      </c>
      <c r="F78" s="4">
        <f t="shared" si="4"/>
        <v>86</v>
      </c>
      <c r="G78" s="4">
        <f t="shared" si="5"/>
        <v>7396</v>
      </c>
      <c r="H78" s="5">
        <f>SQRT(SUM('r-pi-5'!$D$3:D78)/COUNTIF($A$3:A78,"&lt;&gt;0"))</f>
        <v>62.529256310441134</v>
      </c>
    </row>
    <row r="79" spans="1:8">
      <c r="A79">
        <v>77</v>
      </c>
      <c r="B79">
        <v>5</v>
      </c>
      <c r="C79">
        <v>4600</v>
      </c>
      <c r="D79">
        <v>4466</v>
      </c>
      <c r="E79" s="4">
        <f t="shared" si="3"/>
        <v>1</v>
      </c>
      <c r="F79" s="4">
        <f t="shared" si="4"/>
        <v>134</v>
      </c>
      <c r="G79" s="4">
        <f t="shared" si="5"/>
        <v>17956</v>
      </c>
      <c r="H79" s="5">
        <f>SQRT(SUM('r-pi-5'!$D$3:D79)/COUNTIF($A$3:A79,"&lt;&gt;0"))</f>
        <v>62.586978439048089</v>
      </c>
    </row>
    <row r="80" spans="1:8">
      <c r="A80">
        <v>78</v>
      </c>
      <c r="B80">
        <v>5</v>
      </c>
      <c r="C80">
        <v>4600</v>
      </c>
      <c r="D80">
        <v>4436</v>
      </c>
      <c r="E80" s="4">
        <f t="shared" si="3"/>
        <v>1</v>
      </c>
      <c r="F80" s="4">
        <f t="shared" si="4"/>
        <v>164</v>
      </c>
      <c r="G80" s="4">
        <f t="shared" si="5"/>
        <v>26896</v>
      </c>
      <c r="H80" s="5">
        <f>SQRT(SUM('r-pi-5'!$D$3:D80)/COUNTIF($A$3:A80,"&lt;&gt;0"))</f>
        <v>62.640099387549277</v>
      </c>
    </row>
    <row r="81" spans="1:8">
      <c r="A81">
        <v>79</v>
      </c>
      <c r="B81">
        <v>5</v>
      </c>
      <c r="C81">
        <v>4600</v>
      </c>
      <c r="D81">
        <v>4558</v>
      </c>
      <c r="E81" s="4">
        <f t="shared" si="3"/>
        <v>1</v>
      </c>
      <c r="F81" s="4">
        <f t="shared" si="4"/>
        <v>42</v>
      </c>
      <c r="G81" s="4">
        <f t="shared" si="5"/>
        <v>1764</v>
      </c>
      <c r="H81" s="5">
        <f>SQRT(SUM('r-pi-5'!$D$3:D81)/COUNTIF($A$3:A81,"&lt;&gt;0"))</f>
        <v>62.704147602708694</v>
      </c>
    </row>
    <row r="82" spans="1:8">
      <c r="A82">
        <v>80</v>
      </c>
      <c r="B82">
        <v>5</v>
      </c>
      <c r="C82">
        <v>4600</v>
      </c>
      <c r="D82">
        <v>4585</v>
      </c>
      <c r="E82" s="4">
        <f t="shared" si="3"/>
        <v>1</v>
      </c>
      <c r="F82" s="4">
        <f t="shared" si="4"/>
        <v>15</v>
      </c>
      <c r="G82" s="4">
        <f t="shared" si="5"/>
        <v>225</v>
      </c>
      <c r="H82" s="5">
        <f>SQRT(SUM('r-pi-5'!$D$3:D82)/COUNTIF($A$3:A82,"&lt;&gt;0"))</f>
        <v>62.769220164026251</v>
      </c>
    </row>
    <row r="83" spans="1:8">
      <c r="A83">
        <v>81</v>
      </c>
      <c r="B83">
        <v>5</v>
      </c>
      <c r="C83">
        <v>4600</v>
      </c>
      <c r="D83">
        <v>4596</v>
      </c>
      <c r="E83" s="4">
        <f t="shared" si="3"/>
        <v>1</v>
      </c>
      <c r="F83" s="4">
        <f t="shared" si="4"/>
        <v>4</v>
      </c>
      <c r="G83" s="4">
        <f t="shared" si="5"/>
        <v>16</v>
      </c>
      <c r="H83" s="5">
        <f>SQRT(SUM('r-pi-5'!$D$3:D83)/COUNTIF($A$3:A83,"&lt;&gt;0"))</f>
        <v>62.833701737794136</v>
      </c>
    </row>
    <row r="84" spans="1:8">
      <c r="A84">
        <v>82</v>
      </c>
      <c r="B84">
        <v>5</v>
      </c>
      <c r="C84">
        <v>4600</v>
      </c>
      <c r="D84">
        <v>4542</v>
      </c>
      <c r="E84" s="4">
        <f t="shared" si="3"/>
        <v>1</v>
      </c>
      <c r="F84" s="4">
        <f t="shared" si="4"/>
        <v>58</v>
      </c>
      <c r="G84" s="4">
        <f t="shared" si="5"/>
        <v>3364</v>
      </c>
      <c r="H84" s="5">
        <f>SQRT(SUM('r-pi-5'!$D$3:D84)/COUNTIF($A$3:A84,"&lt;&gt;0"))</f>
        <v>62.891311587299022</v>
      </c>
    </row>
    <row r="85" spans="1:8">
      <c r="A85">
        <v>83</v>
      </c>
      <c r="B85">
        <v>5</v>
      </c>
      <c r="C85">
        <v>4600</v>
      </c>
      <c r="D85">
        <v>4546</v>
      </c>
      <c r="E85" s="4">
        <f t="shared" si="3"/>
        <v>1</v>
      </c>
      <c r="F85" s="4">
        <f t="shared" si="4"/>
        <v>54</v>
      </c>
      <c r="G85" s="4">
        <f t="shared" si="5"/>
        <v>2916</v>
      </c>
      <c r="H85" s="5">
        <f>SQRT(SUM('r-pi-5'!$D$3:D85)/COUNTIF($A$3:A85,"&lt;&gt;0"))</f>
        <v>62.947865213522206</v>
      </c>
    </row>
    <row r="86" spans="1:8">
      <c r="A86">
        <v>84</v>
      </c>
      <c r="B86">
        <v>5</v>
      </c>
      <c r="C86">
        <v>4600</v>
      </c>
      <c r="D86">
        <v>4535</v>
      </c>
      <c r="E86" s="4">
        <f t="shared" si="3"/>
        <v>1</v>
      </c>
      <c r="F86" s="4">
        <f t="shared" si="4"/>
        <v>65</v>
      </c>
      <c r="G86" s="4">
        <f t="shared" si="5"/>
        <v>4225</v>
      </c>
      <c r="H86" s="5">
        <f>SQRT(SUM('r-pi-5'!$D$3:D86)/COUNTIF($A$3:A86,"&lt;&gt;0"))</f>
        <v>63.001984095740987</v>
      </c>
    </row>
    <row r="87" spans="1:8">
      <c r="A87">
        <v>85</v>
      </c>
      <c r="B87">
        <v>5</v>
      </c>
      <c r="C87">
        <v>4600</v>
      </c>
      <c r="D87">
        <v>4433</v>
      </c>
      <c r="E87" s="4">
        <f t="shared" si="3"/>
        <v>1</v>
      </c>
      <c r="F87" s="4">
        <f t="shared" si="4"/>
        <v>167</v>
      </c>
      <c r="G87" s="4">
        <f t="shared" si="5"/>
        <v>27889</v>
      </c>
      <c r="H87" s="5">
        <f>SQRT(SUM('r-pi-5'!$D$3:D87)/COUNTIF($A$3:A87,"&lt;&gt;0"))</f>
        <v>63.045268516780396</v>
      </c>
    </row>
    <row r="88" spans="1:8">
      <c r="A88">
        <v>86</v>
      </c>
      <c r="B88">
        <v>5</v>
      </c>
      <c r="C88">
        <v>4600</v>
      </c>
      <c r="D88">
        <v>4537</v>
      </c>
      <c r="E88" s="4">
        <f t="shared" si="3"/>
        <v>1</v>
      </c>
      <c r="F88" s="4">
        <f t="shared" si="4"/>
        <v>63</v>
      </c>
      <c r="G88" s="4">
        <f t="shared" si="5"/>
        <v>3969</v>
      </c>
      <c r="H88" s="5">
        <f>SQRT(SUM('r-pi-5'!$D$3:D88)/COUNTIF($A$3:A88,"&lt;&gt;0"))</f>
        <v>63.097101249158122</v>
      </c>
    </row>
    <row r="89" spans="1:8">
      <c r="A89">
        <v>87</v>
      </c>
      <c r="B89">
        <v>5</v>
      </c>
      <c r="C89">
        <v>4600</v>
      </c>
      <c r="D89">
        <v>4559</v>
      </c>
      <c r="E89" s="4">
        <f t="shared" si="3"/>
        <v>1</v>
      </c>
      <c r="F89" s="4">
        <f t="shared" si="4"/>
        <v>41</v>
      </c>
      <c r="G89" s="4">
        <f t="shared" si="5"/>
        <v>1681</v>
      </c>
      <c r="H89" s="5">
        <f>SQRT(SUM('r-pi-5'!$D$3:D89)/COUNTIF($A$3:A89,"&lt;&gt;0"))</f>
        <v>63.149703542227847</v>
      </c>
    </row>
    <row r="90" spans="1:8">
      <c r="A90">
        <v>88</v>
      </c>
      <c r="B90">
        <v>5</v>
      </c>
      <c r="C90">
        <v>4600</v>
      </c>
      <c r="D90">
        <v>4471</v>
      </c>
      <c r="E90" s="4">
        <f t="shared" si="3"/>
        <v>1</v>
      </c>
      <c r="F90" s="4">
        <f t="shared" si="4"/>
        <v>129</v>
      </c>
      <c r="G90" s="4">
        <f t="shared" si="5"/>
        <v>16641</v>
      </c>
      <c r="H90" s="5">
        <f>SQRT(SUM('r-pi-5'!$D$3:D90)/COUNTIF($A$3:A90,"&lt;&gt;0"))</f>
        <v>63.193156275027121</v>
      </c>
    </row>
    <row r="91" spans="1:8">
      <c r="A91">
        <v>89</v>
      </c>
      <c r="B91">
        <v>5</v>
      </c>
      <c r="C91">
        <v>4600</v>
      </c>
      <c r="D91">
        <v>4518</v>
      </c>
      <c r="E91" s="4">
        <f t="shared" si="3"/>
        <v>1</v>
      </c>
      <c r="F91" s="4">
        <f t="shared" si="4"/>
        <v>82</v>
      </c>
      <c r="G91" s="4">
        <f t="shared" si="5"/>
        <v>6724</v>
      </c>
      <c r="H91" s="5">
        <f>SQRT(SUM('r-pi-5'!$D$3:D91)/COUNTIF($A$3:A91,"&lt;&gt;0"))</f>
        <v>63.239779118220746</v>
      </c>
    </row>
    <row r="92" spans="1:8">
      <c r="A92">
        <v>90</v>
      </c>
      <c r="B92">
        <v>5</v>
      </c>
      <c r="C92">
        <v>4600</v>
      </c>
      <c r="D92">
        <v>4576</v>
      </c>
      <c r="E92" s="4">
        <f t="shared" si="3"/>
        <v>1</v>
      </c>
      <c r="F92" s="4">
        <f t="shared" si="4"/>
        <v>24</v>
      </c>
      <c r="G92" s="4">
        <f t="shared" si="5"/>
        <v>576</v>
      </c>
      <c r="H92" s="5">
        <f>SQRT(SUM('r-pi-5'!$D$3:D92)/COUNTIF($A$3:A92,"&lt;&gt;0"))</f>
        <v>63.290424060656903</v>
      </c>
    </row>
    <row r="93" spans="1:8">
      <c r="A93">
        <v>91</v>
      </c>
      <c r="B93">
        <v>5</v>
      </c>
      <c r="C93">
        <v>4600</v>
      </c>
      <c r="D93">
        <v>4611</v>
      </c>
      <c r="E93" s="4">
        <f t="shared" si="3"/>
        <v>1</v>
      </c>
      <c r="F93" s="4">
        <f t="shared" si="4"/>
        <v>11</v>
      </c>
      <c r="G93" s="4">
        <f t="shared" si="5"/>
        <v>121</v>
      </c>
      <c r="H93" s="5">
        <f>SQRT(SUM('r-pi-5'!$D$3:D93)/COUNTIF($A$3:A93,"&lt;&gt;0"))</f>
        <v>63.342952807156621</v>
      </c>
    </row>
    <row r="94" spans="1:8">
      <c r="A94">
        <v>92</v>
      </c>
      <c r="B94">
        <v>5</v>
      </c>
      <c r="C94">
        <v>4600</v>
      </c>
      <c r="D94">
        <v>4594</v>
      </c>
      <c r="E94" s="4">
        <f t="shared" si="3"/>
        <v>1</v>
      </c>
      <c r="F94" s="4">
        <f t="shared" si="4"/>
        <v>6</v>
      </c>
      <c r="G94" s="4">
        <f t="shared" si="5"/>
        <v>36</v>
      </c>
      <c r="H94" s="5">
        <f>SQRT(SUM('r-pi-5'!$D$3:D94)/COUNTIF($A$3:A94,"&lt;&gt;0"))</f>
        <v>63.392840083979856</v>
      </c>
    </row>
    <row r="95" spans="1:8">
      <c r="A95">
        <v>93</v>
      </c>
      <c r="B95">
        <v>5</v>
      </c>
      <c r="C95">
        <v>4600</v>
      </c>
      <c r="D95">
        <v>4658</v>
      </c>
      <c r="E95" s="4">
        <f t="shared" si="3"/>
        <v>1</v>
      </c>
      <c r="F95" s="4">
        <f t="shared" si="4"/>
        <v>58</v>
      </c>
      <c r="G95" s="4">
        <f t="shared" si="5"/>
        <v>3364</v>
      </c>
      <c r="H95" s="5">
        <f>SQRT(SUM('r-pi-5'!$D$3:D95)/COUNTIF($A$3:A95,"&lt;&gt;0"))</f>
        <v>63.447039976033793</v>
      </c>
    </row>
    <row r="96" spans="1:8">
      <c r="A96">
        <v>94</v>
      </c>
      <c r="B96">
        <v>5</v>
      </c>
      <c r="C96">
        <v>4600</v>
      </c>
      <c r="D96">
        <v>4560</v>
      </c>
      <c r="E96" s="4">
        <f t="shared" si="3"/>
        <v>1</v>
      </c>
      <c r="F96" s="4">
        <f t="shared" si="4"/>
        <v>40</v>
      </c>
      <c r="G96" s="4">
        <f t="shared" si="5"/>
        <v>1600</v>
      </c>
      <c r="H96" s="5">
        <f>SQRT(SUM('r-pi-5'!$D$3:D96)/COUNTIF($A$3:A96,"&lt;&gt;0"))</f>
        <v>63.491832277525639</v>
      </c>
    </row>
    <row r="97" spans="1:8">
      <c r="A97">
        <v>95</v>
      </c>
      <c r="B97">
        <v>5</v>
      </c>
      <c r="C97">
        <v>4600</v>
      </c>
      <c r="D97">
        <v>4576</v>
      </c>
      <c r="E97" s="4">
        <f t="shared" si="3"/>
        <v>1</v>
      </c>
      <c r="F97" s="4">
        <f t="shared" si="4"/>
        <v>24</v>
      </c>
      <c r="G97" s="4">
        <f t="shared" si="5"/>
        <v>576</v>
      </c>
      <c r="H97" s="5">
        <f>SQRT(SUM('r-pi-5'!$D$3:D97)/COUNTIF($A$3:A97,"&lt;&gt;0"))</f>
        <v>63.536976387148393</v>
      </c>
    </row>
    <row r="98" spans="1:8">
      <c r="A98">
        <v>96</v>
      </c>
      <c r="B98">
        <v>5</v>
      </c>
      <c r="C98">
        <v>4600</v>
      </c>
      <c r="D98">
        <v>4636</v>
      </c>
      <c r="E98" s="4">
        <f t="shared" si="3"/>
        <v>1</v>
      </c>
      <c r="F98" s="4">
        <f t="shared" si="4"/>
        <v>36</v>
      </c>
      <c r="G98" s="4">
        <f t="shared" si="5"/>
        <v>1296</v>
      </c>
      <c r="H98" s="5">
        <f>SQRT(SUM('r-pi-5'!$D$3:D98)/COUNTIF($A$3:A98,"&lt;&gt;0"))</f>
        <v>63.586063724687349</v>
      </c>
    </row>
    <row r="99" spans="1:8">
      <c r="A99">
        <v>97</v>
      </c>
      <c r="B99">
        <v>5</v>
      </c>
      <c r="C99">
        <v>4600</v>
      </c>
      <c r="D99">
        <v>4460</v>
      </c>
      <c r="E99" s="4">
        <f t="shared" si="3"/>
        <v>1</v>
      </c>
      <c r="F99" s="4">
        <f t="shared" si="4"/>
        <v>140</v>
      </c>
      <c r="G99" s="4">
        <f t="shared" si="5"/>
        <v>19600</v>
      </c>
      <c r="H99" s="5">
        <f>SQRT(SUM('r-pi-5'!$D$3:D99)/COUNTIF($A$3:A99,"&lt;&gt;0"))</f>
        <v>63.619843886027212</v>
      </c>
    </row>
    <row r="100" spans="1:8">
      <c r="A100">
        <v>98</v>
      </c>
      <c r="B100">
        <v>5</v>
      </c>
      <c r="C100">
        <v>4600</v>
      </c>
      <c r="D100">
        <v>4515</v>
      </c>
      <c r="E100" s="4">
        <f t="shared" si="3"/>
        <v>1</v>
      </c>
      <c r="F100" s="4">
        <f t="shared" si="4"/>
        <v>85</v>
      </c>
      <c r="G100" s="4">
        <f t="shared" si="5"/>
        <v>7225</v>
      </c>
      <c r="H100" s="5">
        <f>SQRT(SUM('r-pi-5'!$D$3:D100)/COUNTIF($A$3:A100,"&lt;&gt;0"))</f>
        <v>63.657325596044451</v>
      </c>
    </row>
    <row r="101" spans="1:8">
      <c r="A101">
        <v>99</v>
      </c>
      <c r="B101">
        <v>5</v>
      </c>
      <c r="C101">
        <v>4600</v>
      </c>
      <c r="D101">
        <v>4627</v>
      </c>
      <c r="E101" s="4">
        <f t="shared" si="3"/>
        <v>1</v>
      </c>
      <c r="F101" s="4">
        <f t="shared" si="4"/>
        <v>27</v>
      </c>
      <c r="G101" s="4">
        <f t="shared" si="5"/>
        <v>729</v>
      </c>
      <c r="H101" s="5">
        <f>SQRT(SUM('r-pi-5'!$D$3:D101)/COUNTIF($A$3:A101,"&lt;&gt;0"))</f>
        <v>63.702908929346435</v>
      </c>
    </row>
    <row r="102" spans="1:8">
      <c r="A102">
        <v>100</v>
      </c>
      <c r="B102">
        <v>5</v>
      </c>
      <c r="C102">
        <v>4600</v>
      </c>
      <c r="D102">
        <v>4542</v>
      </c>
      <c r="E102" s="4">
        <f t="shared" si="3"/>
        <v>1</v>
      </c>
      <c r="F102" s="4">
        <f t="shared" si="4"/>
        <v>58</v>
      </c>
      <c r="G102" s="4">
        <f t="shared" si="5"/>
        <v>3364</v>
      </c>
      <c r="H102" s="5">
        <f>SQRT(SUM('r-pi-5'!$D$3:D102)/COUNTIF($A$3:A102,"&lt;&gt;0"))</f>
        <v>63.74088170083624</v>
      </c>
    </row>
    <row r="103" spans="1:8">
      <c r="A103">
        <v>101</v>
      </c>
      <c r="B103">
        <v>5</v>
      </c>
      <c r="C103">
        <v>4600</v>
      </c>
      <c r="D103">
        <v>4552</v>
      </c>
      <c r="E103" s="4">
        <f t="shared" si="3"/>
        <v>1</v>
      </c>
      <c r="F103" s="4">
        <f t="shared" si="4"/>
        <v>48</v>
      </c>
      <c r="G103" s="4">
        <f t="shared" si="5"/>
        <v>2304</v>
      </c>
      <c r="H103" s="5">
        <f>SQRT(SUM('r-pi-5'!$D$3:D103)/COUNTIF($A$3:A103,"&lt;&gt;0"))</f>
        <v>63.778856796413542</v>
      </c>
    </row>
    <row r="104" spans="1:8">
      <c r="A104">
        <v>102</v>
      </c>
      <c r="B104">
        <v>5</v>
      </c>
      <c r="C104">
        <v>4600</v>
      </c>
      <c r="D104">
        <v>4475</v>
      </c>
      <c r="E104" s="4">
        <f t="shared" si="3"/>
        <v>1</v>
      </c>
      <c r="F104" s="4">
        <f t="shared" si="4"/>
        <v>125</v>
      </c>
      <c r="G104" s="4">
        <f t="shared" si="5"/>
        <v>15625</v>
      </c>
      <c r="H104" s="5">
        <f>SQRT(SUM('r-pi-5'!$D$3:D104)/COUNTIF($A$3:A104,"&lt;&gt;0"))</f>
        <v>63.810150400368492</v>
      </c>
    </row>
    <row r="105" spans="1:8">
      <c r="A105">
        <v>103</v>
      </c>
      <c r="B105">
        <v>5</v>
      </c>
      <c r="C105">
        <v>4600</v>
      </c>
      <c r="D105">
        <v>4562</v>
      </c>
      <c r="E105" s="4">
        <f t="shared" si="3"/>
        <v>1</v>
      </c>
      <c r="F105" s="4">
        <f t="shared" si="4"/>
        <v>38</v>
      </c>
      <c r="G105" s="4">
        <f t="shared" si="5"/>
        <v>1444</v>
      </c>
      <c r="H105" s="5">
        <f>SQRT(SUM('r-pi-5'!$D$3:D105)/COUNTIF($A$3:A105,"&lt;&gt;0"))</f>
        <v>63.847436484412341</v>
      </c>
    </row>
    <row r="106" spans="1:8">
      <c r="A106">
        <v>104</v>
      </c>
      <c r="B106">
        <v>5</v>
      </c>
      <c r="C106">
        <v>4600</v>
      </c>
      <c r="D106">
        <v>4526</v>
      </c>
      <c r="E106" s="4">
        <f t="shared" si="3"/>
        <v>1</v>
      </c>
      <c r="F106" s="4">
        <f t="shared" si="4"/>
        <v>74</v>
      </c>
      <c r="G106" s="4">
        <f t="shared" si="5"/>
        <v>5476</v>
      </c>
      <c r="H106" s="5">
        <f>SQRT(SUM('r-pi-5'!$D$3:D106)/COUNTIF($A$3:A106,"&lt;&gt;0"))</f>
        <v>63.88127509444616</v>
      </c>
    </row>
    <row r="107" spans="1:8">
      <c r="A107">
        <v>105</v>
      </c>
      <c r="B107">
        <v>5</v>
      </c>
      <c r="C107">
        <v>4600</v>
      </c>
      <c r="D107">
        <v>4513</v>
      </c>
      <c r="E107" s="4">
        <f t="shared" si="3"/>
        <v>1</v>
      </c>
      <c r="F107" s="4">
        <f t="shared" si="4"/>
        <v>87</v>
      </c>
      <c r="G107" s="4">
        <f t="shared" si="5"/>
        <v>7569</v>
      </c>
      <c r="H107" s="5">
        <f>SQRT(SUM('r-pi-5'!$D$3:D107)/COUNTIF($A$3:A107,"&lt;&gt;0"))</f>
        <v>63.913483188865037</v>
      </c>
    </row>
    <row r="108" spans="1:8">
      <c r="A108">
        <v>106</v>
      </c>
      <c r="B108">
        <v>5</v>
      </c>
      <c r="C108">
        <v>4600</v>
      </c>
      <c r="D108">
        <v>4560</v>
      </c>
      <c r="E108" s="4">
        <f t="shared" si="3"/>
        <v>1</v>
      </c>
      <c r="F108" s="4">
        <f t="shared" si="4"/>
        <v>40</v>
      </c>
      <c r="G108" s="4">
        <f t="shared" si="5"/>
        <v>1600</v>
      </c>
      <c r="H108" s="5">
        <f>SQRT(SUM('r-pi-5'!$D$3:D108)/COUNTIF($A$3:A108,"&lt;&gt;0"))</f>
        <v>63.948534731763971</v>
      </c>
    </row>
    <row r="109" spans="1:8">
      <c r="A109">
        <v>107</v>
      </c>
      <c r="B109">
        <v>5</v>
      </c>
      <c r="C109">
        <v>4600</v>
      </c>
      <c r="D109">
        <v>4539</v>
      </c>
      <c r="E109" s="4">
        <f t="shared" si="3"/>
        <v>1</v>
      </c>
      <c r="F109" s="4">
        <f t="shared" si="4"/>
        <v>61</v>
      </c>
      <c r="G109" s="4">
        <f t="shared" si="5"/>
        <v>3721</v>
      </c>
      <c r="H109" s="5">
        <f>SQRT(SUM('r-pi-5'!$D$3:D109)/COUNTIF($A$3:A109,"&lt;&gt;0"))</f>
        <v>63.981378716232015</v>
      </c>
    </row>
    <row r="110" spans="1:8">
      <c r="A110">
        <v>108</v>
      </c>
      <c r="B110">
        <v>5</v>
      </c>
      <c r="C110">
        <v>4600</v>
      </c>
      <c r="D110">
        <v>4567</v>
      </c>
      <c r="E110" s="4">
        <f t="shared" si="3"/>
        <v>1</v>
      </c>
      <c r="F110" s="4">
        <f t="shared" si="4"/>
        <v>33</v>
      </c>
      <c r="G110" s="4">
        <f t="shared" si="5"/>
        <v>1089</v>
      </c>
      <c r="H110" s="5">
        <f>SQRT(SUM('r-pi-5'!$D$3:D110)/COUNTIF($A$3:A110,"&lt;&gt;0"))</f>
        <v>64.015623093116886</v>
      </c>
    </row>
    <row r="111" spans="1:8">
      <c r="A111">
        <v>109</v>
      </c>
      <c r="B111">
        <v>5</v>
      </c>
      <c r="C111">
        <v>4600</v>
      </c>
      <c r="D111">
        <v>4488</v>
      </c>
      <c r="E111" s="4">
        <f t="shared" si="3"/>
        <v>1</v>
      </c>
      <c r="F111" s="4">
        <f t="shared" si="4"/>
        <v>112</v>
      </c>
      <c r="G111" s="4">
        <f t="shared" si="5"/>
        <v>12544</v>
      </c>
      <c r="H111" s="5">
        <f>SQRT(SUM('r-pi-5'!$D$3:D111)/COUNTIF($A$3:A111,"&lt;&gt;0"))</f>
        <v>64.043563155491086</v>
      </c>
    </row>
    <row r="112" spans="1:8">
      <c r="A112">
        <v>110</v>
      </c>
      <c r="B112">
        <v>5</v>
      </c>
      <c r="C112">
        <v>4600</v>
      </c>
      <c r="D112">
        <v>4535</v>
      </c>
      <c r="E112" s="4">
        <f t="shared" si="3"/>
        <v>1</v>
      </c>
      <c r="F112" s="4">
        <f t="shared" si="4"/>
        <v>65</v>
      </c>
      <c r="G112" s="4">
        <f t="shared" si="5"/>
        <v>4225</v>
      </c>
      <c r="H112" s="5">
        <f>SQRT(SUM('r-pi-5'!$D$3:D112)/COUNTIF($A$3:A112,"&lt;&gt;0"))</f>
        <v>64.074317646137928</v>
      </c>
    </row>
    <row r="113" spans="1:8">
      <c r="A113">
        <v>111</v>
      </c>
      <c r="B113">
        <v>5</v>
      </c>
      <c r="C113">
        <v>4600</v>
      </c>
      <c r="D113">
        <v>4584</v>
      </c>
      <c r="E113" s="4">
        <f t="shared" si="3"/>
        <v>1</v>
      </c>
      <c r="F113" s="4">
        <f t="shared" si="4"/>
        <v>16</v>
      </c>
      <c r="G113" s="4">
        <f t="shared" si="5"/>
        <v>256</v>
      </c>
      <c r="H113" s="5">
        <f>SQRT(SUM('r-pi-5'!$D$3:D113)/COUNTIF($A$3:A113,"&lt;&gt;0"))</f>
        <v>64.107946690163374</v>
      </c>
    </row>
    <row r="114" spans="1:8">
      <c r="A114">
        <v>112</v>
      </c>
      <c r="B114">
        <v>5</v>
      </c>
      <c r="C114">
        <v>4600</v>
      </c>
      <c r="D114">
        <v>4322</v>
      </c>
      <c r="E114" s="4">
        <f t="shared" si="3"/>
        <v>1</v>
      </c>
      <c r="F114" s="4">
        <f t="shared" si="4"/>
        <v>278</v>
      </c>
      <c r="G114" s="4">
        <f t="shared" si="5"/>
        <v>77284</v>
      </c>
      <c r="H114" s="5">
        <f>SQRT(SUM('r-pi-5'!$D$3:D114)/COUNTIF($A$3:A114,"&lt;&gt;0"))</f>
        <v>64.122719953895555</v>
      </c>
    </row>
    <row r="115" spans="1:8">
      <c r="A115">
        <v>113</v>
      </c>
      <c r="B115">
        <v>5</v>
      </c>
      <c r="C115">
        <v>4600</v>
      </c>
      <c r="D115">
        <v>4433</v>
      </c>
      <c r="E115" s="4">
        <f t="shared" si="3"/>
        <v>1</v>
      </c>
      <c r="F115" s="4">
        <f t="shared" si="4"/>
        <v>167</v>
      </c>
      <c r="G115" s="4">
        <f t="shared" si="5"/>
        <v>27889</v>
      </c>
      <c r="H115" s="5">
        <f>SQRT(SUM('r-pi-5'!$D$3:D115)/COUNTIF($A$3:A115,"&lt;&gt;0"))</f>
        <v>64.144885779627174</v>
      </c>
    </row>
    <row r="116" spans="1:8">
      <c r="A116">
        <v>114</v>
      </c>
      <c r="B116">
        <v>5</v>
      </c>
      <c r="C116">
        <v>4600</v>
      </c>
      <c r="D116">
        <v>4561</v>
      </c>
      <c r="E116" s="4">
        <f t="shared" si="3"/>
        <v>1</v>
      </c>
      <c r="F116" s="4">
        <f t="shared" si="4"/>
        <v>39</v>
      </c>
      <c r="G116" s="4">
        <f t="shared" si="5"/>
        <v>1521</v>
      </c>
      <c r="H116" s="5">
        <f>SQRT(SUM('r-pi-5'!$D$3:D116)/COUNTIF($A$3:A116,"&lt;&gt;0"))</f>
        <v>64.175403825300165</v>
      </c>
    </row>
    <row r="117" spans="1:8">
      <c r="A117">
        <v>115</v>
      </c>
      <c r="B117">
        <v>5</v>
      </c>
      <c r="C117">
        <v>4600</v>
      </c>
      <c r="D117">
        <v>4600</v>
      </c>
      <c r="E117" s="4">
        <f t="shared" si="3"/>
        <v>1</v>
      </c>
      <c r="F117" s="4">
        <f t="shared" si="4"/>
        <v>0</v>
      </c>
      <c r="G117" s="4">
        <f t="shared" si="5"/>
        <v>0</v>
      </c>
      <c r="H117" s="5">
        <f>SQRT(SUM('r-pi-5'!$D$3:D117)/COUNTIF($A$3:A117,"&lt;&gt;0"))</f>
        <v>64.208017920018307</v>
      </c>
    </row>
    <row r="118" spans="1:8">
      <c r="A118">
        <v>116</v>
      </c>
      <c r="B118">
        <v>5</v>
      </c>
      <c r="C118">
        <v>4600</v>
      </c>
      <c r="D118">
        <v>4417</v>
      </c>
      <c r="E118" s="4">
        <f t="shared" si="3"/>
        <v>1</v>
      </c>
      <c r="F118" s="4">
        <f t="shared" si="4"/>
        <v>183</v>
      </c>
      <c r="G118" s="4">
        <f t="shared" si="5"/>
        <v>33489</v>
      </c>
      <c r="H118" s="5">
        <f>SQRT(SUM('r-pi-5'!$D$3:D118)/COUNTIF($A$3:A118,"&lt;&gt;0"))</f>
        <v>64.227773560600113</v>
      </c>
    </row>
    <row r="119" spans="1:8">
      <c r="A119">
        <v>117</v>
      </c>
      <c r="B119">
        <v>5</v>
      </c>
      <c r="C119">
        <v>4600</v>
      </c>
      <c r="D119">
        <v>4574</v>
      </c>
      <c r="E119" s="4">
        <f t="shared" si="3"/>
        <v>1</v>
      </c>
      <c r="F119" s="4">
        <f t="shared" si="4"/>
        <v>26</v>
      </c>
      <c r="G119" s="4">
        <f t="shared" si="5"/>
        <v>676</v>
      </c>
      <c r="H119" s="5">
        <f>SQRT(SUM('r-pi-5'!$D$3:D119)/COUNTIF($A$3:A119,"&lt;&gt;0"))</f>
        <v>64.257627835477521</v>
      </c>
    </row>
    <row r="120" spans="1:8">
      <c r="A120">
        <v>118</v>
      </c>
      <c r="B120">
        <v>5</v>
      </c>
      <c r="C120">
        <v>4600</v>
      </c>
      <c r="D120">
        <v>4563</v>
      </c>
      <c r="E120" s="4">
        <f t="shared" si="3"/>
        <v>1</v>
      </c>
      <c r="F120" s="4">
        <f t="shared" si="4"/>
        <v>37</v>
      </c>
      <c r="G120" s="4">
        <f t="shared" si="5"/>
        <v>1369</v>
      </c>
      <c r="H120" s="5">
        <f>SQRT(SUM('r-pi-5'!$D$3:D120)/COUNTIF($A$3:A120,"&lt;&gt;0"))</f>
        <v>64.286237555040117</v>
      </c>
    </row>
    <row r="121" spans="1:8">
      <c r="A121">
        <v>119</v>
      </c>
      <c r="B121">
        <v>5</v>
      </c>
      <c r="C121">
        <v>4600</v>
      </c>
      <c r="D121">
        <v>4592</v>
      </c>
      <c r="E121" s="4">
        <f t="shared" si="3"/>
        <v>1</v>
      </c>
      <c r="F121" s="4">
        <f t="shared" si="4"/>
        <v>8</v>
      </c>
      <c r="G121" s="4">
        <f t="shared" si="5"/>
        <v>64</v>
      </c>
      <c r="H121" s="5">
        <f>SQRT(SUM('r-pi-5'!$D$3:D121)/COUNTIF($A$3:A121,"&lt;&gt;0"))</f>
        <v>64.316248584107996</v>
      </c>
    </row>
    <row r="122" spans="1:8">
      <c r="A122">
        <v>120</v>
      </c>
      <c r="B122">
        <v>5</v>
      </c>
      <c r="C122">
        <v>4600</v>
      </c>
      <c r="D122">
        <v>4401</v>
      </c>
      <c r="E122" s="4">
        <f t="shared" si="3"/>
        <v>1</v>
      </c>
      <c r="F122" s="4">
        <f t="shared" si="4"/>
        <v>199</v>
      </c>
      <c r="G122" s="4">
        <f t="shared" si="5"/>
        <v>39601</v>
      </c>
      <c r="H122" s="5">
        <f>SQRT(SUM('r-pi-5'!$D$3:D122)/COUNTIF($A$3:A122,"&lt;&gt;0"))</f>
        <v>64.333376511211767</v>
      </c>
    </row>
    <row r="123" spans="1:8">
      <c r="A123">
        <v>121</v>
      </c>
      <c r="B123">
        <v>5</v>
      </c>
      <c r="C123">
        <v>4600</v>
      </c>
      <c r="D123">
        <v>4407</v>
      </c>
      <c r="E123" s="4">
        <f t="shared" si="3"/>
        <v>1</v>
      </c>
      <c r="F123" s="4">
        <f t="shared" si="4"/>
        <v>193</v>
      </c>
      <c r="G123" s="4">
        <f t="shared" si="5"/>
        <v>37249</v>
      </c>
      <c r="H123" s="5">
        <f>SQRT(SUM('r-pi-5'!$D$3:D123)/COUNTIF($A$3:A123,"&lt;&gt;0"))</f>
        <v>64.350602172784676</v>
      </c>
    </row>
    <row r="124" spans="1:8">
      <c r="A124">
        <v>122</v>
      </c>
      <c r="B124">
        <v>5</v>
      </c>
      <c r="C124">
        <v>4600</v>
      </c>
      <c r="D124">
        <v>4268</v>
      </c>
      <c r="E124" s="4">
        <f t="shared" si="3"/>
        <v>1</v>
      </c>
      <c r="F124" s="4">
        <f t="shared" si="4"/>
        <v>332</v>
      </c>
      <c r="G124" s="4">
        <f t="shared" si="5"/>
        <v>110224</v>
      </c>
      <c r="H124" s="5">
        <f>SQRT(SUM('r-pi-5'!$D$3:D124)/COUNTIF($A$3:A124,"&lt;&gt;0"))</f>
        <v>64.358690039547554</v>
      </c>
    </row>
    <row r="125" spans="1:8">
      <c r="A125">
        <v>123</v>
      </c>
      <c r="B125">
        <v>5</v>
      </c>
      <c r="C125">
        <v>4600</v>
      </c>
      <c r="D125">
        <v>4697</v>
      </c>
      <c r="E125" s="4">
        <f t="shared" si="3"/>
        <v>1</v>
      </c>
      <c r="F125" s="4">
        <f t="shared" si="4"/>
        <v>97</v>
      </c>
      <c r="G125" s="4">
        <f t="shared" si="5"/>
        <v>9409</v>
      </c>
      <c r="H125" s="5">
        <f>SQRT(SUM('r-pi-5'!$D$3:D125)/COUNTIF($A$3:A125,"&lt;&gt;0"))</f>
        <v>64.393732967800958</v>
      </c>
    </row>
    <row r="126" spans="1:8">
      <c r="A126">
        <v>124</v>
      </c>
      <c r="B126">
        <v>5</v>
      </c>
      <c r="C126">
        <v>4600</v>
      </c>
      <c r="D126">
        <v>4507</v>
      </c>
      <c r="E126" s="4">
        <f t="shared" si="3"/>
        <v>1</v>
      </c>
      <c r="F126" s="4">
        <f t="shared" si="4"/>
        <v>93</v>
      </c>
      <c r="G126" s="4">
        <f t="shared" si="5"/>
        <v>8649</v>
      </c>
      <c r="H126" s="5">
        <f>SQRT(SUM('r-pi-5'!$D$3:D126)/COUNTIF($A$3:A126,"&lt;&gt;0"))</f>
        <v>64.416299780562952</v>
      </c>
    </row>
    <row r="127" spans="1:8">
      <c r="A127">
        <v>125</v>
      </c>
      <c r="B127">
        <v>5</v>
      </c>
      <c r="C127">
        <v>4600</v>
      </c>
      <c r="D127">
        <v>4454</v>
      </c>
      <c r="E127" s="4">
        <f t="shared" si="3"/>
        <v>1</v>
      </c>
      <c r="F127" s="4">
        <f t="shared" si="4"/>
        <v>146</v>
      </c>
      <c r="G127" s="4">
        <f t="shared" si="5"/>
        <v>21316</v>
      </c>
      <c r="H127" s="5">
        <f>SQRT(SUM('r-pi-5'!$D$3:D127)/COUNTIF($A$3:A127,"&lt;&gt;0"))</f>
        <v>64.435207767182689</v>
      </c>
    </row>
    <row r="128" spans="1:8">
      <c r="A128">
        <v>126</v>
      </c>
      <c r="B128">
        <v>5</v>
      </c>
      <c r="C128">
        <v>4600</v>
      </c>
      <c r="D128">
        <v>4592</v>
      </c>
      <c r="E128" s="4">
        <f t="shared" si="3"/>
        <v>1</v>
      </c>
      <c r="F128" s="4">
        <f t="shared" si="4"/>
        <v>8</v>
      </c>
      <c r="G128" s="4">
        <f t="shared" si="5"/>
        <v>64</v>
      </c>
      <c r="H128" s="5">
        <f>SQRT(SUM('r-pi-5'!$D$3:D128)/COUNTIF($A$3:A128,"&lt;&gt;0"))</f>
        <v>64.462305953858717</v>
      </c>
    </row>
    <row r="129" spans="1:8">
      <c r="A129">
        <v>127</v>
      </c>
      <c r="B129">
        <v>5</v>
      </c>
      <c r="C129">
        <v>4600</v>
      </c>
      <c r="D129">
        <v>4573</v>
      </c>
      <c r="E129" s="4">
        <f t="shared" si="3"/>
        <v>1</v>
      </c>
      <c r="F129" s="4">
        <f t="shared" si="4"/>
        <v>27</v>
      </c>
      <c r="G129" s="4">
        <f t="shared" si="5"/>
        <v>729</v>
      </c>
      <c r="H129" s="5">
        <f>SQRT(SUM('r-pi-5'!$D$3:D129)/COUNTIF($A$3:A129,"&lt;&gt;0"))</f>
        <v>64.487806330765594</v>
      </c>
    </row>
    <row r="130" spans="1:8">
      <c r="A130">
        <v>128</v>
      </c>
      <c r="B130">
        <v>5</v>
      </c>
      <c r="C130">
        <v>4600</v>
      </c>
      <c r="D130">
        <v>4670</v>
      </c>
      <c r="E130" s="4">
        <f t="shared" si="3"/>
        <v>1</v>
      </c>
      <c r="F130" s="4">
        <f t="shared" si="4"/>
        <v>70</v>
      </c>
      <c r="G130" s="4">
        <f t="shared" si="5"/>
        <v>4900</v>
      </c>
      <c r="H130" s="5">
        <f>SQRT(SUM('r-pi-5'!$D$3:D130)/COUNTIF($A$3:A130,"&lt;&gt;0"))</f>
        <v>64.518771493263884</v>
      </c>
    </row>
    <row r="131" spans="1:8">
      <c r="A131">
        <v>129</v>
      </c>
      <c r="B131">
        <v>5</v>
      </c>
      <c r="C131">
        <v>4600</v>
      </c>
      <c r="D131">
        <v>4527</v>
      </c>
      <c r="E131" s="4">
        <f t="shared" si="3"/>
        <v>1</v>
      </c>
      <c r="F131" s="4">
        <f t="shared" si="4"/>
        <v>73</v>
      </c>
      <c r="G131" s="4">
        <f t="shared" si="5"/>
        <v>5329</v>
      </c>
      <c r="H131" s="5">
        <f>SQRT(SUM('r-pi-5'!$D$3:D131)/COUNTIF($A$3:A131,"&lt;&gt;0"))</f>
        <v>64.540654815635449</v>
      </c>
    </row>
    <row r="132" spans="1:8">
      <c r="A132">
        <v>130</v>
      </c>
      <c r="B132">
        <v>5</v>
      </c>
      <c r="C132">
        <v>4600</v>
      </c>
      <c r="D132">
        <v>4506</v>
      </c>
      <c r="E132" s="4">
        <f t="shared" ref="E132:E152" si="6">IF(AND(D132&lt;=C132*1.2,D132&gt;=C132*0.8),1,0)</f>
        <v>1</v>
      </c>
      <c r="F132" s="4">
        <f t="shared" ref="F132:F152" si="7">ABS(C132-D132)</f>
        <v>94</v>
      </c>
      <c r="G132" s="4">
        <f t="shared" ref="G132:G152" si="8">POWER(F132,2)</f>
        <v>8836</v>
      </c>
      <c r="H132" s="5">
        <f>SQRT(SUM('r-pi-5'!$D$3:D132)/COUNTIF($A$3:A132,"&lt;&gt;0"))</f>
        <v>64.560943182510783</v>
      </c>
    </row>
    <row r="133" spans="1:8">
      <c r="A133">
        <v>131</v>
      </c>
      <c r="B133">
        <v>5</v>
      </c>
      <c r="C133">
        <v>4600</v>
      </c>
      <c r="D133">
        <v>4604</v>
      </c>
      <c r="E133" s="4">
        <f t="shared" si="6"/>
        <v>1</v>
      </c>
      <c r="F133" s="4">
        <f t="shared" si="7"/>
        <v>4</v>
      </c>
      <c r="G133" s="4">
        <f t="shared" si="8"/>
        <v>16</v>
      </c>
      <c r="H133" s="5">
        <f>SQRT(SUM('r-pi-5'!$D$3:D133)/COUNTIF($A$3:A133,"&lt;&gt;0"))</f>
        <v>64.586707208926541</v>
      </c>
    </row>
    <row r="134" spans="1:8">
      <c r="A134">
        <v>132</v>
      </c>
      <c r="B134">
        <v>5</v>
      </c>
      <c r="C134">
        <v>4600</v>
      </c>
      <c r="D134">
        <v>4668</v>
      </c>
      <c r="E134" s="4">
        <f t="shared" si="6"/>
        <v>1</v>
      </c>
      <c r="F134" s="4">
        <f t="shared" si="7"/>
        <v>68</v>
      </c>
      <c r="G134" s="4">
        <f t="shared" si="8"/>
        <v>4624</v>
      </c>
      <c r="H134" s="5">
        <f>SQRT(SUM('r-pi-5'!$D$3:D134)/COUNTIF($A$3:A134,"&lt;&gt;0"))</f>
        <v>64.615822717462521</v>
      </c>
    </row>
    <row r="135" spans="1:8">
      <c r="A135">
        <v>133</v>
      </c>
      <c r="B135">
        <v>5</v>
      </c>
      <c r="C135">
        <v>4600</v>
      </c>
      <c r="D135">
        <v>4392</v>
      </c>
      <c r="E135" s="4">
        <f t="shared" si="6"/>
        <v>1</v>
      </c>
      <c r="F135" s="4">
        <f t="shared" si="7"/>
        <v>208</v>
      </c>
      <c r="G135" s="4">
        <f t="shared" si="8"/>
        <v>43264</v>
      </c>
      <c r="H135" s="5">
        <f>SQRT(SUM('r-pi-5'!$D$3:D135)/COUNTIF($A$3:A135,"&lt;&gt;0"))</f>
        <v>64.628434813680613</v>
      </c>
    </row>
    <row r="136" spans="1:8">
      <c r="A136">
        <v>134</v>
      </c>
      <c r="B136">
        <v>5</v>
      </c>
      <c r="C136">
        <v>4600</v>
      </c>
      <c r="D136">
        <v>4652</v>
      </c>
      <c r="E136" s="4">
        <f t="shared" si="6"/>
        <v>1</v>
      </c>
      <c r="F136" s="4">
        <f t="shared" si="7"/>
        <v>52</v>
      </c>
      <c r="G136" s="4">
        <f t="shared" si="8"/>
        <v>2704</v>
      </c>
      <c r="H136" s="5">
        <f>SQRT(SUM('r-pi-5'!$D$3:D136)/COUNTIF($A$3:A136,"&lt;&gt;0"))</f>
        <v>64.65586282012579</v>
      </c>
    </row>
    <row r="137" spans="1:8">
      <c r="A137">
        <v>135</v>
      </c>
      <c r="B137">
        <v>5</v>
      </c>
      <c r="C137">
        <v>4600</v>
      </c>
      <c r="D137">
        <v>4493</v>
      </c>
      <c r="E137" s="4">
        <f t="shared" si="6"/>
        <v>1</v>
      </c>
      <c r="F137" s="4">
        <f t="shared" si="7"/>
        <v>107</v>
      </c>
      <c r="G137" s="4">
        <f t="shared" si="8"/>
        <v>11449</v>
      </c>
      <c r="H137" s="5">
        <f>SQRT(SUM('r-pi-5'!$D$3:D137)/COUNTIF($A$3:A137,"&lt;&gt;0"))</f>
        <v>64.673768224035754</v>
      </c>
    </row>
    <row r="138" spans="1:8">
      <c r="A138">
        <v>136</v>
      </c>
      <c r="B138">
        <v>5</v>
      </c>
      <c r="C138">
        <v>4600</v>
      </c>
      <c r="D138">
        <v>4565</v>
      </c>
      <c r="E138" s="4">
        <f t="shared" si="6"/>
        <v>1</v>
      </c>
      <c r="F138" s="4">
        <f t="shared" si="7"/>
        <v>35</v>
      </c>
      <c r="G138" s="4">
        <f t="shared" si="8"/>
        <v>1225</v>
      </c>
      <c r="H138" s="5">
        <f>SQRT(SUM('r-pi-5'!$D$3:D138)/COUNTIF($A$3:A138,"&lt;&gt;0"))</f>
        <v>64.695497161248994</v>
      </c>
    </row>
    <row r="139" spans="1:8">
      <c r="A139">
        <v>137</v>
      </c>
      <c r="B139">
        <v>5</v>
      </c>
      <c r="C139">
        <v>4600</v>
      </c>
      <c r="D139">
        <v>4521</v>
      </c>
      <c r="E139" s="4">
        <f t="shared" si="6"/>
        <v>1</v>
      </c>
      <c r="F139" s="4">
        <f t="shared" si="7"/>
        <v>79</v>
      </c>
      <c r="G139" s="4">
        <f t="shared" si="8"/>
        <v>6241</v>
      </c>
      <c r="H139" s="5">
        <f>SQRT(SUM('r-pi-5'!$D$3:D139)/COUNTIF($A$3:A139,"&lt;&gt;0"))</f>
        <v>64.714420374284146</v>
      </c>
    </row>
    <row r="140" spans="1:8">
      <c r="A140">
        <v>138</v>
      </c>
      <c r="B140">
        <v>5</v>
      </c>
      <c r="C140">
        <v>4600</v>
      </c>
      <c r="D140">
        <v>4546</v>
      </c>
      <c r="E140" s="4">
        <f t="shared" si="6"/>
        <v>1</v>
      </c>
      <c r="F140" s="4">
        <f t="shared" si="7"/>
        <v>54</v>
      </c>
      <c r="G140" s="4">
        <f t="shared" si="8"/>
        <v>2916</v>
      </c>
      <c r="H140" s="5">
        <f>SQRT(SUM('r-pi-5'!$D$3:D140)/COUNTIF($A$3:A140,"&lt;&gt;0"))</f>
        <v>64.734463191083009</v>
      </c>
    </row>
    <row r="141" spans="1:8">
      <c r="A141">
        <v>139</v>
      </c>
      <c r="B141">
        <v>5</v>
      </c>
      <c r="C141">
        <v>4600</v>
      </c>
      <c r="D141">
        <v>4605</v>
      </c>
      <c r="E141" s="4">
        <f t="shared" si="6"/>
        <v>1</v>
      </c>
      <c r="F141" s="4">
        <f t="shared" si="7"/>
        <v>5</v>
      </c>
      <c r="G141" s="4">
        <f t="shared" si="8"/>
        <v>25</v>
      </c>
      <c r="H141" s="5">
        <f>SQRT(SUM('r-pi-5'!$D$3:D141)/COUNTIF($A$3:A141,"&lt;&gt;0"))</f>
        <v>64.757488942212078</v>
      </c>
    </row>
    <row r="142" spans="1:8">
      <c r="A142">
        <v>140</v>
      </c>
      <c r="B142">
        <v>5</v>
      </c>
      <c r="C142">
        <v>4600</v>
      </c>
      <c r="D142">
        <v>4603</v>
      </c>
      <c r="E142" s="4">
        <f t="shared" si="6"/>
        <v>1</v>
      </c>
      <c r="F142" s="4">
        <f t="shared" si="7"/>
        <v>3</v>
      </c>
      <c r="G142" s="4">
        <f t="shared" si="8"/>
        <v>9</v>
      </c>
      <c r="H142" s="5">
        <f>SQRT(SUM('r-pi-5'!$D$3:D142)/COUNTIF($A$3:A142,"&lt;&gt;0"))</f>
        <v>64.780067481109825</v>
      </c>
    </row>
    <row r="143" spans="1:8">
      <c r="A143">
        <v>141</v>
      </c>
      <c r="B143">
        <v>5</v>
      </c>
      <c r="C143">
        <v>4600</v>
      </c>
      <c r="D143">
        <v>4443</v>
      </c>
      <c r="E143" s="4">
        <f t="shared" si="6"/>
        <v>1</v>
      </c>
      <c r="F143" s="4">
        <f t="shared" si="7"/>
        <v>157</v>
      </c>
      <c r="G143" s="4">
        <f t="shared" si="8"/>
        <v>24649</v>
      </c>
      <c r="H143" s="5">
        <f>SQRT(SUM('r-pi-5'!$D$3:D143)/COUNTIF($A$3:A143,"&lt;&gt;0"))</f>
        <v>64.79356197770629</v>
      </c>
    </row>
    <row r="144" spans="1:8">
      <c r="A144">
        <v>142</v>
      </c>
      <c r="B144">
        <v>5</v>
      </c>
      <c r="C144">
        <v>4600</v>
      </c>
      <c r="D144">
        <v>4636</v>
      </c>
      <c r="E144" s="4">
        <f t="shared" si="6"/>
        <v>1</v>
      </c>
      <c r="F144" s="4">
        <f t="shared" si="7"/>
        <v>36</v>
      </c>
      <c r="G144" s="4">
        <f t="shared" si="8"/>
        <v>1296</v>
      </c>
      <c r="H144" s="5">
        <f>SQRT(SUM('r-pi-5'!$D$3:D144)/COUNTIF($A$3:A144,"&lt;&gt;0"))</f>
        <v>64.817349007764619</v>
      </c>
    </row>
    <row r="145" spans="1:8">
      <c r="A145">
        <v>143</v>
      </c>
      <c r="B145">
        <v>5</v>
      </c>
      <c r="C145">
        <v>4600</v>
      </c>
      <c r="D145">
        <v>4622</v>
      </c>
      <c r="E145" s="4">
        <f t="shared" si="6"/>
        <v>1</v>
      </c>
      <c r="F145" s="4">
        <f t="shared" si="7"/>
        <v>22</v>
      </c>
      <c r="G145" s="4">
        <f t="shared" si="8"/>
        <v>484</v>
      </c>
      <c r="H145" s="5">
        <f>SQRT(SUM('r-pi-5'!$D$3:D145)/COUNTIF($A$3:A145,"&lt;&gt;0"))</f>
        <v>64.840039861421815</v>
      </c>
    </row>
    <row r="146" spans="1:8">
      <c r="A146">
        <v>144</v>
      </c>
      <c r="B146">
        <v>5</v>
      </c>
      <c r="C146">
        <v>4600</v>
      </c>
      <c r="D146">
        <v>4560</v>
      </c>
      <c r="E146" s="4">
        <f t="shared" si="6"/>
        <v>1</v>
      </c>
      <c r="F146" s="4">
        <f t="shared" si="7"/>
        <v>40</v>
      </c>
      <c r="G146" s="4">
        <f t="shared" si="8"/>
        <v>1600</v>
      </c>
      <c r="H146" s="5">
        <f>SQRT(SUM('r-pi-5'!$D$3:D146)/COUNTIF($A$3:A146,"&lt;&gt;0"))</f>
        <v>64.859088714604127</v>
      </c>
    </row>
    <row r="147" spans="1:8">
      <c r="A147">
        <v>145</v>
      </c>
      <c r="B147">
        <v>5</v>
      </c>
      <c r="C147">
        <v>4600</v>
      </c>
      <c r="D147">
        <v>4504</v>
      </c>
      <c r="E147" s="4">
        <f t="shared" si="6"/>
        <v>1</v>
      </c>
      <c r="F147" s="4">
        <f t="shared" si="7"/>
        <v>96</v>
      </c>
      <c r="G147" s="4">
        <f t="shared" si="8"/>
        <v>9216</v>
      </c>
      <c r="H147" s="5">
        <f>SQRT(SUM('r-pi-5'!$D$3:D147)/COUNTIF($A$3:A147,"&lt;&gt;0"))</f>
        <v>64.874892864173049</v>
      </c>
    </row>
    <row r="148" spans="1:8">
      <c r="A148">
        <v>146</v>
      </c>
      <c r="B148">
        <v>5</v>
      </c>
      <c r="C148">
        <v>4600</v>
      </c>
      <c r="D148">
        <v>4553</v>
      </c>
      <c r="E148" s="4">
        <f t="shared" si="6"/>
        <v>1</v>
      </c>
      <c r="F148" s="4">
        <f t="shared" si="7"/>
        <v>47</v>
      </c>
      <c r="G148" s="4">
        <f t="shared" si="8"/>
        <v>2209</v>
      </c>
      <c r="H148" s="5">
        <f>SQRT(SUM('r-pi-5'!$D$3:D148)/COUNTIF($A$3:A148,"&lt;&gt;0"))</f>
        <v>64.893062718915459</v>
      </c>
    </row>
    <row r="149" spans="1:8">
      <c r="A149">
        <v>147</v>
      </c>
      <c r="B149">
        <v>5</v>
      </c>
      <c r="C149">
        <v>4600</v>
      </c>
      <c r="D149">
        <v>4548</v>
      </c>
      <c r="E149" s="4">
        <f t="shared" si="6"/>
        <v>1</v>
      </c>
      <c r="F149" s="4">
        <f t="shared" si="7"/>
        <v>52</v>
      </c>
      <c r="G149" s="4">
        <f t="shared" si="8"/>
        <v>2704</v>
      </c>
      <c r="H149" s="5">
        <f>SQRT(SUM('r-pi-5'!$D$3:D149)/COUNTIF($A$3:A149,"&lt;&gt;0"))</f>
        <v>64.910718379511238</v>
      </c>
    </row>
    <row r="150" spans="1:8">
      <c r="A150">
        <v>148</v>
      </c>
      <c r="B150">
        <v>5</v>
      </c>
      <c r="C150">
        <v>4600</v>
      </c>
      <c r="D150">
        <v>4607</v>
      </c>
      <c r="E150" s="4">
        <f t="shared" si="6"/>
        <v>1</v>
      </c>
      <c r="F150" s="4">
        <f t="shared" si="7"/>
        <v>7</v>
      </c>
      <c r="G150" s="4">
        <f t="shared" si="8"/>
        <v>49</v>
      </c>
      <c r="H150" s="5">
        <f>SQRT(SUM('r-pi-5'!$D$3:D150)/COUNTIF($A$3:A150,"&lt;&gt;0"))</f>
        <v>64.931200595790699</v>
      </c>
    </row>
    <row r="151" spans="1:8">
      <c r="A151">
        <v>149</v>
      </c>
      <c r="B151">
        <v>5</v>
      </c>
      <c r="C151">
        <v>4600</v>
      </c>
      <c r="D151">
        <v>4601</v>
      </c>
      <c r="E151" s="4">
        <f t="shared" si="6"/>
        <v>1</v>
      </c>
      <c r="F151" s="4">
        <f t="shared" si="7"/>
        <v>1</v>
      </c>
      <c r="G151" s="4">
        <f t="shared" si="8"/>
        <v>1</v>
      </c>
      <c r="H151" s="5">
        <f>SQRT(SUM('r-pi-5'!$D$3:D151)/COUNTIF($A$3:A151,"&lt;&gt;0"))</f>
        <v>64.951091563591234</v>
      </c>
    </row>
    <row r="152" spans="1:8">
      <c r="A152">
        <v>150</v>
      </c>
      <c r="B152">
        <v>5</v>
      </c>
      <c r="C152">
        <v>4600</v>
      </c>
      <c r="D152">
        <v>4501</v>
      </c>
      <c r="E152" s="4">
        <f t="shared" si="6"/>
        <v>1</v>
      </c>
      <c r="F152" s="4">
        <f t="shared" si="7"/>
        <v>99</v>
      </c>
      <c r="G152" s="4">
        <f t="shared" si="8"/>
        <v>9801</v>
      </c>
      <c r="H152" s="5">
        <f>SQRT(SUM('r-pi-5'!$D$3:D152)/COUNTIF($A$3:A152,"&lt;&gt;0"))</f>
        <v>64.96558063056672</v>
      </c>
    </row>
  </sheetData>
  <mergeCells count="7">
    <mergeCell ref="H1:H2"/>
    <mergeCell ref="C1:D1"/>
    <mergeCell ref="A1:A2"/>
    <mergeCell ref="B1:B2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9.7265625" style="4" bestFit="1" customWidth="1"/>
    <col min="3" max="3" width="8.7265625" style="4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43"/>
      <c r="C2" s="6" t="s">
        <v>6</v>
      </c>
      <c r="D2" s="6" t="s">
        <v>8</v>
      </c>
      <c r="E2" s="43"/>
      <c r="F2" s="43"/>
      <c r="G2" s="43"/>
      <c r="H2" s="43"/>
    </row>
    <row r="3" spans="1:8">
      <c r="A3">
        <v>1</v>
      </c>
      <c r="B3">
        <v>1</v>
      </c>
      <c r="C3">
        <v>6680</v>
      </c>
      <c r="D3">
        <v>407</v>
      </c>
      <c r="E3" s="4">
        <f>IF(AND(D3&lt;=C3*1.2,D3&gt;=C3*0.8),1,0)</f>
        <v>0</v>
      </c>
      <c r="F3" s="4">
        <f>ABS(D3-C3)</f>
        <v>6273</v>
      </c>
      <c r="G3" s="4">
        <f>POWER(F3,2)</f>
        <v>39350529</v>
      </c>
      <c r="H3" s="5">
        <f>SQRT(SUM('r-pi-8'!$D$3:D3)/COUNTIF($A$3:A3,"&lt;&gt;0"))</f>
        <v>20.174241001832016</v>
      </c>
    </row>
    <row r="4" spans="1:8">
      <c r="A4">
        <v>2</v>
      </c>
      <c r="B4">
        <v>1</v>
      </c>
      <c r="C4">
        <v>6680</v>
      </c>
      <c r="D4">
        <v>1365</v>
      </c>
      <c r="E4" s="4">
        <f t="shared" ref="E4:E67" si="0">IF(AND(D4&lt;=C4*1.2,D4&gt;=C4*0.8),1,0)</f>
        <v>0</v>
      </c>
      <c r="F4" s="4">
        <f t="shared" ref="F4:F67" si="1">ABS(D4-C4)</f>
        <v>5315</v>
      </c>
      <c r="G4" s="4">
        <f t="shared" ref="G4:G67" si="2">POWER(F4,2)</f>
        <v>28249225</v>
      </c>
      <c r="H4" s="5">
        <f>SQRT(SUM('r-pi-8'!$D$3:D4)/COUNTIF($A$3:A4,"&lt;&gt;0"))</f>
        <v>29.765752132274432</v>
      </c>
    </row>
    <row r="5" spans="1:8">
      <c r="A5">
        <v>3</v>
      </c>
      <c r="B5">
        <v>2</v>
      </c>
      <c r="C5">
        <v>6680</v>
      </c>
      <c r="D5">
        <v>2579</v>
      </c>
      <c r="E5" s="4">
        <f t="shared" si="0"/>
        <v>0</v>
      </c>
      <c r="F5" s="4">
        <f t="shared" si="1"/>
        <v>4101</v>
      </c>
      <c r="G5" s="4">
        <f t="shared" si="2"/>
        <v>16818201</v>
      </c>
      <c r="H5" s="5">
        <f>SQRT(SUM('r-pi-8'!$D$3:D5)/COUNTIF($A$3:A5,"&lt;&gt;0"))</f>
        <v>38.083242158898884</v>
      </c>
    </row>
    <row r="6" spans="1:8">
      <c r="A6">
        <v>4</v>
      </c>
      <c r="B6">
        <v>2</v>
      </c>
      <c r="C6">
        <v>6680</v>
      </c>
      <c r="D6">
        <v>2523</v>
      </c>
      <c r="E6" s="4">
        <f t="shared" si="0"/>
        <v>0</v>
      </c>
      <c r="F6" s="4">
        <f t="shared" si="1"/>
        <v>4157</v>
      </c>
      <c r="G6" s="4">
        <f t="shared" si="2"/>
        <v>17280649</v>
      </c>
      <c r="H6" s="5">
        <f>SQRT(SUM('r-pi-8'!$D$3:D6)/COUNTIF($A$3:A6,"&lt;&gt;0"))</f>
        <v>41.454794656348255</v>
      </c>
    </row>
    <row r="7" spans="1:8">
      <c r="A7">
        <v>5</v>
      </c>
      <c r="B7">
        <v>2</v>
      </c>
      <c r="C7">
        <v>6680</v>
      </c>
      <c r="D7">
        <v>2541</v>
      </c>
      <c r="E7" s="4">
        <f t="shared" si="0"/>
        <v>0</v>
      </c>
      <c r="F7" s="4">
        <f t="shared" si="1"/>
        <v>4139</v>
      </c>
      <c r="G7" s="4">
        <f t="shared" si="2"/>
        <v>17131321</v>
      </c>
      <c r="H7" s="5">
        <f>SQRT(SUM('r-pi-8'!$D$3:D7)/COUNTIF($A$3:A7,"&lt;&gt;0"))</f>
        <v>43.393547907494266</v>
      </c>
    </row>
    <row r="8" spans="1:8">
      <c r="A8">
        <v>6</v>
      </c>
      <c r="B8">
        <v>3</v>
      </c>
      <c r="C8">
        <v>6680</v>
      </c>
      <c r="D8">
        <v>2505</v>
      </c>
      <c r="E8" s="4">
        <f t="shared" si="0"/>
        <v>0</v>
      </c>
      <c r="F8" s="4">
        <f t="shared" si="1"/>
        <v>4175</v>
      </c>
      <c r="G8" s="4">
        <f t="shared" si="2"/>
        <v>17430625</v>
      </c>
      <c r="H8" s="5">
        <f>SQRT(SUM('r-pi-8'!$D$3:D8)/COUNTIF($A$3:A8,"&lt;&gt;0"))</f>
        <v>44.572039067858078</v>
      </c>
    </row>
    <row r="9" spans="1:8">
      <c r="A9">
        <v>7</v>
      </c>
      <c r="B9">
        <v>3</v>
      </c>
      <c r="C9">
        <v>6680</v>
      </c>
      <c r="D9">
        <v>2627</v>
      </c>
      <c r="E9" s="4">
        <f t="shared" si="0"/>
        <v>0</v>
      </c>
      <c r="F9" s="4">
        <f t="shared" si="1"/>
        <v>4053</v>
      </c>
      <c r="G9" s="4">
        <f t="shared" si="2"/>
        <v>16426809</v>
      </c>
      <c r="H9" s="5">
        <f>SQRT(SUM('r-pi-8'!$D$3:D9)/COUNTIF($A$3:A9,"&lt;&gt;0"))</f>
        <v>45.586652181782959</v>
      </c>
    </row>
    <row r="10" spans="1:8">
      <c r="A10">
        <v>8</v>
      </c>
      <c r="B10">
        <v>4</v>
      </c>
      <c r="C10">
        <v>6680</v>
      </c>
      <c r="D10">
        <v>4254</v>
      </c>
      <c r="E10" s="4">
        <f t="shared" si="0"/>
        <v>0</v>
      </c>
      <c r="F10" s="4">
        <f t="shared" si="1"/>
        <v>2426</v>
      </c>
      <c r="G10" s="4">
        <f t="shared" si="2"/>
        <v>5885476</v>
      </c>
      <c r="H10" s="5">
        <f>SQRT(SUM('r-pi-8'!$D$3:D10)/COUNTIF($A$3:A10,"&lt;&gt;0"))</f>
        <v>48.478087833576936</v>
      </c>
    </row>
    <row r="11" spans="1:8">
      <c r="A11">
        <v>9</v>
      </c>
      <c r="B11">
        <v>3</v>
      </c>
      <c r="C11">
        <v>6680</v>
      </c>
      <c r="D11">
        <v>2610</v>
      </c>
      <c r="E11" s="4">
        <f t="shared" si="0"/>
        <v>0</v>
      </c>
      <c r="F11" s="4">
        <f t="shared" si="1"/>
        <v>4070</v>
      </c>
      <c r="G11" s="4">
        <f t="shared" si="2"/>
        <v>16564900</v>
      </c>
      <c r="H11" s="5">
        <f>SQRT(SUM('r-pi-8'!$D$3:D11)/COUNTIF($A$3:A11,"&lt;&gt;0"))</f>
        <v>48.774993593028796</v>
      </c>
    </row>
    <row r="12" spans="1:8">
      <c r="A12">
        <v>10</v>
      </c>
      <c r="B12">
        <v>4</v>
      </c>
      <c r="C12">
        <v>6680</v>
      </c>
      <c r="D12">
        <v>4156</v>
      </c>
      <c r="E12" s="4">
        <f t="shared" si="0"/>
        <v>0</v>
      </c>
      <c r="F12" s="4">
        <f t="shared" si="1"/>
        <v>2524</v>
      </c>
      <c r="G12" s="4">
        <f t="shared" si="2"/>
        <v>6370576</v>
      </c>
      <c r="H12" s="5">
        <f>SQRT(SUM('r-pi-8'!$D$3:D12)/COUNTIF($A$3:A12,"&lt;&gt;0"))</f>
        <v>50.56382105814393</v>
      </c>
    </row>
    <row r="13" spans="1:8">
      <c r="A13">
        <v>11</v>
      </c>
      <c r="B13">
        <v>4</v>
      </c>
      <c r="C13">
        <v>6680</v>
      </c>
      <c r="D13">
        <v>4018</v>
      </c>
      <c r="E13" s="4">
        <f t="shared" si="0"/>
        <v>0</v>
      </c>
      <c r="F13" s="4">
        <f t="shared" si="1"/>
        <v>2662</v>
      </c>
      <c r="G13" s="4">
        <f t="shared" si="2"/>
        <v>7086244</v>
      </c>
      <c r="H13" s="5">
        <f>SQRT(SUM('r-pi-8'!$D$3:D13)/COUNTIF($A$3:A13,"&lt;&gt;0"))</f>
        <v>51.860827746435504</v>
      </c>
    </row>
    <row r="14" spans="1:8">
      <c r="A14">
        <v>12</v>
      </c>
      <c r="B14">
        <v>4</v>
      </c>
      <c r="C14">
        <v>6680</v>
      </c>
      <c r="D14">
        <v>3397</v>
      </c>
      <c r="E14" s="4">
        <f t="shared" si="0"/>
        <v>0</v>
      </c>
      <c r="F14" s="4">
        <f t="shared" si="1"/>
        <v>3283</v>
      </c>
      <c r="G14" s="4">
        <f t="shared" si="2"/>
        <v>10778089</v>
      </c>
      <c r="H14" s="5">
        <f>SQRT(SUM('r-pi-8'!$D$3:D14)/COUNTIF($A$3:A14,"&lt;&gt;0"))</f>
        <v>52.426138518872435</v>
      </c>
    </row>
    <row r="15" spans="1:8">
      <c r="A15">
        <v>13</v>
      </c>
      <c r="B15">
        <v>5</v>
      </c>
      <c r="C15">
        <v>6680</v>
      </c>
      <c r="D15">
        <v>4235</v>
      </c>
      <c r="E15" s="4">
        <f t="shared" si="0"/>
        <v>0</v>
      </c>
      <c r="F15" s="4">
        <f t="shared" si="1"/>
        <v>2445</v>
      </c>
      <c r="G15" s="4">
        <f t="shared" si="2"/>
        <v>5978025</v>
      </c>
      <c r="H15" s="5">
        <f>SQRT(SUM('r-pi-8'!$D$3:D15)/COUNTIF($A$3:A15,"&lt;&gt;0"))</f>
        <v>53.505571241190893</v>
      </c>
    </row>
    <row r="16" spans="1:8">
      <c r="A16">
        <v>14</v>
      </c>
      <c r="B16">
        <v>5</v>
      </c>
      <c r="C16">
        <v>6680</v>
      </c>
      <c r="D16">
        <v>4310</v>
      </c>
      <c r="E16" s="4">
        <f t="shared" si="0"/>
        <v>0</v>
      </c>
      <c r="F16" s="4">
        <f t="shared" si="1"/>
        <v>2370</v>
      </c>
      <c r="G16" s="4">
        <f t="shared" si="2"/>
        <v>5616900</v>
      </c>
      <c r="H16" s="5">
        <f>SQRT(SUM('r-pi-8'!$D$3:D16)/COUNTIF($A$3:A16,"&lt;&gt;0"))</f>
        <v>54.462962513200523</v>
      </c>
    </row>
    <row r="17" spans="1:8">
      <c r="A17">
        <v>15</v>
      </c>
      <c r="B17">
        <v>5</v>
      </c>
      <c r="C17">
        <v>6680</v>
      </c>
      <c r="D17">
        <v>4353</v>
      </c>
      <c r="E17" s="4">
        <f t="shared" si="0"/>
        <v>0</v>
      </c>
      <c r="F17" s="4">
        <f t="shared" si="1"/>
        <v>2327</v>
      </c>
      <c r="G17" s="4">
        <f t="shared" si="2"/>
        <v>5414929</v>
      </c>
      <c r="H17" s="5">
        <f>SQRT(SUM('r-pi-8'!$D$3:D17)/COUNTIF($A$3:A17,"&lt;&gt;0"))</f>
        <v>55.305213738549703</v>
      </c>
    </row>
    <row r="18" spans="1:8">
      <c r="A18">
        <v>16</v>
      </c>
      <c r="B18">
        <v>5</v>
      </c>
      <c r="C18">
        <v>6680</v>
      </c>
      <c r="D18">
        <v>4434</v>
      </c>
      <c r="E18" s="4">
        <f t="shared" si="0"/>
        <v>0</v>
      </c>
      <c r="F18" s="4">
        <f t="shared" si="1"/>
        <v>2246</v>
      </c>
      <c r="G18" s="4">
        <f t="shared" si="2"/>
        <v>5044516</v>
      </c>
      <c r="H18" s="5">
        <f>SQRT(SUM('r-pi-8'!$D$3:D18)/COUNTIF($A$3:A18,"&lt;&gt;0"))</f>
        <v>56.076956051483393</v>
      </c>
    </row>
    <row r="19" spans="1:8">
      <c r="A19">
        <v>17</v>
      </c>
      <c r="B19">
        <v>6</v>
      </c>
      <c r="C19">
        <v>6680</v>
      </c>
      <c r="D19">
        <v>5304</v>
      </c>
      <c r="E19" s="4">
        <f t="shared" si="0"/>
        <v>0</v>
      </c>
      <c r="F19" s="4">
        <f t="shared" si="1"/>
        <v>1376</v>
      </c>
      <c r="G19" s="4">
        <f t="shared" si="2"/>
        <v>1893376</v>
      </c>
      <c r="H19" s="5">
        <f>SQRT(SUM('r-pi-8'!$D$3:D19)/COUNTIF($A$3:A19,"&lt;&gt;0"))</f>
        <v>57.198313426389852</v>
      </c>
    </row>
    <row r="20" spans="1:8">
      <c r="A20">
        <v>18</v>
      </c>
      <c r="B20">
        <v>6</v>
      </c>
      <c r="C20">
        <v>6680</v>
      </c>
      <c r="D20">
        <v>5076</v>
      </c>
      <c r="E20" s="4">
        <f t="shared" si="0"/>
        <v>0</v>
      </c>
      <c r="F20" s="4">
        <f t="shared" si="1"/>
        <v>1604</v>
      </c>
      <c r="G20" s="4">
        <f t="shared" si="2"/>
        <v>2572816</v>
      </c>
      <c r="H20" s="5">
        <f>SQRT(SUM('r-pi-8'!$D$3:D20)/COUNTIF($A$3:A20,"&lt;&gt;0"))</f>
        <v>58.067967838463993</v>
      </c>
    </row>
    <row r="21" spans="1:8">
      <c r="A21">
        <v>19</v>
      </c>
      <c r="B21">
        <v>6</v>
      </c>
      <c r="C21">
        <v>6680</v>
      </c>
      <c r="D21">
        <v>5108</v>
      </c>
      <c r="E21" s="4">
        <f t="shared" si="0"/>
        <v>0</v>
      </c>
      <c r="F21" s="4">
        <f t="shared" si="1"/>
        <v>1572</v>
      </c>
      <c r="G21" s="4">
        <f t="shared" si="2"/>
        <v>2471184</v>
      </c>
      <c r="H21" s="5">
        <f>SQRT(SUM('r-pi-8'!$D$3:D21)/COUNTIF($A$3:A21,"&lt;&gt;0"))</f>
        <v>58.84949581682698</v>
      </c>
    </row>
    <row r="22" spans="1:8">
      <c r="A22">
        <v>20</v>
      </c>
      <c r="B22">
        <v>6</v>
      </c>
      <c r="C22">
        <v>6680</v>
      </c>
      <c r="D22">
        <v>5101</v>
      </c>
      <c r="E22" s="4">
        <f t="shared" si="0"/>
        <v>0</v>
      </c>
      <c r="F22" s="4">
        <f t="shared" si="1"/>
        <v>1579</v>
      </c>
      <c r="G22" s="4">
        <f t="shared" si="2"/>
        <v>2493241</v>
      </c>
      <c r="H22" s="5">
        <f>SQRT(SUM('r-pi-8'!$D$3:D22)/COUNTIF($A$3:A22,"&lt;&gt;0"))</f>
        <v>59.541162232526162</v>
      </c>
    </row>
    <row r="23" spans="1:8">
      <c r="A23">
        <v>21</v>
      </c>
      <c r="B23">
        <v>6</v>
      </c>
      <c r="C23">
        <v>6680</v>
      </c>
      <c r="D23">
        <v>5190</v>
      </c>
      <c r="E23" s="4">
        <f t="shared" si="0"/>
        <v>0</v>
      </c>
      <c r="F23" s="4">
        <f t="shared" si="1"/>
        <v>1490</v>
      </c>
      <c r="G23" s="4">
        <f t="shared" si="2"/>
        <v>2220100</v>
      </c>
      <c r="H23" s="5">
        <f>SQRT(SUM('r-pi-8'!$D$3:D23)/COUNTIF($A$3:A23,"&lt;&gt;0"))</f>
        <v>60.195317014500311</v>
      </c>
    </row>
    <row r="24" spans="1:8">
      <c r="A24">
        <v>22</v>
      </c>
      <c r="B24">
        <v>6</v>
      </c>
      <c r="C24">
        <v>6680</v>
      </c>
      <c r="D24">
        <v>5021</v>
      </c>
      <c r="E24" s="4">
        <f t="shared" si="0"/>
        <v>0</v>
      </c>
      <c r="F24" s="4">
        <f t="shared" si="1"/>
        <v>1659</v>
      </c>
      <c r="G24" s="4">
        <f t="shared" si="2"/>
        <v>2752281</v>
      </c>
      <c r="H24" s="5">
        <f>SQRT(SUM('r-pi-8'!$D$3:D24)/COUNTIF($A$3:A24,"&lt;&gt;0"))</f>
        <v>60.720671933041061</v>
      </c>
    </row>
    <row r="25" spans="1:8">
      <c r="A25">
        <v>23</v>
      </c>
      <c r="B25">
        <v>6</v>
      </c>
      <c r="C25">
        <v>6680</v>
      </c>
      <c r="D25">
        <v>5229</v>
      </c>
      <c r="E25" s="4">
        <f t="shared" si="0"/>
        <v>0</v>
      </c>
      <c r="F25" s="4">
        <f t="shared" si="1"/>
        <v>1451</v>
      </c>
      <c r="G25" s="4">
        <f t="shared" si="2"/>
        <v>2105401</v>
      </c>
      <c r="H25" s="5">
        <f>SQRT(SUM('r-pi-8'!$D$3:D25)/COUNTIF($A$3:A25,"&lt;&gt;0"))</f>
        <v>61.270249536466466</v>
      </c>
    </row>
    <row r="26" spans="1:8">
      <c r="A26">
        <v>24</v>
      </c>
      <c r="B26">
        <v>7</v>
      </c>
      <c r="C26">
        <v>6680</v>
      </c>
      <c r="D26">
        <v>5747</v>
      </c>
      <c r="E26" s="4">
        <f t="shared" si="0"/>
        <v>1</v>
      </c>
      <c r="F26" s="4">
        <f t="shared" si="1"/>
        <v>933</v>
      </c>
      <c r="G26" s="4">
        <f t="shared" si="2"/>
        <v>870489</v>
      </c>
      <c r="H26" s="5">
        <f>SQRT(SUM('r-pi-8'!$D$3:D26)/COUNTIF($A$3:A26,"&lt;&gt;0"))</f>
        <v>61.944195315891655</v>
      </c>
    </row>
    <row r="27" spans="1:8">
      <c r="A27">
        <v>25</v>
      </c>
      <c r="B27">
        <v>7</v>
      </c>
      <c r="C27">
        <v>6680</v>
      </c>
      <c r="D27">
        <v>5545</v>
      </c>
      <c r="E27" s="4">
        <f t="shared" si="0"/>
        <v>1</v>
      </c>
      <c r="F27" s="4">
        <f t="shared" si="1"/>
        <v>1135</v>
      </c>
      <c r="G27" s="4">
        <f t="shared" si="2"/>
        <v>1288225</v>
      </c>
      <c r="H27" s="5">
        <f>SQRT(SUM('r-pi-8'!$D$3:D27)/COUNTIF($A$3:A27,"&lt;&gt;0"))</f>
        <v>62.493199630039747</v>
      </c>
    </row>
    <row r="28" spans="1:8">
      <c r="A28">
        <v>26</v>
      </c>
      <c r="B28">
        <v>7</v>
      </c>
      <c r="C28">
        <v>6680</v>
      </c>
      <c r="D28">
        <v>5695</v>
      </c>
      <c r="E28" s="4">
        <f t="shared" si="0"/>
        <v>1</v>
      </c>
      <c r="F28" s="4">
        <f t="shared" si="1"/>
        <v>985</v>
      </c>
      <c r="G28" s="4">
        <f t="shared" si="2"/>
        <v>970225</v>
      </c>
      <c r="H28" s="5">
        <f>SQRT(SUM('r-pi-8'!$D$3:D28)/COUNTIF($A$3:A28,"&lt;&gt;0"))</f>
        <v>63.04150037261779</v>
      </c>
    </row>
    <row r="29" spans="1:8">
      <c r="A29">
        <v>27</v>
      </c>
      <c r="B29">
        <v>7</v>
      </c>
      <c r="C29">
        <v>6680</v>
      </c>
      <c r="D29">
        <v>5647</v>
      </c>
      <c r="E29" s="4">
        <f t="shared" si="0"/>
        <v>1</v>
      </c>
      <c r="F29" s="4">
        <f t="shared" si="1"/>
        <v>1033</v>
      </c>
      <c r="G29" s="4">
        <f t="shared" si="2"/>
        <v>1067089</v>
      </c>
      <c r="H29" s="5">
        <f>SQRT(SUM('r-pi-8'!$D$3:D29)/COUNTIF($A$3:A29,"&lt;&gt;0"))</f>
        <v>63.530978153851727</v>
      </c>
    </row>
    <row r="30" spans="1:8">
      <c r="A30">
        <v>28</v>
      </c>
      <c r="B30">
        <v>7</v>
      </c>
      <c r="C30">
        <v>6680</v>
      </c>
      <c r="D30">
        <v>5614</v>
      </c>
      <c r="E30" s="4">
        <f t="shared" si="0"/>
        <v>1</v>
      </c>
      <c r="F30" s="4">
        <f t="shared" si="1"/>
        <v>1066</v>
      </c>
      <c r="G30" s="4">
        <f t="shared" si="2"/>
        <v>1136356</v>
      </c>
      <c r="H30" s="5">
        <f>SQRT(SUM('r-pi-8'!$D$3:D30)/COUNTIF($A$3:A30,"&lt;&gt;0"))</f>
        <v>63.972929542781721</v>
      </c>
    </row>
    <row r="31" spans="1:8">
      <c r="A31">
        <v>29</v>
      </c>
      <c r="B31">
        <v>7</v>
      </c>
      <c r="C31">
        <v>6680</v>
      </c>
      <c r="D31">
        <v>5556</v>
      </c>
      <c r="E31" s="4">
        <f t="shared" si="0"/>
        <v>1</v>
      </c>
      <c r="F31" s="4">
        <f t="shared" si="1"/>
        <v>1124</v>
      </c>
      <c r="G31" s="4">
        <f t="shared" si="2"/>
        <v>1263376</v>
      </c>
      <c r="H31" s="5">
        <f>SQRT(SUM('r-pi-8'!$D$3:D31)/COUNTIF($A$3:A31,"&lt;&gt;0"))</f>
        <v>64.366140167016383</v>
      </c>
    </row>
    <row r="32" spans="1:8">
      <c r="A32">
        <v>30</v>
      </c>
      <c r="B32">
        <v>7</v>
      </c>
      <c r="C32">
        <v>6680</v>
      </c>
      <c r="D32">
        <v>5596</v>
      </c>
      <c r="E32" s="4">
        <f t="shared" si="0"/>
        <v>1</v>
      </c>
      <c r="F32" s="4">
        <f t="shared" si="1"/>
        <v>1084</v>
      </c>
      <c r="G32" s="4">
        <f t="shared" si="2"/>
        <v>1175056</v>
      </c>
      <c r="H32" s="5">
        <f>SQRT(SUM('r-pi-8'!$D$3:D32)/COUNTIF($A$3:A32,"&lt;&gt;0"))</f>
        <v>64.74127997910864</v>
      </c>
    </row>
    <row r="33" spans="1:8">
      <c r="A33">
        <v>31</v>
      </c>
      <c r="B33">
        <v>7</v>
      </c>
      <c r="C33">
        <v>6680</v>
      </c>
      <c r="D33">
        <v>5566</v>
      </c>
      <c r="E33" s="4">
        <f t="shared" si="0"/>
        <v>1</v>
      </c>
      <c r="F33" s="4">
        <f t="shared" si="1"/>
        <v>1114</v>
      </c>
      <c r="G33" s="4">
        <f t="shared" si="2"/>
        <v>1240996</v>
      </c>
      <c r="H33" s="5">
        <f>SQRT(SUM('r-pi-8'!$D$3:D33)/COUNTIF($A$3:A33,"&lt;&gt;0"))</f>
        <v>65.082825642010874</v>
      </c>
    </row>
    <row r="34" spans="1:8">
      <c r="A34">
        <v>32</v>
      </c>
      <c r="B34">
        <v>7</v>
      </c>
      <c r="C34">
        <v>6680</v>
      </c>
      <c r="D34">
        <v>5616</v>
      </c>
      <c r="E34" s="4">
        <f t="shared" si="0"/>
        <v>1</v>
      </c>
      <c r="F34" s="4">
        <f t="shared" si="1"/>
        <v>1064</v>
      </c>
      <c r="G34" s="4">
        <f t="shared" si="2"/>
        <v>1132096</v>
      </c>
      <c r="H34" s="5">
        <f>SQRT(SUM('r-pi-8'!$D$3:D34)/COUNTIF($A$3:A34,"&lt;&gt;0"))</f>
        <v>65.413349172779704</v>
      </c>
    </row>
    <row r="35" spans="1:8">
      <c r="A35">
        <v>33</v>
      </c>
      <c r="B35">
        <v>7</v>
      </c>
      <c r="C35">
        <v>6680</v>
      </c>
      <c r="D35">
        <v>5646</v>
      </c>
      <c r="E35" s="4">
        <f t="shared" si="0"/>
        <v>1</v>
      </c>
      <c r="F35" s="4">
        <f t="shared" si="1"/>
        <v>1034</v>
      </c>
      <c r="G35" s="4">
        <f t="shared" si="2"/>
        <v>1069156</v>
      </c>
      <c r="H35" s="5">
        <f>SQRT(SUM('r-pi-8'!$D$3:D35)/COUNTIF($A$3:A35,"&lt;&gt;0"))</f>
        <v>65.729242604287876</v>
      </c>
    </row>
    <row r="36" spans="1:8">
      <c r="A36">
        <v>34</v>
      </c>
      <c r="B36">
        <v>7</v>
      </c>
      <c r="C36">
        <v>6680</v>
      </c>
      <c r="D36">
        <v>5699</v>
      </c>
      <c r="E36" s="4">
        <f t="shared" si="0"/>
        <v>1</v>
      </c>
      <c r="F36" s="4">
        <f t="shared" si="1"/>
        <v>981</v>
      </c>
      <c r="G36" s="4">
        <f t="shared" si="2"/>
        <v>962361</v>
      </c>
      <c r="H36" s="5">
        <f>SQRT(SUM('r-pi-8'!$D$3:D36)/COUNTIF($A$3:A36,"&lt;&gt;0"))</f>
        <v>66.036977163867647</v>
      </c>
    </row>
    <row r="37" spans="1:8">
      <c r="A37">
        <v>35</v>
      </c>
      <c r="B37">
        <v>8</v>
      </c>
      <c r="C37">
        <v>6680</v>
      </c>
      <c r="D37">
        <v>6476</v>
      </c>
      <c r="E37" s="4">
        <f t="shared" si="0"/>
        <v>1</v>
      </c>
      <c r="F37" s="4">
        <f t="shared" si="1"/>
        <v>204</v>
      </c>
      <c r="G37" s="4">
        <f t="shared" si="2"/>
        <v>41616</v>
      </c>
      <c r="H37" s="5">
        <f>SQRT(SUM('r-pi-8'!$D$3:D37)/COUNTIF($A$3:A37,"&lt;&gt;0"))</f>
        <v>66.492964182041746</v>
      </c>
    </row>
    <row r="38" spans="1:8">
      <c r="A38">
        <v>36</v>
      </c>
      <c r="B38">
        <v>7</v>
      </c>
      <c r="C38">
        <v>6680</v>
      </c>
      <c r="D38">
        <v>5711</v>
      </c>
      <c r="E38" s="4">
        <f t="shared" si="0"/>
        <v>1</v>
      </c>
      <c r="F38" s="4">
        <f t="shared" si="1"/>
        <v>969</v>
      </c>
      <c r="G38" s="4">
        <f t="shared" si="2"/>
        <v>938961</v>
      </c>
      <c r="H38" s="5">
        <f>SQRT(SUM('r-pi-8'!$D$3:D38)/COUNTIF($A$3:A38,"&lt;&gt;0"))</f>
        <v>66.761807112217156</v>
      </c>
    </row>
    <row r="39" spans="1:8">
      <c r="A39">
        <v>37</v>
      </c>
      <c r="B39">
        <v>8</v>
      </c>
      <c r="C39">
        <v>6680</v>
      </c>
      <c r="D39">
        <v>6562</v>
      </c>
      <c r="E39" s="4">
        <f t="shared" si="0"/>
        <v>1</v>
      </c>
      <c r="F39" s="4">
        <f t="shared" si="1"/>
        <v>118</v>
      </c>
      <c r="G39" s="4">
        <f t="shared" si="2"/>
        <v>13924</v>
      </c>
      <c r="H39" s="5">
        <f>SQRT(SUM('r-pi-8'!$D$3:D39)/COUNTIF($A$3:A39,"&lt;&gt;0"))</f>
        <v>67.186509263594175</v>
      </c>
    </row>
    <row r="40" spans="1:8">
      <c r="A40">
        <v>38</v>
      </c>
      <c r="B40">
        <v>8</v>
      </c>
      <c r="C40">
        <v>6680</v>
      </c>
      <c r="D40">
        <v>6609</v>
      </c>
      <c r="E40" s="4">
        <f t="shared" si="0"/>
        <v>1</v>
      </c>
      <c r="F40" s="4">
        <f t="shared" si="1"/>
        <v>71</v>
      </c>
      <c r="G40" s="4">
        <f t="shared" si="2"/>
        <v>5041</v>
      </c>
      <c r="H40" s="5">
        <f>SQRT(SUM('r-pi-8'!$D$3:D40)/COUNTIF($A$3:A40,"&lt;&gt;0"))</f>
        <v>67.595546411999976</v>
      </c>
    </row>
    <row r="41" spans="1:8">
      <c r="A41">
        <v>39</v>
      </c>
      <c r="B41">
        <v>8</v>
      </c>
      <c r="C41">
        <v>6680</v>
      </c>
      <c r="D41">
        <v>6564</v>
      </c>
      <c r="E41" s="4">
        <f t="shared" si="0"/>
        <v>1</v>
      </c>
      <c r="F41" s="4">
        <f t="shared" si="1"/>
        <v>116</v>
      </c>
      <c r="G41" s="4">
        <f t="shared" si="2"/>
        <v>13456</v>
      </c>
      <c r="H41" s="5">
        <f>SQRT(SUM('r-pi-8'!$D$3:D41)/COUNTIF($A$3:A41,"&lt;&gt;0"))</f>
        <v>67.972845256820705</v>
      </c>
    </row>
    <row r="42" spans="1:8">
      <c r="A42">
        <v>40</v>
      </c>
      <c r="B42">
        <v>8</v>
      </c>
      <c r="C42">
        <v>6680</v>
      </c>
      <c r="D42">
        <v>6501</v>
      </c>
      <c r="E42" s="4">
        <f t="shared" si="0"/>
        <v>1</v>
      </c>
      <c r="F42" s="4">
        <f t="shared" si="1"/>
        <v>179</v>
      </c>
      <c r="G42" s="4">
        <f t="shared" si="2"/>
        <v>32041</v>
      </c>
      <c r="H42" s="5">
        <f>SQRT(SUM('r-pi-8'!$D$3:D42)/COUNTIF($A$3:A42,"&lt;&gt;0"))</f>
        <v>68.317823443081082</v>
      </c>
    </row>
    <row r="43" spans="1:8">
      <c r="A43">
        <v>41</v>
      </c>
      <c r="B43">
        <v>8</v>
      </c>
      <c r="C43">
        <v>6680</v>
      </c>
      <c r="D43">
        <v>6494</v>
      </c>
      <c r="E43" s="4">
        <f t="shared" si="0"/>
        <v>1</v>
      </c>
      <c r="F43" s="4">
        <f t="shared" si="1"/>
        <v>186</v>
      </c>
      <c r="G43" s="4">
        <f t="shared" si="2"/>
        <v>34596</v>
      </c>
      <c r="H43" s="5">
        <f>SQRT(SUM('r-pi-8'!$D$3:D43)/COUNTIF($A$3:A43,"&lt;&gt;0"))</f>
        <v>68.643120913755723</v>
      </c>
    </row>
    <row r="44" spans="1:8">
      <c r="A44">
        <v>42</v>
      </c>
      <c r="B44">
        <v>8</v>
      </c>
      <c r="C44">
        <v>6680</v>
      </c>
      <c r="D44">
        <v>6427</v>
      </c>
      <c r="E44" s="4">
        <f t="shared" si="0"/>
        <v>1</v>
      </c>
      <c r="F44" s="4">
        <f t="shared" si="1"/>
        <v>253</v>
      </c>
      <c r="G44" s="4">
        <f t="shared" si="2"/>
        <v>64009</v>
      </c>
      <c r="H44" s="5">
        <f>SQRT(SUM('r-pi-8'!$D$3:D44)/COUNTIF($A$3:A44,"&lt;&gt;0"))</f>
        <v>68.939932446400647</v>
      </c>
    </row>
    <row r="45" spans="1:8">
      <c r="A45">
        <v>43</v>
      </c>
      <c r="B45">
        <v>8</v>
      </c>
      <c r="C45">
        <v>6680</v>
      </c>
      <c r="D45">
        <v>6323</v>
      </c>
      <c r="E45" s="4">
        <f t="shared" si="0"/>
        <v>1</v>
      </c>
      <c r="F45" s="4">
        <f t="shared" si="1"/>
        <v>357</v>
      </c>
      <c r="G45" s="4">
        <f t="shared" si="2"/>
        <v>127449</v>
      </c>
      <c r="H45" s="5">
        <f>SQRT(SUM('r-pi-8'!$D$3:D45)/COUNTIF($A$3:A45,"&lt;&gt;0"))</f>
        <v>69.204281357005186</v>
      </c>
    </row>
    <row r="46" spans="1:8">
      <c r="A46">
        <v>44</v>
      </c>
      <c r="B46">
        <v>8</v>
      </c>
      <c r="C46">
        <v>6680</v>
      </c>
      <c r="D46">
        <v>6400</v>
      </c>
      <c r="E46" s="4">
        <f t="shared" si="0"/>
        <v>1</v>
      </c>
      <c r="F46" s="4">
        <f t="shared" si="1"/>
        <v>280</v>
      </c>
      <c r="G46" s="4">
        <f t="shared" si="2"/>
        <v>78400</v>
      </c>
      <c r="H46" s="5">
        <f>SQRT(SUM('r-pi-8'!$D$3:D46)/COUNTIF($A$3:A46,"&lt;&gt;0"))</f>
        <v>69.468272679626267</v>
      </c>
    </row>
    <row r="47" spans="1:8">
      <c r="A47">
        <v>45</v>
      </c>
      <c r="B47">
        <v>8</v>
      </c>
      <c r="C47">
        <v>6680</v>
      </c>
      <c r="D47">
        <v>6461</v>
      </c>
      <c r="E47" s="4">
        <f t="shared" si="0"/>
        <v>1</v>
      </c>
      <c r="F47" s="4">
        <f t="shared" si="1"/>
        <v>219</v>
      </c>
      <c r="G47" s="4">
        <f t="shared" si="2"/>
        <v>47961</v>
      </c>
      <c r="H47" s="5">
        <f>SQRT(SUM('r-pi-8'!$D$3:D47)/COUNTIF($A$3:A47,"&lt;&gt;0"))</f>
        <v>69.729317921357719</v>
      </c>
    </row>
    <row r="48" spans="1:8">
      <c r="A48">
        <v>46</v>
      </c>
      <c r="B48">
        <v>8</v>
      </c>
      <c r="C48">
        <v>6680</v>
      </c>
      <c r="D48">
        <v>6475</v>
      </c>
      <c r="E48" s="4">
        <f t="shared" si="0"/>
        <v>1</v>
      </c>
      <c r="F48" s="4">
        <f t="shared" si="1"/>
        <v>205</v>
      </c>
      <c r="G48" s="4">
        <f t="shared" si="2"/>
        <v>42025</v>
      </c>
      <c r="H48" s="5">
        <f>SQRT(SUM('r-pi-8'!$D$3:D48)/COUNTIF($A$3:A48,"&lt;&gt;0"))</f>
        <v>69.980276724479893</v>
      </c>
    </row>
    <row r="49" spans="1:8">
      <c r="A49">
        <v>47</v>
      </c>
      <c r="B49">
        <v>8</v>
      </c>
      <c r="C49">
        <v>6680</v>
      </c>
      <c r="D49">
        <v>6606</v>
      </c>
      <c r="E49" s="4">
        <f t="shared" si="0"/>
        <v>1</v>
      </c>
      <c r="F49" s="4">
        <f t="shared" si="1"/>
        <v>74</v>
      </c>
      <c r="G49" s="4">
        <f t="shared" si="2"/>
        <v>5476</v>
      </c>
      <c r="H49" s="5">
        <f>SQRT(SUM('r-pi-8'!$D$3:D49)/COUNTIF($A$3:A49,"&lt;&gt;0"))</f>
        <v>70.239559684559893</v>
      </c>
    </row>
    <row r="50" spans="1:8">
      <c r="A50">
        <v>48</v>
      </c>
      <c r="B50">
        <v>8</v>
      </c>
      <c r="C50">
        <v>6680</v>
      </c>
      <c r="D50">
        <v>6096</v>
      </c>
      <c r="E50" s="4">
        <f t="shared" si="0"/>
        <v>1</v>
      </c>
      <c r="F50" s="4">
        <f t="shared" si="1"/>
        <v>584</v>
      </c>
      <c r="G50" s="4">
        <f t="shared" si="2"/>
        <v>341056</v>
      </c>
      <c r="H50" s="5">
        <f>SQRT(SUM('r-pi-8'!$D$3:D50)/COUNTIF($A$3:A50,"&lt;&gt;0"))</f>
        <v>70.411735527538312</v>
      </c>
    </row>
    <row r="51" spans="1:8">
      <c r="A51">
        <v>49</v>
      </c>
      <c r="B51">
        <v>8</v>
      </c>
      <c r="C51">
        <v>6680</v>
      </c>
      <c r="D51">
        <v>6440</v>
      </c>
      <c r="E51" s="4">
        <f t="shared" si="0"/>
        <v>1</v>
      </c>
      <c r="F51" s="4">
        <f t="shared" si="1"/>
        <v>240</v>
      </c>
      <c r="G51" s="4">
        <f t="shared" si="2"/>
        <v>57600</v>
      </c>
      <c r="H51" s="5">
        <f>SQRT(SUM('r-pi-8'!$D$3:D51)/COUNTIF($A$3:A51,"&lt;&gt;0"))</f>
        <v>70.626207773671354</v>
      </c>
    </row>
    <row r="52" spans="1:8">
      <c r="A52">
        <v>50</v>
      </c>
      <c r="B52">
        <v>8</v>
      </c>
      <c r="C52">
        <v>6680</v>
      </c>
      <c r="D52">
        <v>6275</v>
      </c>
      <c r="E52" s="4">
        <f t="shared" si="0"/>
        <v>1</v>
      </c>
      <c r="F52" s="4">
        <f t="shared" si="1"/>
        <v>405</v>
      </c>
      <c r="G52" s="4">
        <f t="shared" si="2"/>
        <v>164025</v>
      </c>
      <c r="H52" s="5">
        <f>SQRT(SUM('r-pi-8'!$D$3:D52)/COUNTIF($A$3:A52,"&lt;&gt;0"))</f>
        <v>70.808191616507202</v>
      </c>
    </row>
    <row r="53" spans="1:8">
      <c r="A53">
        <v>51</v>
      </c>
      <c r="B53">
        <v>8</v>
      </c>
      <c r="C53">
        <v>6680</v>
      </c>
      <c r="D53">
        <v>6567</v>
      </c>
      <c r="E53" s="4">
        <f t="shared" si="0"/>
        <v>1</v>
      </c>
      <c r="F53" s="4">
        <f t="shared" si="1"/>
        <v>113</v>
      </c>
      <c r="G53" s="4">
        <f t="shared" si="2"/>
        <v>12769</v>
      </c>
      <c r="H53" s="5">
        <f>SQRT(SUM('r-pi-8'!$D$3:D53)/COUNTIF($A$3:A53,"&lt;&gt;0"))</f>
        <v>71.022918145911078</v>
      </c>
    </row>
    <row r="54" spans="1:8">
      <c r="A54">
        <v>52</v>
      </c>
      <c r="B54">
        <v>8</v>
      </c>
      <c r="C54">
        <v>6680</v>
      </c>
      <c r="D54">
        <v>6401</v>
      </c>
      <c r="E54" s="4">
        <f t="shared" si="0"/>
        <v>1</v>
      </c>
      <c r="F54" s="4">
        <f t="shared" si="1"/>
        <v>279</v>
      </c>
      <c r="G54" s="4">
        <f t="shared" si="2"/>
        <v>77841</v>
      </c>
      <c r="H54" s="5">
        <f>SQRT(SUM('r-pi-8'!$D$3:D54)/COUNTIF($A$3:A54,"&lt;&gt;0"))</f>
        <v>71.206363155592726</v>
      </c>
    </row>
    <row r="55" spans="1:8">
      <c r="A55">
        <v>53</v>
      </c>
      <c r="B55">
        <v>8</v>
      </c>
      <c r="C55">
        <v>6680</v>
      </c>
      <c r="D55">
        <v>6482</v>
      </c>
      <c r="E55" s="4">
        <f t="shared" si="0"/>
        <v>1</v>
      </c>
      <c r="F55" s="4">
        <f t="shared" si="1"/>
        <v>198</v>
      </c>
      <c r="G55" s="4">
        <f t="shared" si="2"/>
        <v>39204</v>
      </c>
      <c r="H55" s="5">
        <f>SQRT(SUM('r-pi-8'!$D$3:D55)/COUNTIF($A$3:A55,"&lt;&gt;0"))</f>
        <v>71.393144853518478</v>
      </c>
    </row>
    <row r="56" spans="1:8">
      <c r="A56">
        <v>54</v>
      </c>
      <c r="B56">
        <v>8</v>
      </c>
      <c r="C56">
        <v>6680</v>
      </c>
      <c r="D56">
        <v>6346</v>
      </c>
      <c r="E56" s="4">
        <f t="shared" si="0"/>
        <v>1</v>
      </c>
      <c r="F56" s="4">
        <f t="shared" si="1"/>
        <v>334</v>
      </c>
      <c r="G56" s="4">
        <f t="shared" si="2"/>
        <v>111556</v>
      </c>
      <c r="H56" s="5">
        <f>SQRT(SUM('r-pi-8'!$D$3:D56)/COUNTIF($A$3:A56,"&lt;&gt;0"))</f>
        <v>71.554951688273192</v>
      </c>
    </row>
    <row r="57" spans="1:8">
      <c r="A57">
        <v>55</v>
      </c>
      <c r="B57">
        <v>8</v>
      </c>
      <c r="C57">
        <v>6680</v>
      </c>
      <c r="D57">
        <v>6195</v>
      </c>
      <c r="E57" s="4">
        <f t="shared" si="0"/>
        <v>1</v>
      </c>
      <c r="F57" s="4">
        <f t="shared" si="1"/>
        <v>485</v>
      </c>
      <c r="G57" s="4">
        <f t="shared" si="2"/>
        <v>235225</v>
      </c>
      <c r="H57" s="5">
        <f>SQRT(SUM('r-pi-8'!$D$3:D57)/COUNTIF($A$3:A57,"&lt;&gt;0"))</f>
        <v>71.69138403918943</v>
      </c>
    </row>
    <row r="58" spans="1:8">
      <c r="A58">
        <v>56</v>
      </c>
      <c r="B58">
        <v>8</v>
      </c>
      <c r="C58">
        <v>6680</v>
      </c>
      <c r="D58">
        <v>6262</v>
      </c>
      <c r="E58" s="4">
        <f t="shared" si="0"/>
        <v>1</v>
      </c>
      <c r="F58" s="4">
        <f t="shared" si="1"/>
        <v>418</v>
      </c>
      <c r="G58" s="4">
        <f t="shared" si="2"/>
        <v>174724</v>
      </c>
      <c r="H58" s="5">
        <f>SQRT(SUM('r-pi-8'!$D$3:D58)/COUNTIF($A$3:A58,"&lt;&gt;0"))</f>
        <v>71.831026921320202</v>
      </c>
    </row>
    <row r="59" spans="1:8">
      <c r="A59">
        <v>57</v>
      </c>
      <c r="B59">
        <v>8</v>
      </c>
      <c r="C59">
        <v>6680</v>
      </c>
      <c r="D59">
        <v>6432</v>
      </c>
      <c r="E59" s="4">
        <f t="shared" si="0"/>
        <v>1</v>
      </c>
      <c r="F59" s="4">
        <f t="shared" si="1"/>
        <v>248</v>
      </c>
      <c r="G59" s="4">
        <f t="shared" si="2"/>
        <v>61504</v>
      </c>
      <c r="H59" s="5">
        <f>SQRT(SUM('r-pi-8'!$D$3:D59)/COUNTIF($A$3:A59,"&lt;&gt;0"))</f>
        <v>71.986231627024679</v>
      </c>
    </row>
    <row r="60" spans="1:8">
      <c r="A60">
        <v>58</v>
      </c>
      <c r="B60">
        <v>8</v>
      </c>
      <c r="C60">
        <v>6680</v>
      </c>
      <c r="D60">
        <v>6478</v>
      </c>
      <c r="E60" s="4">
        <f t="shared" si="0"/>
        <v>1</v>
      </c>
      <c r="F60" s="4">
        <f t="shared" si="1"/>
        <v>202</v>
      </c>
      <c r="G60" s="4">
        <f t="shared" si="2"/>
        <v>40804</v>
      </c>
      <c r="H60" s="5">
        <f>SQRT(SUM('r-pi-8'!$D$3:D60)/COUNTIF($A$3:A60,"&lt;&gt;0"))</f>
        <v>72.141264675395846</v>
      </c>
    </row>
    <row r="61" spans="1:8">
      <c r="A61">
        <v>59</v>
      </c>
      <c r="B61">
        <v>8</v>
      </c>
      <c r="C61">
        <v>6680</v>
      </c>
      <c r="D61">
        <v>6172</v>
      </c>
      <c r="E61" s="4">
        <f t="shared" si="0"/>
        <v>1</v>
      </c>
      <c r="F61" s="4">
        <f t="shared" si="1"/>
        <v>508</v>
      </c>
      <c r="G61" s="4">
        <f t="shared" si="2"/>
        <v>258064</v>
      </c>
      <c r="H61" s="5">
        <f>SQRT(SUM('r-pi-8'!$D$3:D61)/COUNTIF($A$3:A61,"&lt;&gt;0"))</f>
        <v>72.254845594357249</v>
      </c>
    </row>
    <row r="62" spans="1:8">
      <c r="A62">
        <v>60</v>
      </c>
      <c r="B62">
        <v>8</v>
      </c>
      <c r="C62">
        <v>6680</v>
      </c>
      <c r="D62">
        <v>5793</v>
      </c>
      <c r="E62" s="4">
        <f t="shared" si="0"/>
        <v>1</v>
      </c>
      <c r="F62" s="4">
        <f t="shared" si="1"/>
        <v>887</v>
      </c>
      <c r="G62" s="4">
        <f t="shared" si="2"/>
        <v>786769</v>
      </c>
      <c r="H62" s="5">
        <f>SQRT(SUM('r-pi-8'!$D$3:D62)/COUNTIF($A$3:A62,"&lt;&gt;0"))</f>
        <v>72.320813048527043</v>
      </c>
    </row>
    <row r="63" spans="1:8">
      <c r="A63">
        <v>61</v>
      </c>
      <c r="B63">
        <v>8</v>
      </c>
      <c r="C63">
        <v>6680</v>
      </c>
      <c r="D63">
        <v>6423</v>
      </c>
      <c r="E63" s="4">
        <f t="shared" si="0"/>
        <v>1</v>
      </c>
      <c r="F63" s="4">
        <f t="shared" si="1"/>
        <v>257</v>
      </c>
      <c r="G63" s="4">
        <f t="shared" si="2"/>
        <v>66049</v>
      </c>
      <c r="H63" s="5">
        <f>SQRT(SUM('r-pi-8'!$D$3:D63)/COUNTIF($A$3:A63,"&lt;&gt;0"))</f>
        <v>72.455865594280169</v>
      </c>
    </row>
    <row r="64" spans="1:8">
      <c r="A64">
        <v>62</v>
      </c>
      <c r="B64">
        <v>8</v>
      </c>
      <c r="C64">
        <v>6680</v>
      </c>
      <c r="D64">
        <v>6361</v>
      </c>
      <c r="E64" s="4">
        <f t="shared" si="0"/>
        <v>1</v>
      </c>
      <c r="F64" s="4">
        <f t="shared" si="1"/>
        <v>319</v>
      </c>
      <c r="G64" s="4">
        <f t="shared" si="2"/>
        <v>101761</v>
      </c>
      <c r="H64" s="5">
        <f>SQRT(SUM('r-pi-8'!$D$3:D64)/COUNTIF($A$3:A64,"&lt;&gt;0"))</f>
        <v>72.579433681645568</v>
      </c>
    </row>
    <row r="65" spans="1:8">
      <c r="A65">
        <v>63</v>
      </c>
      <c r="B65">
        <v>8</v>
      </c>
      <c r="C65">
        <v>6680</v>
      </c>
      <c r="D65">
        <v>5189</v>
      </c>
      <c r="E65" s="4">
        <f t="shared" si="0"/>
        <v>0</v>
      </c>
      <c r="F65" s="4">
        <f t="shared" si="1"/>
        <v>1491</v>
      </c>
      <c r="G65" s="4">
        <f t="shared" si="2"/>
        <v>2223081</v>
      </c>
      <c r="H65" s="5">
        <f>SQRT(SUM('r-pi-8'!$D$3:D65)/COUNTIF($A$3:A65,"&lt;&gt;0"))</f>
        <v>72.570819270033113</v>
      </c>
    </row>
    <row r="66" spans="1:8">
      <c r="A66">
        <v>64</v>
      </c>
      <c r="B66">
        <v>9</v>
      </c>
      <c r="C66">
        <v>6680</v>
      </c>
      <c r="D66">
        <v>6114</v>
      </c>
      <c r="E66" s="4">
        <f t="shared" si="0"/>
        <v>1</v>
      </c>
      <c r="F66" s="4">
        <f t="shared" si="1"/>
        <v>566</v>
      </c>
      <c r="G66" s="4">
        <f t="shared" si="2"/>
        <v>320356</v>
      </c>
      <c r="H66" s="5">
        <f>SQRT(SUM('r-pi-8'!$D$3:D66)/COUNTIF($A$3:A66,"&lt;&gt;0"))</f>
        <v>72.661995740552015</v>
      </c>
    </row>
    <row r="67" spans="1:8">
      <c r="A67">
        <v>65</v>
      </c>
      <c r="B67">
        <v>9</v>
      </c>
      <c r="C67">
        <v>6680</v>
      </c>
      <c r="D67">
        <v>6155</v>
      </c>
      <c r="E67" s="4">
        <f t="shared" si="0"/>
        <v>1</v>
      </c>
      <c r="F67" s="4">
        <f t="shared" si="1"/>
        <v>525</v>
      </c>
      <c r="G67" s="4">
        <f t="shared" si="2"/>
        <v>275625</v>
      </c>
      <c r="H67" s="5">
        <f>SQRT(SUM('r-pi-8'!$D$3:D67)/COUNTIF($A$3:A67,"&lt;&gt;0"))</f>
        <v>72.754592770702587</v>
      </c>
    </row>
    <row r="68" spans="1:8">
      <c r="A68">
        <v>66</v>
      </c>
      <c r="B68">
        <v>9</v>
      </c>
      <c r="C68">
        <v>6680</v>
      </c>
      <c r="D68">
        <v>6363</v>
      </c>
      <c r="E68" s="4">
        <f t="shared" ref="E68:E131" si="3">IF(AND(D68&lt;=C68*1.2,D68&gt;=C68*0.8),1,0)</f>
        <v>1</v>
      </c>
      <c r="F68" s="4">
        <f t="shared" ref="F68:F131" si="4">ABS(D68-C68)</f>
        <v>317</v>
      </c>
      <c r="G68" s="4">
        <f t="shared" ref="G68:G131" si="5">POWER(F68,2)</f>
        <v>100489</v>
      </c>
      <c r="H68" s="5">
        <f>SQRT(SUM('r-pi-8'!$D$3:D68)/COUNTIF($A$3:A68,"&lt;&gt;0"))</f>
        <v>72.865900076369016</v>
      </c>
    </row>
    <row r="69" spans="1:8">
      <c r="A69">
        <v>67</v>
      </c>
      <c r="B69">
        <v>9</v>
      </c>
      <c r="C69">
        <v>6680</v>
      </c>
      <c r="D69">
        <v>6553</v>
      </c>
      <c r="E69" s="4">
        <f t="shared" si="3"/>
        <v>1</v>
      </c>
      <c r="F69" s="4">
        <f t="shared" si="4"/>
        <v>127</v>
      </c>
      <c r="G69" s="4">
        <f t="shared" si="5"/>
        <v>16129</v>
      </c>
      <c r="H69" s="5">
        <f>SQRT(SUM('r-pi-8'!$D$3:D69)/COUNTIF($A$3:A69,"&lt;&gt;0"))</f>
        <v>72.993150363578636</v>
      </c>
    </row>
    <row r="70" spans="1:8">
      <c r="A70">
        <v>68</v>
      </c>
      <c r="B70">
        <v>9</v>
      </c>
      <c r="C70">
        <v>6680</v>
      </c>
      <c r="D70">
        <v>6563</v>
      </c>
      <c r="E70" s="4">
        <f t="shared" si="3"/>
        <v>1</v>
      </c>
      <c r="F70" s="4">
        <f t="shared" si="4"/>
        <v>117</v>
      </c>
      <c r="G70" s="4">
        <f t="shared" si="5"/>
        <v>13689</v>
      </c>
      <c r="H70" s="5">
        <f>SQRT(SUM('r-pi-8'!$D$3:D70)/COUNTIF($A$3:A70,"&lt;&gt;0"))</f>
        <v>73.117451847735239</v>
      </c>
    </row>
    <row r="71" spans="1:8">
      <c r="A71">
        <v>69</v>
      </c>
      <c r="B71">
        <v>9</v>
      </c>
      <c r="C71">
        <v>6680</v>
      </c>
      <c r="D71">
        <v>6801</v>
      </c>
      <c r="E71" s="4">
        <f t="shared" si="3"/>
        <v>1</v>
      </c>
      <c r="F71" s="4">
        <f t="shared" si="4"/>
        <v>121</v>
      </c>
      <c r="G71" s="4">
        <f t="shared" si="5"/>
        <v>14641</v>
      </c>
      <c r="H71" s="5">
        <f>SQRT(SUM('r-pi-8'!$D$3:D71)/COUNTIF($A$3:A71,"&lt;&gt;0"))</f>
        <v>73.261493138016192</v>
      </c>
    </row>
    <row r="72" spans="1:8">
      <c r="A72">
        <v>70</v>
      </c>
      <c r="B72">
        <v>9</v>
      </c>
      <c r="C72">
        <v>6680</v>
      </c>
      <c r="D72">
        <v>6691</v>
      </c>
      <c r="E72" s="4">
        <f t="shared" si="3"/>
        <v>1</v>
      </c>
      <c r="F72" s="4">
        <f t="shared" si="4"/>
        <v>11</v>
      </c>
      <c r="G72" s="4">
        <f t="shared" si="5"/>
        <v>121</v>
      </c>
      <c r="H72" s="5">
        <f>SQRT(SUM('r-pi-8'!$D$3:D72)/COUNTIF($A$3:A72,"&lt;&gt;0"))</f>
        <v>73.390443130268281</v>
      </c>
    </row>
    <row r="73" spans="1:8">
      <c r="A73">
        <v>71</v>
      </c>
      <c r="B73">
        <v>9</v>
      </c>
      <c r="C73">
        <v>6680</v>
      </c>
      <c r="D73">
        <v>6766</v>
      </c>
      <c r="E73" s="4">
        <f t="shared" si="3"/>
        <v>1</v>
      </c>
      <c r="F73" s="4">
        <f t="shared" si="4"/>
        <v>86</v>
      </c>
      <c r="G73" s="4">
        <f t="shared" si="5"/>
        <v>7396</v>
      </c>
      <c r="H73" s="5">
        <f>SQRT(SUM('r-pi-8'!$D$3:D73)/COUNTIF($A$3:A73,"&lt;&gt;0"))</f>
        <v>73.522728113800127</v>
      </c>
    </row>
    <row r="74" spans="1:8">
      <c r="A74">
        <v>72</v>
      </c>
      <c r="B74">
        <v>9</v>
      </c>
      <c r="C74">
        <v>6680</v>
      </c>
      <c r="D74">
        <v>6800</v>
      </c>
      <c r="E74" s="4">
        <f t="shared" si="3"/>
        <v>1</v>
      </c>
      <c r="F74" s="4">
        <f t="shared" si="4"/>
        <v>120</v>
      </c>
      <c r="G74" s="4">
        <f t="shared" si="5"/>
        <v>14400</v>
      </c>
      <c r="H74" s="5">
        <f>SQRT(SUM('r-pi-8'!$D$3:D74)/COUNTIF($A$3:A74,"&lt;&gt;0"))</f>
        <v>73.654316460974186</v>
      </c>
    </row>
    <row r="75" spans="1:8">
      <c r="A75">
        <v>73</v>
      </c>
      <c r="B75">
        <v>9</v>
      </c>
      <c r="C75">
        <v>6680</v>
      </c>
      <c r="D75">
        <v>6739</v>
      </c>
      <c r="E75" s="4">
        <f t="shared" si="3"/>
        <v>1</v>
      </c>
      <c r="F75" s="4">
        <f t="shared" si="4"/>
        <v>59</v>
      </c>
      <c r="G75" s="4">
        <f t="shared" si="5"/>
        <v>3481</v>
      </c>
      <c r="H75" s="5">
        <f>SQRT(SUM('r-pi-8'!$D$3:D75)/COUNTIF($A$3:A75,"&lt;&gt;0"))</f>
        <v>73.776411569753023</v>
      </c>
    </row>
    <row r="76" spans="1:8">
      <c r="A76">
        <v>74</v>
      </c>
      <c r="B76">
        <v>9</v>
      </c>
      <c r="C76">
        <v>6680</v>
      </c>
      <c r="D76">
        <v>6803</v>
      </c>
      <c r="E76" s="4">
        <f t="shared" si="3"/>
        <v>1</v>
      </c>
      <c r="F76" s="4">
        <f t="shared" si="4"/>
        <v>123</v>
      </c>
      <c r="G76" s="4">
        <f t="shared" si="5"/>
        <v>15129</v>
      </c>
      <c r="H76" s="5">
        <f>SQRT(SUM('r-pi-8'!$D$3:D76)/COUNTIF($A$3:A76,"&lt;&gt;0"))</f>
        <v>73.900864932948096</v>
      </c>
    </row>
    <row r="77" spans="1:8">
      <c r="A77">
        <v>75</v>
      </c>
      <c r="B77">
        <v>8</v>
      </c>
      <c r="C77">
        <v>6680</v>
      </c>
      <c r="D77">
        <v>6445</v>
      </c>
      <c r="E77" s="4">
        <f t="shared" si="3"/>
        <v>1</v>
      </c>
      <c r="F77" s="4">
        <f t="shared" si="4"/>
        <v>235</v>
      </c>
      <c r="G77" s="4">
        <f t="shared" si="5"/>
        <v>55225</v>
      </c>
      <c r="H77" s="5">
        <f>SQRT(SUM('r-pi-8'!$D$3:D77)/COUNTIF($A$3:A77,"&lt;&gt;0"))</f>
        <v>73.989548811526973</v>
      </c>
    </row>
    <row r="78" spans="1:8">
      <c r="A78">
        <v>76</v>
      </c>
      <c r="B78">
        <v>9</v>
      </c>
      <c r="C78">
        <v>6680</v>
      </c>
      <c r="D78">
        <v>6686</v>
      </c>
      <c r="E78" s="4">
        <f t="shared" si="3"/>
        <v>1</v>
      </c>
      <c r="F78" s="4">
        <f t="shared" si="4"/>
        <v>6</v>
      </c>
      <c r="G78" s="4">
        <f t="shared" si="5"/>
        <v>36</v>
      </c>
      <c r="H78" s="5">
        <f>SQRT(SUM('r-pi-8'!$D$3:D78)/COUNTIF($A$3:A78,"&lt;&gt;0"))</f>
        <v>74.097197901419349</v>
      </c>
    </row>
    <row r="79" spans="1:8">
      <c r="A79">
        <v>77</v>
      </c>
      <c r="B79">
        <v>9</v>
      </c>
      <c r="C79">
        <v>6680</v>
      </c>
      <c r="D79">
        <v>6645</v>
      </c>
      <c r="E79" s="4">
        <f t="shared" si="3"/>
        <v>1</v>
      </c>
      <c r="F79" s="4">
        <f t="shared" si="4"/>
        <v>35</v>
      </c>
      <c r="G79" s="4">
        <f t="shared" si="5"/>
        <v>1225</v>
      </c>
      <c r="H79" s="5">
        <f>SQRT(SUM('r-pi-8'!$D$3:D79)/COUNTIF($A$3:A79,"&lt;&gt;0"))</f>
        <v>74.198312719290399</v>
      </c>
    </row>
    <row r="80" spans="1:8">
      <c r="A80">
        <v>78</v>
      </c>
      <c r="B80">
        <v>9</v>
      </c>
      <c r="C80">
        <v>6680</v>
      </c>
      <c r="D80">
        <v>6805</v>
      </c>
      <c r="E80" s="4">
        <f t="shared" si="3"/>
        <v>1</v>
      </c>
      <c r="F80" s="4">
        <f t="shared" si="4"/>
        <v>125</v>
      </c>
      <c r="G80" s="4">
        <f t="shared" si="5"/>
        <v>15625</v>
      </c>
      <c r="H80" s="5">
        <f>SQRT(SUM('r-pi-8'!$D$3:D80)/COUNTIF($A$3:A80,"&lt;&gt;0"))</f>
        <v>74.310505865935824</v>
      </c>
    </row>
    <row r="81" spans="1:8">
      <c r="A81">
        <v>79</v>
      </c>
      <c r="B81">
        <v>9</v>
      </c>
      <c r="C81">
        <v>6680</v>
      </c>
      <c r="D81">
        <v>6519</v>
      </c>
      <c r="E81" s="4">
        <f t="shared" si="3"/>
        <v>1</v>
      </c>
      <c r="F81" s="4">
        <f t="shared" si="4"/>
        <v>161</v>
      </c>
      <c r="G81" s="4">
        <f t="shared" si="5"/>
        <v>25921</v>
      </c>
      <c r="H81" s="5">
        <f>SQRT(SUM('r-pi-8'!$D$3:D81)/COUNTIF($A$3:A81,"&lt;&gt;0"))</f>
        <v>74.395368713892054</v>
      </c>
    </row>
    <row r="82" spans="1:8">
      <c r="A82">
        <v>80</v>
      </c>
      <c r="B82">
        <v>9</v>
      </c>
      <c r="C82">
        <v>6680</v>
      </c>
      <c r="D82">
        <v>6874</v>
      </c>
      <c r="E82" s="4">
        <f t="shared" si="3"/>
        <v>1</v>
      </c>
      <c r="F82" s="4">
        <f t="shared" si="4"/>
        <v>194</v>
      </c>
      <c r="G82" s="4">
        <f t="shared" si="5"/>
        <v>37636</v>
      </c>
      <c r="H82" s="5">
        <f>SQRT(SUM('r-pi-8'!$D$3:D82)/COUNTIF($A$3:A82,"&lt;&gt;0"))</f>
        <v>74.507801604932624</v>
      </c>
    </row>
    <row r="83" spans="1:8">
      <c r="A83">
        <v>81</v>
      </c>
      <c r="B83">
        <v>8</v>
      </c>
      <c r="C83">
        <v>6680</v>
      </c>
      <c r="D83">
        <v>6013</v>
      </c>
      <c r="E83" s="4">
        <f t="shared" si="3"/>
        <v>1</v>
      </c>
      <c r="F83" s="4">
        <f t="shared" si="4"/>
        <v>667</v>
      </c>
      <c r="G83" s="4">
        <f t="shared" si="5"/>
        <v>444889</v>
      </c>
      <c r="H83" s="5">
        <f>SQRT(SUM('r-pi-8'!$D$3:D83)/COUNTIF($A$3:A83,"&lt;&gt;0"))</f>
        <v>74.546033503541366</v>
      </c>
    </row>
    <row r="84" spans="1:8">
      <c r="A84">
        <v>82</v>
      </c>
      <c r="B84">
        <v>9</v>
      </c>
      <c r="C84">
        <v>6680</v>
      </c>
      <c r="D84">
        <v>5851</v>
      </c>
      <c r="E84" s="4">
        <f t="shared" si="3"/>
        <v>1</v>
      </c>
      <c r="F84" s="4">
        <f t="shared" si="4"/>
        <v>829</v>
      </c>
      <c r="G84" s="4">
        <f t="shared" si="5"/>
        <v>687241</v>
      </c>
      <c r="H84" s="5">
        <f>SQRT(SUM('r-pi-8'!$D$3:D84)/COUNTIF($A$3:A84,"&lt;&gt;0"))</f>
        <v>74.570068539268618</v>
      </c>
    </row>
    <row r="85" spans="1:8">
      <c r="A85">
        <v>83</v>
      </c>
      <c r="B85">
        <v>9</v>
      </c>
      <c r="C85">
        <v>6680</v>
      </c>
      <c r="D85">
        <v>5972</v>
      </c>
      <c r="E85" s="4">
        <f t="shared" si="3"/>
        <v>1</v>
      </c>
      <c r="F85" s="4">
        <f t="shared" si="4"/>
        <v>708</v>
      </c>
      <c r="G85" s="4">
        <f t="shared" si="5"/>
        <v>501264</v>
      </c>
      <c r="H85" s="5">
        <f>SQRT(SUM('r-pi-8'!$D$3:D85)/COUNTIF($A$3:A85,"&lt;&gt;0"))</f>
        <v>74.603288147437837</v>
      </c>
    </row>
    <row r="86" spans="1:8">
      <c r="A86">
        <v>84</v>
      </c>
      <c r="B86">
        <v>9</v>
      </c>
      <c r="C86">
        <v>6680</v>
      </c>
      <c r="D86">
        <v>6759</v>
      </c>
      <c r="E86" s="4">
        <f t="shared" si="3"/>
        <v>1</v>
      </c>
      <c r="F86" s="4">
        <f t="shared" si="4"/>
        <v>79</v>
      </c>
      <c r="G86" s="4">
        <f t="shared" si="5"/>
        <v>6241</v>
      </c>
      <c r="H86" s="5">
        <f>SQRT(SUM('r-pi-8'!$D$3:D86)/COUNTIF($A$3:A86,"&lt;&gt;0"))</f>
        <v>74.698441368325376</v>
      </c>
    </row>
    <row r="87" spans="1:8">
      <c r="A87">
        <v>85</v>
      </c>
      <c r="B87">
        <v>9</v>
      </c>
      <c r="C87">
        <v>6680</v>
      </c>
      <c r="D87">
        <v>6779</v>
      </c>
      <c r="E87" s="4">
        <f t="shared" si="3"/>
        <v>1</v>
      </c>
      <c r="F87" s="4">
        <f t="shared" si="4"/>
        <v>99</v>
      </c>
      <c r="G87" s="4">
        <f t="shared" si="5"/>
        <v>9801</v>
      </c>
      <c r="H87" s="5">
        <f>SQRT(SUM('r-pi-8'!$D$3:D87)/COUNTIF($A$3:A87,"&lt;&gt;0"))</f>
        <v>74.792811859712515</v>
      </c>
    </row>
    <row r="88" spans="1:8">
      <c r="A88">
        <v>86</v>
      </c>
      <c r="B88">
        <v>9</v>
      </c>
      <c r="C88">
        <v>6680</v>
      </c>
      <c r="D88">
        <v>6810</v>
      </c>
      <c r="E88" s="4">
        <f t="shared" si="3"/>
        <v>1</v>
      </c>
      <c r="F88" s="4">
        <f t="shared" si="4"/>
        <v>130</v>
      </c>
      <c r="G88" s="4">
        <f t="shared" si="5"/>
        <v>16900</v>
      </c>
      <c r="H88" s="5">
        <f>SQRT(SUM('r-pi-8'!$D$3:D88)/COUNTIF($A$3:A88,"&lt;&gt;0"))</f>
        <v>74.887279635214355</v>
      </c>
    </row>
    <row r="89" spans="1:8">
      <c r="A89">
        <v>87</v>
      </c>
      <c r="B89">
        <v>9</v>
      </c>
      <c r="C89">
        <v>6680</v>
      </c>
      <c r="D89">
        <v>6850</v>
      </c>
      <c r="E89" s="4">
        <f t="shared" si="3"/>
        <v>1</v>
      </c>
      <c r="F89" s="4">
        <f t="shared" si="4"/>
        <v>170</v>
      </c>
      <c r="G89" s="4">
        <f t="shared" si="5"/>
        <v>28900</v>
      </c>
      <c r="H89" s="5">
        <f>SQRT(SUM('r-pi-8'!$D$3:D89)/COUNTIF($A$3:A89,"&lt;&gt;0"))</f>
        <v>74.982526700190817</v>
      </c>
    </row>
    <row r="90" spans="1:8">
      <c r="A90">
        <v>88</v>
      </c>
      <c r="B90">
        <v>9</v>
      </c>
      <c r="C90">
        <v>6680</v>
      </c>
      <c r="D90">
        <v>6809</v>
      </c>
      <c r="E90" s="4">
        <f t="shared" si="3"/>
        <v>1</v>
      </c>
      <c r="F90" s="4">
        <f t="shared" si="4"/>
        <v>129</v>
      </c>
      <c r="G90" s="4">
        <f t="shared" si="5"/>
        <v>16641</v>
      </c>
      <c r="H90" s="5">
        <f>SQRT(SUM('r-pi-8'!$D$3:D90)/COUNTIF($A$3:A90,"&lt;&gt;0"))</f>
        <v>75.072389307678463</v>
      </c>
    </row>
    <row r="91" spans="1:8">
      <c r="A91">
        <v>89</v>
      </c>
      <c r="B91">
        <v>9</v>
      </c>
      <c r="C91">
        <v>6680</v>
      </c>
      <c r="D91">
        <v>6811</v>
      </c>
      <c r="E91" s="4">
        <f t="shared" si="3"/>
        <v>1</v>
      </c>
      <c r="F91" s="4">
        <f t="shared" si="4"/>
        <v>131</v>
      </c>
      <c r="G91" s="4">
        <f t="shared" si="5"/>
        <v>17161</v>
      </c>
      <c r="H91" s="5">
        <f>SQRT(SUM('r-pi-8'!$D$3:D91)/COUNTIF($A$3:A91,"&lt;&gt;0"))</f>
        <v>75.160278177574213</v>
      </c>
    </row>
    <row r="92" spans="1:8">
      <c r="A92">
        <v>90</v>
      </c>
      <c r="B92">
        <v>9</v>
      </c>
      <c r="C92">
        <v>6680</v>
      </c>
      <c r="D92">
        <v>6753</v>
      </c>
      <c r="E92" s="4">
        <f t="shared" si="3"/>
        <v>1</v>
      </c>
      <c r="F92" s="4">
        <f t="shared" si="4"/>
        <v>73</v>
      </c>
      <c r="G92" s="4">
        <f t="shared" si="5"/>
        <v>5329</v>
      </c>
      <c r="H92" s="5">
        <f>SQRT(SUM('r-pi-8'!$D$3:D92)/COUNTIF($A$3:A92,"&lt;&gt;0"))</f>
        <v>75.241832336362819</v>
      </c>
    </row>
    <row r="93" spans="1:8">
      <c r="A93">
        <v>91</v>
      </c>
      <c r="B93">
        <v>9</v>
      </c>
      <c r="C93">
        <v>6680</v>
      </c>
      <c r="D93">
        <v>6641</v>
      </c>
      <c r="E93" s="4">
        <f t="shared" si="3"/>
        <v>1</v>
      </c>
      <c r="F93" s="4">
        <f t="shared" si="4"/>
        <v>39</v>
      </c>
      <c r="G93" s="4">
        <f t="shared" si="5"/>
        <v>1521</v>
      </c>
      <c r="H93" s="5">
        <f>SQRT(SUM('r-pi-8'!$D$3:D93)/COUNTIF($A$3:A93,"&lt;&gt;0"))</f>
        <v>75.313338135411982</v>
      </c>
    </row>
    <row r="94" spans="1:8">
      <c r="A94">
        <v>92</v>
      </c>
      <c r="B94">
        <v>9</v>
      </c>
      <c r="C94">
        <v>6680</v>
      </c>
      <c r="D94">
        <v>6782</v>
      </c>
      <c r="E94" s="4">
        <f t="shared" si="3"/>
        <v>1</v>
      </c>
      <c r="F94" s="4">
        <f t="shared" si="4"/>
        <v>102</v>
      </c>
      <c r="G94" s="4">
        <f t="shared" si="5"/>
        <v>10404</v>
      </c>
      <c r="H94" s="5">
        <f>SQRT(SUM('r-pi-8'!$D$3:D94)/COUNTIF($A$3:A94,"&lt;&gt;0"))</f>
        <v>75.39338859262304</v>
      </c>
    </row>
    <row r="95" spans="1:8">
      <c r="A95">
        <v>93</v>
      </c>
      <c r="B95">
        <v>9</v>
      </c>
      <c r="C95">
        <v>6680</v>
      </c>
      <c r="D95">
        <v>6965</v>
      </c>
      <c r="E95" s="4">
        <f t="shared" si="3"/>
        <v>1</v>
      </c>
      <c r="F95" s="4">
        <f t="shared" si="4"/>
        <v>285</v>
      </c>
      <c r="G95" s="4">
        <f t="shared" si="5"/>
        <v>81225</v>
      </c>
      <c r="H95" s="5">
        <f>SQRT(SUM('r-pi-8'!$D$3:D95)/COUNTIF($A$3:A95,"&lt;&gt;0"))</f>
        <v>75.484670522371417</v>
      </c>
    </row>
    <row r="96" spans="1:8">
      <c r="A96">
        <v>94</v>
      </c>
      <c r="B96">
        <v>9</v>
      </c>
      <c r="C96">
        <v>6680</v>
      </c>
      <c r="D96">
        <v>6461</v>
      </c>
      <c r="E96" s="4">
        <f t="shared" si="3"/>
        <v>1</v>
      </c>
      <c r="F96" s="4">
        <f t="shared" si="4"/>
        <v>219</v>
      </c>
      <c r="G96" s="4">
        <f t="shared" si="5"/>
        <v>47961</v>
      </c>
      <c r="H96" s="5">
        <f>SQRT(SUM('r-pi-8'!$D$3:D96)/COUNTIF($A$3:A96,"&lt;&gt;0"))</f>
        <v>75.538421955249774</v>
      </c>
    </row>
    <row r="97" spans="1:8">
      <c r="A97">
        <v>95</v>
      </c>
      <c r="B97">
        <v>9</v>
      </c>
      <c r="C97">
        <v>6680</v>
      </c>
      <c r="D97">
        <v>6819</v>
      </c>
      <c r="E97" s="4">
        <f t="shared" si="3"/>
        <v>1</v>
      </c>
      <c r="F97" s="4">
        <f t="shared" si="4"/>
        <v>139</v>
      </c>
      <c r="G97" s="4">
        <f t="shared" si="5"/>
        <v>19321</v>
      </c>
      <c r="H97" s="5">
        <f>SQRT(SUM('r-pi-8'!$D$3:D97)/COUNTIF($A$3:A97,"&lt;&gt;0"))</f>
        <v>75.615927032951404</v>
      </c>
    </row>
    <row r="98" spans="1:8">
      <c r="A98">
        <v>96</v>
      </c>
      <c r="B98">
        <v>9</v>
      </c>
      <c r="C98">
        <v>6680</v>
      </c>
      <c r="D98">
        <v>6815</v>
      </c>
      <c r="E98" s="4">
        <f t="shared" si="3"/>
        <v>1</v>
      </c>
      <c r="F98" s="4">
        <f t="shared" si="4"/>
        <v>135</v>
      </c>
      <c r="G98" s="4">
        <f t="shared" si="5"/>
        <v>18225</v>
      </c>
      <c r="H98" s="5">
        <f>SQRT(SUM('r-pi-8'!$D$3:D98)/COUNTIF($A$3:A98,"&lt;&gt;0"))</f>
        <v>75.691465282861756</v>
      </c>
    </row>
    <row r="99" spans="1:8">
      <c r="A99">
        <v>97</v>
      </c>
      <c r="B99">
        <v>9</v>
      </c>
      <c r="C99">
        <v>6680</v>
      </c>
      <c r="D99">
        <v>6868</v>
      </c>
      <c r="E99" s="4">
        <f t="shared" si="3"/>
        <v>1</v>
      </c>
      <c r="F99" s="4">
        <f t="shared" si="4"/>
        <v>188</v>
      </c>
      <c r="G99" s="4">
        <f t="shared" si="5"/>
        <v>35344</v>
      </c>
      <c r="H99" s="5">
        <f>SQRT(SUM('r-pi-8'!$D$3:D99)/COUNTIF($A$3:A99,"&lt;&gt;0"))</f>
        <v>75.768978773175348</v>
      </c>
    </row>
    <row r="100" spans="1:8">
      <c r="A100">
        <v>98</v>
      </c>
      <c r="B100">
        <v>9</v>
      </c>
      <c r="C100">
        <v>6680</v>
      </c>
      <c r="D100">
        <v>6823</v>
      </c>
      <c r="E100" s="4">
        <f t="shared" si="3"/>
        <v>1</v>
      </c>
      <c r="F100" s="4">
        <f t="shared" si="4"/>
        <v>143</v>
      </c>
      <c r="G100" s="4">
        <f t="shared" si="5"/>
        <v>20449</v>
      </c>
      <c r="H100" s="5">
        <f>SQRT(SUM('r-pi-8'!$D$3:D100)/COUNTIF($A$3:A100,"&lt;&gt;0"))</f>
        <v>75.841806359268205</v>
      </c>
    </row>
    <row r="101" spans="1:8">
      <c r="A101">
        <v>99</v>
      </c>
      <c r="B101">
        <v>9</v>
      </c>
      <c r="C101">
        <v>6680</v>
      </c>
      <c r="D101">
        <v>6939</v>
      </c>
      <c r="E101" s="4">
        <f t="shared" si="3"/>
        <v>1</v>
      </c>
      <c r="F101" s="4">
        <f t="shared" si="4"/>
        <v>259</v>
      </c>
      <c r="G101" s="4">
        <f t="shared" si="5"/>
        <v>67081</v>
      </c>
      <c r="H101" s="5">
        <f>SQRT(SUM('r-pi-8'!$D$3:D101)/COUNTIF($A$3:A101,"&lt;&gt;0"))</f>
        <v>75.920812014688678</v>
      </c>
    </row>
    <row r="102" spans="1:8">
      <c r="A102">
        <v>100</v>
      </c>
      <c r="B102">
        <v>9</v>
      </c>
      <c r="C102">
        <v>6680</v>
      </c>
      <c r="D102">
        <v>6235</v>
      </c>
      <c r="E102" s="4">
        <f t="shared" si="3"/>
        <v>1</v>
      </c>
      <c r="F102" s="4">
        <f t="shared" si="4"/>
        <v>445</v>
      </c>
      <c r="G102" s="4">
        <f t="shared" si="5"/>
        <v>198025</v>
      </c>
      <c r="H102" s="5">
        <f>SQRT(SUM('r-pi-8'!$D$3:D102)/COUNTIF($A$3:A102,"&lt;&gt;0"))</f>
        <v>75.951826837805555</v>
      </c>
    </row>
    <row r="103" spans="1:8">
      <c r="A103">
        <v>101</v>
      </c>
      <c r="B103">
        <v>9</v>
      </c>
      <c r="C103">
        <v>6680</v>
      </c>
      <c r="D103">
        <v>5636</v>
      </c>
      <c r="E103" s="4">
        <f t="shared" si="3"/>
        <v>1</v>
      </c>
      <c r="F103" s="4">
        <f t="shared" si="4"/>
        <v>1044</v>
      </c>
      <c r="G103" s="4">
        <f t="shared" si="5"/>
        <v>1089936</v>
      </c>
      <c r="H103" s="5">
        <f>SQRT(SUM('r-pi-8'!$D$3:D103)/COUNTIF($A$3:A103,"&lt;&gt;0"))</f>
        <v>75.943178341663199</v>
      </c>
    </row>
    <row r="104" spans="1:8">
      <c r="A104">
        <v>102</v>
      </c>
      <c r="B104">
        <v>9</v>
      </c>
      <c r="C104">
        <v>6680</v>
      </c>
      <c r="D104">
        <v>6151</v>
      </c>
      <c r="E104" s="4">
        <f t="shared" si="3"/>
        <v>1</v>
      </c>
      <c r="F104" s="4">
        <f t="shared" si="4"/>
        <v>529</v>
      </c>
      <c r="G104" s="4">
        <f t="shared" si="5"/>
        <v>279841</v>
      </c>
      <c r="H104" s="5">
        <f>SQRT(SUM('r-pi-8'!$D$3:D104)/COUNTIF($A$3:A104,"&lt;&gt;0"))</f>
        <v>75.96793699305249</v>
      </c>
    </row>
    <row r="105" spans="1:8">
      <c r="A105">
        <v>103</v>
      </c>
      <c r="B105">
        <v>9</v>
      </c>
      <c r="C105">
        <v>6680</v>
      </c>
      <c r="D105">
        <v>6638</v>
      </c>
      <c r="E105" s="4">
        <f t="shared" si="3"/>
        <v>1</v>
      </c>
      <c r="F105" s="4">
        <f t="shared" si="4"/>
        <v>42</v>
      </c>
      <c r="G105" s="4">
        <f t="shared" si="5"/>
        <v>1764</v>
      </c>
      <c r="H105" s="5">
        <f>SQRT(SUM('r-pi-8'!$D$3:D105)/COUNTIF($A$3:A105,"&lt;&gt;0"))</f>
        <v>76.023310170765313</v>
      </c>
    </row>
    <row r="106" spans="1:8">
      <c r="A106">
        <v>104</v>
      </c>
      <c r="B106">
        <v>9</v>
      </c>
      <c r="C106">
        <v>6680</v>
      </c>
      <c r="D106">
        <v>6808</v>
      </c>
      <c r="E106" s="4">
        <f t="shared" si="3"/>
        <v>1</v>
      </c>
      <c r="F106" s="4">
        <f t="shared" si="4"/>
        <v>128</v>
      </c>
      <c r="G106" s="4">
        <f t="shared" si="5"/>
        <v>16384</v>
      </c>
      <c r="H106" s="5">
        <f>SQRT(SUM('r-pi-8'!$D$3:D106)/COUNTIF($A$3:A106,"&lt;&gt;0"))</f>
        <v>76.088321655216532</v>
      </c>
    </row>
    <row r="107" spans="1:8">
      <c r="A107">
        <v>105</v>
      </c>
      <c r="B107">
        <v>9</v>
      </c>
      <c r="C107">
        <v>6680</v>
      </c>
      <c r="D107">
        <v>6947</v>
      </c>
      <c r="E107" s="4">
        <f t="shared" si="3"/>
        <v>1</v>
      </c>
      <c r="F107" s="4">
        <f t="shared" si="4"/>
        <v>267</v>
      </c>
      <c r="G107" s="4">
        <f t="shared" si="5"/>
        <v>71289</v>
      </c>
      <c r="H107" s="5">
        <f>SQRT(SUM('r-pi-8'!$D$3:D107)/COUNTIF($A$3:A107,"&lt;&gt;0"))</f>
        <v>76.160732289396634</v>
      </c>
    </row>
    <row r="108" spans="1:8">
      <c r="A108">
        <v>106</v>
      </c>
      <c r="B108">
        <v>9</v>
      </c>
      <c r="C108">
        <v>6680</v>
      </c>
      <c r="D108">
        <v>6106</v>
      </c>
      <c r="E108" s="4">
        <f t="shared" si="3"/>
        <v>1</v>
      </c>
      <c r="F108" s="4">
        <f t="shared" si="4"/>
        <v>574</v>
      </c>
      <c r="G108" s="4">
        <f t="shared" si="5"/>
        <v>329476</v>
      </c>
      <c r="H108" s="5">
        <f>SQRT(SUM('r-pi-8'!$D$3:D108)/COUNTIF($A$3:A108,"&lt;&gt;0"))</f>
        <v>76.179653600167484</v>
      </c>
    </row>
    <row r="109" spans="1:8">
      <c r="A109">
        <v>107</v>
      </c>
      <c r="B109">
        <v>9</v>
      </c>
      <c r="C109">
        <v>6680</v>
      </c>
      <c r="D109">
        <v>6810</v>
      </c>
      <c r="E109" s="4">
        <f t="shared" si="3"/>
        <v>1</v>
      </c>
      <c r="F109" s="4">
        <f t="shared" si="4"/>
        <v>130</v>
      </c>
      <c r="G109" s="4">
        <f t="shared" si="5"/>
        <v>16900</v>
      </c>
      <c r="H109" s="5">
        <f>SQRT(SUM('r-pi-8'!$D$3:D109)/COUNTIF($A$3:A109,"&lt;&gt;0"))</f>
        <v>76.24137763413907</v>
      </c>
    </row>
    <row r="110" spans="1:8">
      <c r="A110">
        <v>108</v>
      </c>
      <c r="B110">
        <v>9</v>
      </c>
      <c r="C110">
        <v>6680</v>
      </c>
      <c r="D110">
        <v>6759</v>
      </c>
      <c r="E110" s="4">
        <f t="shared" si="3"/>
        <v>1</v>
      </c>
      <c r="F110" s="4">
        <f t="shared" si="4"/>
        <v>79</v>
      </c>
      <c r="G110" s="4">
        <f t="shared" si="5"/>
        <v>6241</v>
      </c>
      <c r="H110" s="5">
        <f>SQRT(SUM('r-pi-8'!$D$3:D110)/COUNTIF($A$3:A110,"&lt;&gt;0"))</f>
        <v>76.298815582283183</v>
      </c>
    </row>
    <row r="111" spans="1:8">
      <c r="A111">
        <v>109</v>
      </c>
      <c r="B111">
        <v>9</v>
      </c>
      <c r="C111">
        <v>6680</v>
      </c>
      <c r="D111">
        <v>6801</v>
      </c>
      <c r="E111" s="4">
        <f t="shared" si="3"/>
        <v>1</v>
      </c>
      <c r="F111" s="4">
        <f t="shared" si="4"/>
        <v>121</v>
      </c>
      <c r="G111" s="4">
        <f t="shared" si="5"/>
        <v>14641</v>
      </c>
      <c r="H111" s="5">
        <f>SQRT(SUM('r-pi-8'!$D$3:D111)/COUNTIF($A$3:A111,"&lt;&gt;0"))</f>
        <v>76.357680771773289</v>
      </c>
    </row>
    <row r="112" spans="1:8">
      <c r="A112">
        <v>110</v>
      </c>
      <c r="B112">
        <v>9</v>
      </c>
      <c r="C112">
        <v>6680</v>
      </c>
      <c r="D112">
        <v>6812</v>
      </c>
      <c r="E112" s="4">
        <f t="shared" si="3"/>
        <v>1</v>
      </c>
      <c r="F112" s="4">
        <f t="shared" si="4"/>
        <v>132</v>
      </c>
      <c r="G112" s="4">
        <f t="shared" si="5"/>
        <v>17424</v>
      </c>
      <c r="H112" s="5">
        <f>SQRT(SUM('r-pi-8'!$D$3:D112)/COUNTIF($A$3:A112,"&lt;&gt;0"))</f>
        <v>76.41608588391702</v>
      </c>
    </row>
    <row r="113" spans="1:8">
      <c r="A113">
        <v>111</v>
      </c>
      <c r="B113">
        <v>9</v>
      </c>
      <c r="C113">
        <v>6680</v>
      </c>
      <c r="D113">
        <v>6949</v>
      </c>
      <c r="E113" s="4">
        <f t="shared" si="3"/>
        <v>1</v>
      </c>
      <c r="F113" s="4">
        <f t="shared" si="4"/>
        <v>269</v>
      </c>
      <c r="G113" s="4">
        <f t="shared" si="5"/>
        <v>72361</v>
      </c>
      <c r="H113" s="5">
        <f>SQRT(SUM('r-pi-8'!$D$3:D113)/COUNTIF($A$3:A113,"&lt;&gt;0"))</f>
        <v>76.48146451536094</v>
      </c>
    </row>
    <row r="114" spans="1:8">
      <c r="A114">
        <v>112</v>
      </c>
      <c r="B114">
        <v>9</v>
      </c>
      <c r="C114">
        <v>6680</v>
      </c>
      <c r="D114">
        <v>6838</v>
      </c>
      <c r="E114" s="4">
        <f t="shared" si="3"/>
        <v>1</v>
      </c>
      <c r="F114" s="4">
        <f t="shared" si="4"/>
        <v>158</v>
      </c>
      <c r="G114" s="4">
        <f t="shared" si="5"/>
        <v>24964</v>
      </c>
      <c r="H114" s="5">
        <f>SQRT(SUM('r-pi-8'!$D$3:D114)/COUNTIF($A$3:A114,"&lt;&gt;0"))</f>
        <v>76.539147313179356</v>
      </c>
    </row>
    <row r="115" spans="1:8">
      <c r="A115">
        <v>113</v>
      </c>
      <c r="B115">
        <v>9</v>
      </c>
      <c r="C115">
        <v>6680</v>
      </c>
      <c r="D115">
        <v>6628</v>
      </c>
      <c r="E115" s="4">
        <f t="shared" si="3"/>
        <v>1</v>
      </c>
      <c r="F115" s="4">
        <f t="shared" si="4"/>
        <v>52</v>
      </c>
      <c r="G115" s="4">
        <f t="shared" si="5"/>
        <v>2704</v>
      </c>
      <c r="H115" s="5">
        <f>SQRT(SUM('r-pi-8'!$D$3:D115)/COUNTIF($A$3:A115,"&lt;&gt;0"))</f>
        <v>76.583634657445799</v>
      </c>
    </row>
    <row r="116" spans="1:8">
      <c r="A116">
        <v>114</v>
      </c>
      <c r="B116">
        <v>9</v>
      </c>
      <c r="C116">
        <v>6680</v>
      </c>
      <c r="D116">
        <v>6816</v>
      </c>
      <c r="E116" s="4">
        <f t="shared" si="3"/>
        <v>1</v>
      </c>
      <c r="F116" s="4">
        <f t="shared" si="4"/>
        <v>136</v>
      </c>
      <c r="G116" s="4">
        <f t="shared" si="5"/>
        <v>18496</v>
      </c>
      <c r="H116" s="5">
        <f>SQRT(SUM('r-pi-8'!$D$3:D116)/COUNTIF($A$3:A116,"&lt;&gt;0"))</f>
        <v>76.638076286152341</v>
      </c>
    </row>
    <row r="117" spans="1:8">
      <c r="A117">
        <v>115</v>
      </c>
      <c r="B117">
        <v>9</v>
      </c>
      <c r="C117">
        <v>6680</v>
      </c>
      <c r="D117">
        <v>6699</v>
      </c>
      <c r="E117" s="4">
        <f t="shared" si="3"/>
        <v>1</v>
      </c>
      <c r="F117" s="4">
        <f t="shared" si="4"/>
        <v>19</v>
      </c>
      <c r="G117" s="4">
        <f t="shared" si="5"/>
        <v>361</v>
      </c>
      <c r="H117" s="5">
        <f>SQRT(SUM('r-pi-8'!$D$3:D117)/COUNTIF($A$3:A117,"&lt;&gt;0"))</f>
        <v>76.684900163222991</v>
      </c>
    </row>
    <row r="118" spans="1:8">
      <c r="A118">
        <v>116</v>
      </c>
      <c r="B118">
        <v>9</v>
      </c>
      <c r="C118">
        <v>6680</v>
      </c>
      <c r="D118">
        <v>6670</v>
      </c>
      <c r="E118" s="4">
        <f t="shared" si="3"/>
        <v>1</v>
      </c>
      <c r="F118" s="4">
        <f t="shared" si="4"/>
        <v>10</v>
      </c>
      <c r="G118" s="4">
        <f t="shared" si="5"/>
        <v>100</v>
      </c>
      <c r="H118" s="5">
        <f>SQRT(SUM('r-pi-8'!$D$3:D118)/COUNTIF($A$3:A118,"&lt;&gt;0"))</f>
        <v>76.729259805792651</v>
      </c>
    </row>
    <row r="119" spans="1:8">
      <c r="A119">
        <v>117</v>
      </c>
      <c r="B119">
        <v>9</v>
      </c>
      <c r="C119">
        <v>6680</v>
      </c>
      <c r="D119">
        <v>6794</v>
      </c>
      <c r="E119" s="4">
        <f t="shared" si="3"/>
        <v>1</v>
      </c>
      <c r="F119" s="4">
        <f t="shared" si="4"/>
        <v>114</v>
      </c>
      <c r="G119" s="4">
        <f t="shared" si="5"/>
        <v>12996</v>
      </c>
      <c r="H119" s="5">
        <f>SQRT(SUM('r-pi-8'!$D$3:D119)/COUNTIF($A$3:A119,"&lt;&gt;0"))</f>
        <v>76.779738246025588</v>
      </c>
    </row>
    <row r="120" spans="1:8">
      <c r="A120">
        <v>118</v>
      </c>
      <c r="B120">
        <v>9</v>
      </c>
      <c r="C120">
        <v>6680</v>
      </c>
      <c r="D120">
        <v>6553</v>
      </c>
      <c r="E120" s="4">
        <f t="shared" si="3"/>
        <v>1</v>
      </c>
      <c r="F120" s="4">
        <f t="shared" si="4"/>
        <v>127</v>
      </c>
      <c r="G120" s="4">
        <f t="shared" si="5"/>
        <v>16129</v>
      </c>
      <c r="H120" s="5">
        <f>SQRT(SUM('r-pi-8'!$D$3:D120)/COUNTIF($A$3:A120,"&lt;&gt;0"))</f>
        <v>76.816036020029756</v>
      </c>
    </row>
    <row r="121" spans="1:8">
      <c r="A121">
        <v>119</v>
      </c>
      <c r="B121">
        <v>9</v>
      </c>
      <c r="C121">
        <v>6680</v>
      </c>
      <c r="D121">
        <v>6331</v>
      </c>
      <c r="E121" s="4">
        <f t="shared" si="3"/>
        <v>1</v>
      </c>
      <c r="F121" s="4">
        <f t="shared" si="4"/>
        <v>349</v>
      </c>
      <c r="G121" s="4">
        <f t="shared" si="5"/>
        <v>121801</v>
      </c>
      <c r="H121" s="5">
        <f>SQRT(SUM('r-pi-8'!$D$3:D121)/COUNTIF($A$3:A121,"&lt;&gt;0"))</f>
        <v>76.839568763307696</v>
      </c>
    </row>
    <row r="122" spans="1:8">
      <c r="A122">
        <v>120</v>
      </c>
      <c r="B122">
        <v>9</v>
      </c>
      <c r="C122">
        <v>6680</v>
      </c>
      <c r="D122">
        <v>6025</v>
      </c>
      <c r="E122" s="4">
        <f t="shared" si="3"/>
        <v>1</v>
      </c>
      <c r="F122" s="4">
        <f t="shared" si="4"/>
        <v>655</v>
      </c>
      <c r="G122" s="4">
        <f t="shared" si="5"/>
        <v>429025</v>
      </c>
      <c r="H122" s="5">
        <f>SQRT(SUM('r-pi-8'!$D$3:D122)/COUNTIF($A$3:A122,"&lt;&gt;0"))</f>
        <v>76.846112458601311</v>
      </c>
    </row>
    <row r="123" spans="1:8">
      <c r="A123">
        <v>121</v>
      </c>
      <c r="B123">
        <v>9</v>
      </c>
      <c r="C123">
        <v>6680</v>
      </c>
      <c r="D123">
        <v>6219</v>
      </c>
      <c r="E123" s="4">
        <f t="shared" si="3"/>
        <v>1</v>
      </c>
      <c r="F123" s="4">
        <f t="shared" si="4"/>
        <v>461</v>
      </c>
      <c r="G123" s="4">
        <f t="shared" si="5"/>
        <v>212521</v>
      </c>
      <c r="H123" s="5">
        <f>SQRT(SUM('r-pi-8'!$D$3:D123)/COUNTIF($A$3:A123,"&lt;&gt;0"))</f>
        <v>76.862977794071327</v>
      </c>
    </row>
    <row r="124" spans="1:8">
      <c r="A124">
        <v>122</v>
      </c>
      <c r="B124">
        <v>9</v>
      </c>
      <c r="C124">
        <v>6680</v>
      </c>
      <c r="D124">
        <v>6759</v>
      </c>
      <c r="E124" s="4">
        <f t="shared" si="3"/>
        <v>1</v>
      </c>
      <c r="F124" s="4">
        <f t="shared" si="4"/>
        <v>79</v>
      </c>
      <c r="G124" s="4">
        <f t="shared" si="5"/>
        <v>6241</v>
      </c>
      <c r="H124" s="5">
        <f>SQRT(SUM('r-pi-8'!$D$3:D124)/COUNTIF($A$3:A124,"&lt;&gt;0"))</f>
        <v>76.908344427785934</v>
      </c>
    </row>
    <row r="125" spans="1:8">
      <c r="A125">
        <v>123</v>
      </c>
      <c r="B125">
        <v>9</v>
      </c>
      <c r="C125">
        <v>6680</v>
      </c>
      <c r="D125">
        <v>6855</v>
      </c>
      <c r="E125" s="4">
        <f t="shared" si="3"/>
        <v>1</v>
      </c>
      <c r="F125" s="4">
        <f t="shared" si="4"/>
        <v>175</v>
      </c>
      <c r="G125" s="4">
        <f t="shared" si="5"/>
        <v>30625</v>
      </c>
      <c r="H125" s="5">
        <f>SQRT(SUM('r-pi-8'!$D$3:D125)/COUNTIF($A$3:A125,"&lt;&gt;0"))</f>
        <v>76.958018330553799</v>
      </c>
    </row>
    <row r="126" spans="1:8">
      <c r="A126">
        <v>124</v>
      </c>
      <c r="B126">
        <v>9</v>
      </c>
      <c r="C126">
        <v>6680</v>
      </c>
      <c r="D126">
        <v>6720</v>
      </c>
      <c r="E126" s="4">
        <f t="shared" si="3"/>
        <v>1</v>
      </c>
      <c r="F126" s="4">
        <f t="shared" si="4"/>
        <v>40</v>
      </c>
      <c r="G126" s="4">
        <f t="shared" si="5"/>
        <v>1600</v>
      </c>
      <c r="H126" s="5">
        <f>SQRT(SUM('r-pi-8'!$D$3:D126)/COUNTIF($A$3:A126,"&lt;&gt;0"))</f>
        <v>76.999790531763679</v>
      </c>
    </row>
    <row r="127" spans="1:8">
      <c r="A127">
        <v>125</v>
      </c>
      <c r="B127">
        <v>9</v>
      </c>
      <c r="C127">
        <v>6680</v>
      </c>
      <c r="D127">
        <v>6647</v>
      </c>
      <c r="E127" s="4">
        <f t="shared" si="3"/>
        <v>1</v>
      </c>
      <c r="F127" s="4">
        <f t="shared" si="4"/>
        <v>33</v>
      </c>
      <c r="G127" s="4">
        <f t="shared" si="5"/>
        <v>1089</v>
      </c>
      <c r="H127" s="5">
        <f>SQRT(SUM('r-pi-8'!$D$3:D127)/COUNTIF($A$3:A127,"&lt;&gt;0"))</f>
        <v>77.03708198004388</v>
      </c>
    </row>
    <row r="128" spans="1:8">
      <c r="A128">
        <v>126</v>
      </c>
      <c r="B128">
        <v>9</v>
      </c>
      <c r="C128">
        <v>6680</v>
      </c>
      <c r="D128">
        <v>6854</v>
      </c>
      <c r="E128" s="4">
        <f t="shared" si="3"/>
        <v>1</v>
      </c>
      <c r="F128" s="4">
        <f t="shared" si="4"/>
        <v>174</v>
      </c>
      <c r="G128" s="4">
        <f t="shared" si="5"/>
        <v>30276</v>
      </c>
      <c r="H128" s="5">
        <f>SQRT(SUM('r-pi-8'!$D$3:D128)/COUNTIF($A$3:A128,"&lt;&gt;0"))</f>
        <v>77.084420841749449</v>
      </c>
    </row>
    <row r="129" spans="1:8">
      <c r="A129">
        <v>127</v>
      </c>
      <c r="B129">
        <v>9</v>
      </c>
      <c r="C129">
        <v>6680</v>
      </c>
      <c r="D129">
        <v>6622</v>
      </c>
      <c r="E129" s="4">
        <f t="shared" si="3"/>
        <v>1</v>
      </c>
      <c r="F129" s="4">
        <f t="shared" si="4"/>
        <v>58</v>
      </c>
      <c r="G129" s="4">
        <f t="shared" si="5"/>
        <v>3364</v>
      </c>
      <c r="H129" s="5">
        <f>SQRT(SUM('r-pi-8'!$D$3:D129)/COUNTIF($A$3:A129,"&lt;&gt;0"))</f>
        <v>77.119142920058508</v>
      </c>
    </row>
    <row r="130" spans="1:8">
      <c r="A130">
        <v>128</v>
      </c>
      <c r="B130">
        <v>9</v>
      </c>
      <c r="C130">
        <v>6680</v>
      </c>
      <c r="D130">
        <v>6973</v>
      </c>
      <c r="E130" s="4">
        <f t="shared" si="3"/>
        <v>1</v>
      </c>
      <c r="F130" s="4">
        <f t="shared" si="4"/>
        <v>293</v>
      </c>
      <c r="G130" s="4">
        <f t="shared" si="5"/>
        <v>85849</v>
      </c>
      <c r="H130" s="5">
        <f>SQRT(SUM('r-pi-8'!$D$3:D130)/COUNTIF($A$3:A130,"&lt;&gt;0"))</f>
        <v>77.171076187908639</v>
      </c>
    </row>
    <row r="131" spans="1:8">
      <c r="A131">
        <v>129</v>
      </c>
      <c r="B131">
        <v>9</v>
      </c>
      <c r="C131">
        <v>6680</v>
      </c>
      <c r="D131">
        <v>6899</v>
      </c>
      <c r="E131" s="4">
        <f t="shared" si="3"/>
        <v>1</v>
      </c>
      <c r="F131" s="4">
        <f t="shared" si="4"/>
        <v>219</v>
      </c>
      <c r="G131" s="4">
        <f t="shared" si="5"/>
        <v>47961</v>
      </c>
      <c r="H131" s="5">
        <f>SQRT(SUM('r-pi-8'!$D$3:D131)/COUNTIF($A$3:A131,"&lt;&gt;0"))</f>
        <v>77.218455841078693</v>
      </c>
    </row>
    <row r="132" spans="1:8">
      <c r="A132">
        <v>130</v>
      </c>
      <c r="B132">
        <v>9</v>
      </c>
      <c r="C132">
        <v>6680</v>
      </c>
      <c r="D132">
        <v>6703</v>
      </c>
      <c r="E132" s="4">
        <f t="shared" ref="E132:E152" si="6">IF(AND(D132&lt;=C132*1.2,D132&gt;=C132*0.8),1,0)</f>
        <v>1</v>
      </c>
      <c r="F132" s="4">
        <f t="shared" ref="F132:F152" si="7">ABS(D132-C132)</f>
        <v>23</v>
      </c>
      <c r="G132" s="4">
        <f t="shared" ref="G132:G152" si="8">POWER(F132,2)</f>
        <v>529</v>
      </c>
      <c r="H132" s="5">
        <f>SQRT(SUM('r-pi-8'!$D$3:D132)/COUNTIF($A$3:A132,"&lt;&gt;0"))</f>
        <v>77.255320951922883</v>
      </c>
    </row>
    <row r="133" spans="1:8">
      <c r="A133">
        <v>131</v>
      </c>
      <c r="B133">
        <v>9</v>
      </c>
      <c r="C133">
        <v>6680</v>
      </c>
      <c r="D133">
        <v>6899</v>
      </c>
      <c r="E133" s="4">
        <f t="shared" si="6"/>
        <v>1</v>
      </c>
      <c r="F133" s="4">
        <f t="shared" si="7"/>
        <v>219</v>
      </c>
      <c r="G133" s="4">
        <f t="shared" si="8"/>
        <v>47961</v>
      </c>
      <c r="H133" s="5">
        <f>SQRT(SUM('r-pi-8'!$D$3:D133)/COUNTIF($A$3:A133,"&lt;&gt;0"))</f>
        <v>77.301284268880821</v>
      </c>
    </row>
    <row r="134" spans="1:8">
      <c r="A134">
        <v>132</v>
      </c>
      <c r="B134">
        <v>9</v>
      </c>
      <c r="C134">
        <v>6680</v>
      </c>
      <c r="D134">
        <v>6987</v>
      </c>
      <c r="E134" s="4">
        <f t="shared" si="6"/>
        <v>1</v>
      </c>
      <c r="F134" s="4">
        <f t="shared" si="7"/>
        <v>307</v>
      </c>
      <c r="G134" s="4">
        <f t="shared" si="8"/>
        <v>94249</v>
      </c>
      <c r="H134" s="5">
        <f>SQRT(SUM('r-pi-8'!$D$3:D134)/COUNTIF($A$3:A134,"&lt;&gt;0"))</f>
        <v>77.350833965455834</v>
      </c>
    </row>
    <row r="135" spans="1:8">
      <c r="A135">
        <v>133</v>
      </c>
      <c r="B135">
        <v>9</v>
      </c>
      <c r="C135">
        <v>6680</v>
      </c>
      <c r="D135">
        <v>6851</v>
      </c>
      <c r="E135" s="4">
        <f t="shared" si="6"/>
        <v>1</v>
      </c>
      <c r="F135" s="4">
        <f t="shared" si="7"/>
        <v>171</v>
      </c>
      <c r="G135" s="4">
        <f t="shared" si="8"/>
        <v>29241</v>
      </c>
      <c r="H135" s="5">
        <f>SQRT(SUM('r-pi-8'!$D$3:D135)/COUNTIF($A$3:A135,"&lt;&gt;0"))</f>
        <v>77.393001568160699</v>
      </c>
    </row>
    <row r="136" spans="1:8">
      <c r="A136">
        <v>134</v>
      </c>
      <c r="B136">
        <v>9</v>
      </c>
      <c r="C136">
        <v>6680</v>
      </c>
      <c r="D136">
        <v>6892</v>
      </c>
      <c r="E136" s="4">
        <f t="shared" si="6"/>
        <v>1</v>
      </c>
      <c r="F136" s="4">
        <f t="shared" si="7"/>
        <v>212</v>
      </c>
      <c r="G136" s="4">
        <f t="shared" si="8"/>
        <v>44944</v>
      </c>
      <c r="H136" s="5">
        <f>SQRT(SUM('r-pi-8'!$D$3:D136)/COUNTIF($A$3:A136,"&lt;&gt;0"))</f>
        <v>77.436492997560222</v>
      </c>
    </row>
    <row r="137" spans="1:8">
      <c r="A137">
        <v>135</v>
      </c>
      <c r="B137">
        <v>9</v>
      </c>
      <c r="C137">
        <v>6680</v>
      </c>
      <c r="D137">
        <v>6688</v>
      </c>
      <c r="E137" s="4">
        <f t="shared" si="6"/>
        <v>1</v>
      </c>
      <c r="F137" s="4">
        <f t="shared" si="7"/>
        <v>8</v>
      </c>
      <c r="G137" s="4">
        <f t="shared" si="8"/>
        <v>64</v>
      </c>
      <c r="H137" s="5">
        <f>SQRT(SUM('r-pi-8'!$D$3:D137)/COUNTIF($A$3:A137,"&lt;&gt;0"))</f>
        <v>77.469563915987891</v>
      </c>
    </row>
    <row r="138" spans="1:8">
      <c r="A138">
        <v>136</v>
      </c>
      <c r="B138">
        <v>9</v>
      </c>
      <c r="C138">
        <v>6680</v>
      </c>
      <c r="D138">
        <v>6859</v>
      </c>
      <c r="E138" s="4">
        <f t="shared" si="6"/>
        <v>1</v>
      </c>
      <c r="F138" s="4">
        <f t="shared" si="7"/>
        <v>179</v>
      </c>
      <c r="G138" s="4">
        <f t="shared" si="8"/>
        <v>32041</v>
      </c>
      <c r="H138" s="5">
        <f>SQRT(SUM('r-pi-8'!$D$3:D138)/COUNTIF($A$3:A138,"&lt;&gt;0"))</f>
        <v>77.510246002022967</v>
      </c>
    </row>
    <row r="139" spans="1:8">
      <c r="A139">
        <v>137</v>
      </c>
      <c r="B139">
        <v>9</v>
      </c>
      <c r="C139">
        <v>6680</v>
      </c>
      <c r="D139">
        <v>6935</v>
      </c>
      <c r="E139" s="4">
        <f t="shared" si="6"/>
        <v>1</v>
      </c>
      <c r="F139" s="4">
        <f t="shared" si="7"/>
        <v>255</v>
      </c>
      <c r="G139" s="4">
        <f t="shared" si="8"/>
        <v>65025</v>
      </c>
      <c r="H139" s="5">
        <f>SQRT(SUM('r-pi-8'!$D$3:D139)/COUNTIF($A$3:A139,"&lt;&gt;0"))</f>
        <v>77.553889905123768</v>
      </c>
    </row>
    <row r="140" spans="1:8">
      <c r="A140">
        <v>138</v>
      </c>
      <c r="B140">
        <v>9</v>
      </c>
      <c r="C140">
        <v>6680</v>
      </c>
      <c r="D140">
        <v>7096</v>
      </c>
      <c r="E140" s="4">
        <f t="shared" si="6"/>
        <v>1</v>
      </c>
      <c r="F140" s="4">
        <f t="shared" si="7"/>
        <v>416</v>
      </c>
      <c r="G140" s="4">
        <f t="shared" si="8"/>
        <v>173056</v>
      </c>
      <c r="H140" s="5">
        <f>SQRT(SUM('r-pi-8'!$D$3:D140)/COUNTIF($A$3:A140,"&lt;&gt;0"))</f>
        <v>77.604394392234695</v>
      </c>
    </row>
    <row r="141" spans="1:8">
      <c r="A141">
        <v>139</v>
      </c>
      <c r="B141">
        <v>8</v>
      </c>
      <c r="C141">
        <v>6680</v>
      </c>
      <c r="D141">
        <v>5811</v>
      </c>
      <c r="E141" s="4">
        <f t="shared" si="6"/>
        <v>1</v>
      </c>
      <c r="F141" s="4">
        <f t="shared" si="7"/>
        <v>869</v>
      </c>
      <c r="G141" s="4">
        <f t="shared" si="8"/>
        <v>755161</v>
      </c>
      <c r="H141" s="5">
        <f>SQRT(SUM('r-pi-8'!$D$3:D141)/COUNTIF($A$3:A141,"&lt;&gt;0"))</f>
        <v>77.594593003052424</v>
      </c>
    </row>
    <row r="142" spans="1:8">
      <c r="A142">
        <v>140</v>
      </c>
      <c r="B142">
        <v>9</v>
      </c>
      <c r="C142">
        <v>6680</v>
      </c>
      <c r="D142">
        <v>6400</v>
      </c>
      <c r="E142" s="4">
        <f t="shared" si="6"/>
        <v>1</v>
      </c>
      <c r="F142" s="4">
        <f t="shared" si="7"/>
        <v>280</v>
      </c>
      <c r="G142" s="4">
        <f t="shared" si="8"/>
        <v>78400</v>
      </c>
      <c r="H142" s="5">
        <f>SQRT(SUM('r-pi-8'!$D$3:D142)/COUNTIF($A$3:A142,"&lt;&gt;0"))</f>
        <v>77.61203883050986</v>
      </c>
    </row>
    <row r="143" spans="1:8">
      <c r="A143">
        <v>141</v>
      </c>
      <c r="B143">
        <v>9</v>
      </c>
      <c r="C143">
        <v>6680</v>
      </c>
      <c r="D143">
        <v>6733</v>
      </c>
      <c r="E143" s="4">
        <f t="shared" si="6"/>
        <v>1</v>
      </c>
      <c r="F143" s="4">
        <f t="shared" si="7"/>
        <v>53</v>
      </c>
      <c r="G143" s="4">
        <f t="shared" si="8"/>
        <v>2809</v>
      </c>
      <c r="H143" s="5">
        <f>SQRT(SUM('r-pi-8'!$D$3:D143)/COUNTIF($A$3:A143,"&lt;&gt;0"))</f>
        <v>77.644443294211882</v>
      </c>
    </row>
    <row r="144" spans="1:8">
      <c r="A144">
        <v>142</v>
      </c>
      <c r="B144">
        <v>9</v>
      </c>
      <c r="C144">
        <v>6680</v>
      </c>
      <c r="D144">
        <v>6440</v>
      </c>
      <c r="E144" s="4">
        <f t="shared" si="6"/>
        <v>1</v>
      </c>
      <c r="F144" s="4">
        <f t="shared" si="7"/>
        <v>240</v>
      </c>
      <c r="G144" s="4">
        <f t="shared" si="8"/>
        <v>57600</v>
      </c>
      <c r="H144" s="5">
        <f>SQRT(SUM('r-pi-8'!$D$3:D144)/COUNTIF($A$3:A144,"&lt;&gt;0"))</f>
        <v>77.663095084011232</v>
      </c>
    </row>
    <row r="145" spans="1:8">
      <c r="A145">
        <v>143</v>
      </c>
      <c r="B145">
        <v>9</v>
      </c>
      <c r="C145">
        <v>6680</v>
      </c>
      <c r="D145">
        <v>6843</v>
      </c>
      <c r="E145" s="4">
        <f t="shared" si="6"/>
        <v>1</v>
      </c>
      <c r="F145" s="4">
        <f t="shared" si="7"/>
        <v>163</v>
      </c>
      <c r="G145" s="4">
        <f t="shared" si="8"/>
        <v>26569</v>
      </c>
      <c r="H145" s="5">
        <f>SQRT(SUM('r-pi-8'!$D$3:D145)/COUNTIF($A$3:A145,"&lt;&gt;0"))</f>
        <v>77.699618848683997</v>
      </c>
    </row>
    <row r="146" spans="1:8">
      <c r="A146">
        <v>144</v>
      </c>
      <c r="B146">
        <v>9</v>
      </c>
      <c r="C146">
        <v>6680</v>
      </c>
      <c r="D146">
        <v>6813</v>
      </c>
      <c r="E146" s="4">
        <f t="shared" si="6"/>
        <v>1</v>
      </c>
      <c r="F146" s="4">
        <f t="shared" si="7"/>
        <v>133</v>
      </c>
      <c r="G146" s="4">
        <f t="shared" si="8"/>
        <v>17689</v>
      </c>
      <c r="H146" s="5">
        <f>SQRT(SUM('r-pi-8'!$D$3:D146)/COUNTIF($A$3:A146,"&lt;&gt;0"))</f>
        <v>77.73427851054872</v>
      </c>
    </row>
    <row r="147" spans="1:8">
      <c r="A147">
        <v>145</v>
      </c>
      <c r="B147">
        <v>9</v>
      </c>
      <c r="C147">
        <v>6680</v>
      </c>
      <c r="D147">
        <v>6810</v>
      </c>
      <c r="E147" s="4">
        <f t="shared" si="6"/>
        <v>1</v>
      </c>
      <c r="F147" s="4">
        <f t="shared" si="7"/>
        <v>130</v>
      </c>
      <c r="G147" s="4">
        <f t="shared" si="8"/>
        <v>16900</v>
      </c>
      <c r="H147" s="5">
        <f>SQRT(SUM('r-pi-8'!$D$3:D147)/COUNTIF($A$3:A147,"&lt;&gt;0"))</f>
        <v>77.768311958197899</v>
      </c>
    </row>
    <row r="148" spans="1:8">
      <c r="A148">
        <v>146</v>
      </c>
      <c r="B148">
        <v>9</v>
      </c>
      <c r="C148">
        <v>6680</v>
      </c>
      <c r="D148">
        <v>6427</v>
      </c>
      <c r="E148" s="4">
        <f t="shared" si="6"/>
        <v>1</v>
      </c>
      <c r="F148" s="4">
        <f t="shared" si="7"/>
        <v>253</v>
      </c>
      <c r="G148" s="4">
        <f t="shared" si="8"/>
        <v>64009</v>
      </c>
      <c r="H148" s="5">
        <f>SQRT(SUM('r-pi-8'!$D$3:D148)/COUNTIF($A$3:A148,"&lt;&gt;0"))</f>
        <v>77.785004013081263</v>
      </c>
    </row>
    <row r="149" spans="1:8">
      <c r="A149">
        <v>147</v>
      </c>
      <c r="B149">
        <v>9</v>
      </c>
      <c r="C149">
        <v>6680</v>
      </c>
      <c r="D149">
        <v>6544</v>
      </c>
      <c r="E149" s="4">
        <f t="shared" si="6"/>
        <v>1</v>
      </c>
      <c r="F149" s="4">
        <f t="shared" si="7"/>
        <v>136</v>
      </c>
      <c r="G149" s="4">
        <f t="shared" si="8"/>
        <v>18496</v>
      </c>
      <c r="H149" s="5">
        <f>SQRT(SUM('r-pi-8'!$D$3:D149)/COUNTIF($A$3:A149,"&lt;&gt;0"))</f>
        <v>77.806580348825449</v>
      </c>
    </row>
    <row r="150" spans="1:8">
      <c r="A150">
        <v>148</v>
      </c>
      <c r="B150">
        <v>9</v>
      </c>
      <c r="C150">
        <v>6680</v>
      </c>
      <c r="D150">
        <v>6632</v>
      </c>
      <c r="E150" s="4">
        <f t="shared" si="6"/>
        <v>1</v>
      </c>
      <c r="F150" s="4">
        <f t="shared" si="7"/>
        <v>48</v>
      </c>
      <c r="G150" s="4">
        <f t="shared" si="8"/>
        <v>2304</v>
      </c>
      <c r="H150" s="5">
        <f>SQRT(SUM('r-pi-8'!$D$3:D150)/COUNTIF($A$3:A150,"&lt;&gt;0"))</f>
        <v>77.831679091937048</v>
      </c>
    </row>
    <row r="151" spans="1:8">
      <c r="A151">
        <v>149</v>
      </c>
      <c r="B151">
        <v>9</v>
      </c>
      <c r="C151">
        <v>6680</v>
      </c>
      <c r="D151">
        <v>6805</v>
      </c>
      <c r="E151" s="4">
        <f t="shared" si="6"/>
        <v>1</v>
      </c>
      <c r="F151" s="4">
        <f t="shared" si="7"/>
        <v>125</v>
      </c>
      <c r="G151" s="4">
        <f t="shared" si="8"/>
        <v>15625</v>
      </c>
      <c r="H151" s="5">
        <f>SQRT(SUM('r-pi-8'!$D$3:D151)/COUNTIF($A$3:A151,"&lt;&gt;0"))</f>
        <v>77.863889158578061</v>
      </c>
    </row>
    <row r="152" spans="1:8">
      <c r="A152">
        <v>150</v>
      </c>
      <c r="B152">
        <v>9</v>
      </c>
      <c r="C152">
        <v>6680</v>
      </c>
      <c r="D152">
        <v>6742</v>
      </c>
      <c r="E152" s="4">
        <f t="shared" si="6"/>
        <v>1</v>
      </c>
      <c r="F152" s="4">
        <f t="shared" si="7"/>
        <v>62</v>
      </c>
      <c r="G152" s="4">
        <f t="shared" si="8"/>
        <v>3844</v>
      </c>
      <c r="H152" s="5">
        <f>SQRT(SUM('r-pi-8'!$D$3:D152)/COUNTIF($A$3:A152,"&lt;&gt;0"))</f>
        <v>77.892960743146318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3" width="8.7265625" style="4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43"/>
      <c r="C2" s="6" t="s">
        <v>6</v>
      </c>
      <c r="D2" s="6" t="s">
        <v>8</v>
      </c>
      <c r="E2" s="43"/>
      <c r="F2" s="43"/>
      <c r="G2" s="43"/>
      <c r="H2" s="43"/>
    </row>
    <row r="3" spans="1:8">
      <c r="A3">
        <v>1</v>
      </c>
      <c r="B3">
        <v>1</v>
      </c>
      <c r="C3">
        <v>8110</v>
      </c>
      <c r="D3">
        <v>1222</v>
      </c>
      <c r="E3" s="4">
        <f>IF(AND(D3&lt;=C3*1.2,D3&gt;=C3*0.8),1,0)</f>
        <v>0</v>
      </c>
      <c r="F3" s="4">
        <f>ABS(C3-D3)</f>
        <v>6888</v>
      </c>
      <c r="G3" s="4">
        <f>POWER(F3,2)</f>
        <v>47444544</v>
      </c>
      <c r="H3" s="5">
        <f>SQRT(SUM('r-pi-11'!$D$3:D3)/COUNTIF($A$3:A3,"&lt;&gt;0"))</f>
        <v>34.957116585897069</v>
      </c>
    </row>
    <row r="4" spans="1:8">
      <c r="A4">
        <v>2</v>
      </c>
      <c r="B4">
        <v>2</v>
      </c>
      <c r="C4">
        <v>8110</v>
      </c>
      <c r="D4">
        <v>2422</v>
      </c>
      <c r="E4" s="4">
        <f t="shared" ref="E4:E67" si="0">IF(AND(D4&lt;=C4*1.2,D4&gt;=C4*0.8),1,0)</f>
        <v>0</v>
      </c>
      <c r="F4" s="4">
        <f t="shared" ref="F4:F67" si="1">ABS(C4-D4)</f>
        <v>5688</v>
      </c>
      <c r="G4" s="4">
        <f t="shared" ref="G4:G67" si="2">POWER(F4,2)</f>
        <v>32353344</v>
      </c>
      <c r="H4" s="5">
        <f>SQRT(SUM('r-pi-11'!$D$3:D4)/COUNTIF($A$3:A4,"&lt;&gt;0"))</f>
        <v>42.684891940826091</v>
      </c>
    </row>
    <row r="5" spans="1:8">
      <c r="A5">
        <v>3</v>
      </c>
      <c r="B5">
        <v>2</v>
      </c>
      <c r="C5">
        <v>8110</v>
      </c>
      <c r="D5">
        <v>2477</v>
      </c>
      <c r="E5" s="4">
        <f t="shared" si="0"/>
        <v>0</v>
      </c>
      <c r="F5" s="4">
        <f t="shared" si="1"/>
        <v>5633</v>
      </c>
      <c r="G5" s="4">
        <f t="shared" si="2"/>
        <v>31730689</v>
      </c>
      <c r="H5" s="5">
        <f>SQRT(SUM('r-pi-11'!$D$3:D5)/COUNTIF($A$3:A5,"&lt;&gt;0"))</f>
        <v>45.170049073842428</v>
      </c>
    </row>
    <row r="6" spans="1:8">
      <c r="A6">
        <v>4</v>
      </c>
      <c r="B6">
        <v>2</v>
      </c>
      <c r="C6">
        <v>8110</v>
      </c>
      <c r="D6">
        <v>2486</v>
      </c>
      <c r="E6" s="4">
        <f t="shared" si="0"/>
        <v>0</v>
      </c>
      <c r="F6" s="4">
        <f t="shared" si="1"/>
        <v>5624</v>
      </c>
      <c r="G6" s="4">
        <f t="shared" si="2"/>
        <v>31629376</v>
      </c>
      <c r="H6" s="5">
        <f>SQRT(SUM('r-pi-11'!$D$3:D6)/COUNTIF($A$3:A6,"&lt;&gt;0"))</f>
        <v>46.386959374375898</v>
      </c>
    </row>
    <row r="7" spans="1:8">
      <c r="A7">
        <v>5</v>
      </c>
      <c r="B7">
        <v>3</v>
      </c>
      <c r="C7">
        <v>8110</v>
      </c>
      <c r="D7">
        <v>2611</v>
      </c>
      <c r="E7" s="4">
        <f t="shared" si="0"/>
        <v>0</v>
      </c>
      <c r="F7" s="4">
        <f t="shared" si="1"/>
        <v>5499</v>
      </c>
      <c r="G7" s="4">
        <f t="shared" si="2"/>
        <v>30239001</v>
      </c>
      <c r="H7" s="5">
        <f>SQRT(SUM('r-pi-11'!$D$3:D7)/COUNTIF($A$3:A7,"&lt;&gt;0"))</f>
        <v>47.366654937835747</v>
      </c>
    </row>
    <row r="8" spans="1:8">
      <c r="A8">
        <v>6</v>
      </c>
      <c r="B8">
        <v>4</v>
      </c>
      <c r="C8">
        <v>8110</v>
      </c>
      <c r="D8">
        <v>4206</v>
      </c>
      <c r="E8" s="4">
        <f t="shared" si="0"/>
        <v>0</v>
      </c>
      <c r="F8" s="4">
        <f t="shared" si="1"/>
        <v>3904</v>
      </c>
      <c r="G8" s="4">
        <f t="shared" si="2"/>
        <v>15241216</v>
      </c>
      <c r="H8" s="5">
        <f>SQRT(SUM('r-pi-11'!$D$3:D8)/COUNTIF($A$3:A8,"&lt;&gt;0"))</f>
        <v>50.701742244884116</v>
      </c>
    </row>
    <row r="9" spans="1:8">
      <c r="A9">
        <v>7</v>
      </c>
      <c r="B9">
        <v>4</v>
      </c>
      <c r="C9">
        <v>8110</v>
      </c>
      <c r="D9">
        <v>4238</v>
      </c>
      <c r="E9" s="4">
        <f t="shared" si="0"/>
        <v>0</v>
      </c>
      <c r="F9" s="4">
        <f t="shared" si="1"/>
        <v>3872</v>
      </c>
      <c r="G9" s="4">
        <f t="shared" si="2"/>
        <v>14992384</v>
      </c>
      <c r="H9" s="5">
        <f>SQRT(SUM('r-pi-11'!$D$3:D9)/COUNTIF($A$3:A9,"&lt;&gt;0"))</f>
        <v>52.998652273969597</v>
      </c>
    </row>
    <row r="10" spans="1:8">
      <c r="A10">
        <v>8</v>
      </c>
      <c r="B10">
        <v>4</v>
      </c>
      <c r="C10">
        <v>8110</v>
      </c>
      <c r="D10">
        <v>4158</v>
      </c>
      <c r="E10" s="4">
        <f t="shared" si="0"/>
        <v>0</v>
      </c>
      <c r="F10" s="4">
        <f t="shared" si="1"/>
        <v>3952</v>
      </c>
      <c r="G10" s="4">
        <f t="shared" si="2"/>
        <v>15618304</v>
      </c>
      <c r="H10" s="5">
        <f>SQRT(SUM('r-pi-11'!$D$3:D10)/COUNTIF($A$3:A10,"&lt;&gt;0"))</f>
        <v>54.566473223033206</v>
      </c>
    </row>
    <row r="11" spans="1:8">
      <c r="A11">
        <v>9</v>
      </c>
      <c r="B11">
        <v>4</v>
      </c>
      <c r="C11">
        <v>8110</v>
      </c>
      <c r="D11">
        <v>4257</v>
      </c>
      <c r="E11" s="4">
        <f t="shared" si="0"/>
        <v>0</v>
      </c>
      <c r="F11" s="4">
        <f t="shared" si="1"/>
        <v>3853</v>
      </c>
      <c r="G11" s="4">
        <f t="shared" si="2"/>
        <v>14845609</v>
      </c>
      <c r="H11" s="5">
        <f>SQRT(SUM('r-pi-11'!$D$3:D11)/COUNTIF($A$3:A11,"&lt;&gt;0"))</f>
        <v>55.853976283400506</v>
      </c>
    </row>
    <row r="12" spans="1:8">
      <c r="A12">
        <v>10</v>
      </c>
      <c r="B12">
        <v>5</v>
      </c>
      <c r="C12">
        <v>8110</v>
      </c>
      <c r="D12">
        <v>4444</v>
      </c>
      <c r="E12" s="4">
        <f t="shared" si="0"/>
        <v>0</v>
      </c>
      <c r="F12" s="4">
        <f t="shared" si="1"/>
        <v>3666</v>
      </c>
      <c r="G12" s="4">
        <f t="shared" si="2"/>
        <v>13439556</v>
      </c>
      <c r="H12" s="5">
        <f>SQRT(SUM('r-pi-11'!$D$3:D12)/COUNTIF($A$3:A12,"&lt;&gt;0"))</f>
        <v>57.027186499072528</v>
      </c>
    </row>
    <row r="13" spans="1:8">
      <c r="A13">
        <v>11</v>
      </c>
      <c r="B13">
        <v>5</v>
      </c>
      <c r="C13">
        <v>8110</v>
      </c>
      <c r="D13">
        <v>4525</v>
      </c>
      <c r="E13" s="4">
        <f t="shared" si="0"/>
        <v>0</v>
      </c>
      <c r="F13" s="4">
        <f t="shared" si="1"/>
        <v>3585</v>
      </c>
      <c r="G13" s="4">
        <f t="shared" si="2"/>
        <v>12852225</v>
      </c>
      <c r="H13" s="5">
        <f>SQRT(SUM('r-pi-11'!$D$3:D13)/COUNTIF($A$3:A13,"&lt;&gt;0"))</f>
        <v>58.03290602596239</v>
      </c>
    </row>
    <row r="14" spans="1:8">
      <c r="A14">
        <v>12</v>
      </c>
      <c r="B14">
        <v>5</v>
      </c>
      <c r="C14">
        <v>8110</v>
      </c>
      <c r="D14">
        <v>4458</v>
      </c>
      <c r="E14" s="4">
        <f t="shared" si="0"/>
        <v>0</v>
      </c>
      <c r="F14" s="4">
        <f t="shared" si="1"/>
        <v>3652</v>
      </c>
      <c r="G14" s="4">
        <f t="shared" si="2"/>
        <v>13337104</v>
      </c>
      <c r="H14" s="5">
        <f>SQRT(SUM('r-pi-11'!$D$3:D14)/COUNTIF($A$3:A14,"&lt;&gt;0"))</f>
        <v>58.81042991397586</v>
      </c>
    </row>
    <row r="15" spans="1:8">
      <c r="A15">
        <v>13</v>
      </c>
      <c r="B15">
        <v>6</v>
      </c>
      <c r="C15">
        <v>8110</v>
      </c>
      <c r="D15">
        <v>5327</v>
      </c>
      <c r="E15" s="4">
        <f t="shared" si="0"/>
        <v>0</v>
      </c>
      <c r="F15" s="4">
        <f t="shared" si="1"/>
        <v>2783</v>
      </c>
      <c r="G15" s="4">
        <f t="shared" si="2"/>
        <v>7745089</v>
      </c>
      <c r="H15" s="5">
        <f>SQRT(SUM('r-pi-11'!$D$3:D15)/COUNTIF($A$3:A15,"&lt;&gt;0"))</f>
        <v>60.019868505225958</v>
      </c>
    </row>
    <row r="16" spans="1:8">
      <c r="A16">
        <v>14</v>
      </c>
      <c r="B16">
        <v>6</v>
      </c>
      <c r="C16">
        <v>8110</v>
      </c>
      <c r="D16">
        <v>5412</v>
      </c>
      <c r="E16" s="4">
        <f t="shared" si="0"/>
        <v>0</v>
      </c>
      <c r="F16" s="4">
        <f t="shared" si="1"/>
        <v>2698</v>
      </c>
      <c r="G16" s="4">
        <f t="shared" si="2"/>
        <v>7279204</v>
      </c>
      <c r="H16" s="5">
        <f>SQRT(SUM('r-pi-11'!$D$3:D16)/COUNTIF($A$3:A16,"&lt;&gt;0"))</f>
        <v>61.087174244213138</v>
      </c>
    </row>
    <row r="17" spans="1:8">
      <c r="A17">
        <v>15</v>
      </c>
      <c r="B17">
        <v>6</v>
      </c>
      <c r="C17">
        <v>8110</v>
      </c>
      <c r="D17">
        <v>5344</v>
      </c>
      <c r="E17" s="4">
        <f t="shared" si="0"/>
        <v>0</v>
      </c>
      <c r="F17" s="4">
        <f t="shared" si="1"/>
        <v>2766</v>
      </c>
      <c r="G17" s="4">
        <f t="shared" si="2"/>
        <v>7650756</v>
      </c>
      <c r="H17" s="5">
        <f>SQRT(SUM('r-pi-11'!$D$3:D17)/COUNTIF($A$3:A17,"&lt;&gt;0"))</f>
        <v>61.960740258112907</v>
      </c>
    </row>
    <row r="18" spans="1:8">
      <c r="A18">
        <v>16</v>
      </c>
      <c r="B18">
        <v>6</v>
      </c>
      <c r="C18">
        <v>8110</v>
      </c>
      <c r="D18">
        <v>5145</v>
      </c>
      <c r="E18" s="4">
        <f t="shared" si="0"/>
        <v>0</v>
      </c>
      <c r="F18" s="4">
        <f t="shared" si="1"/>
        <v>2965</v>
      </c>
      <c r="G18" s="4">
        <f t="shared" si="2"/>
        <v>8791225</v>
      </c>
      <c r="H18" s="5">
        <f>SQRT(SUM('r-pi-11'!$D$3:D18)/COUNTIF($A$3:A18,"&lt;&gt;0"))</f>
        <v>62.615892551332365</v>
      </c>
    </row>
    <row r="19" spans="1:8">
      <c r="A19">
        <v>17</v>
      </c>
      <c r="B19">
        <v>7</v>
      </c>
      <c r="C19">
        <v>8110</v>
      </c>
      <c r="D19">
        <v>5907</v>
      </c>
      <c r="E19" s="4">
        <f t="shared" si="0"/>
        <v>0</v>
      </c>
      <c r="F19" s="4">
        <f t="shared" si="1"/>
        <v>2203</v>
      </c>
      <c r="G19" s="4">
        <f t="shared" si="2"/>
        <v>4853209</v>
      </c>
      <c r="H19" s="5">
        <f>SQRT(SUM('r-pi-11'!$D$3:D19)/COUNTIF($A$3:A19,"&lt;&gt;0"))</f>
        <v>63.542019446143804</v>
      </c>
    </row>
    <row r="20" spans="1:8">
      <c r="A20">
        <v>18</v>
      </c>
      <c r="B20">
        <v>7</v>
      </c>
      <c r="C20">
        <v>8110</v>
      </c>
      <c r="D20">
        <v>5796</v>
      </c>
      <c r="E20" s="4">
        <f t="shared" si="0"/>
        <v>0</v>
      </c>
      <c r="F20" s="4">
        <f t="shared" si="1"/>
        <v>2314</v>
      </c>
      <c r="G20" s="4">
        <f t="shared" si="2"/>
        <v>5354596</v>
      </c>
      <c r="H20" s="5">
        <f>SQRT(SUM('r-pi-11'!$D$3:D20)/COUNTIF($A$3:A20,"&lt;&gt;0"))</f>
        <v>64.306125507433407</v>
      </c>
    </row>
    <row r="21" spans="1:8">
      <c r="A21">
        <v>19</v>
      </c>
      <c r="B21">
        <v>7</v>
      </c>
      <c r="C21">
        <v>8110</v>
      </c>
      <c r="D21">
        <v>5527</v>
      </c>
      <c r="E21" s="4">
        <f t="shared" si="0"/>
        <v>0</v>
      </c>
      <c r="F21" s="4">
        <f t="shared" si="1"/>
        <v>2583</v>
      </c>
      <c r="G21" s="4">
        <f t="shared" si="2"/>
        <v>6671889</v>
      </c>
      <c r="H21" s="5">
        <f>SQRT(SUM('r-pi-11'!$D$3:D21)/COUNTIF($A$3:A21,"&lt;&gt;0"))</f>
        <v>64.873155586802412</v>
      </c>
    </row>
    <row r="22" spans="1:8">
      <c r="A22">
        <v>20</v>
      </c>
      <c r="B22">
        <v>7</v>
      </c>
      <c r="C22">
        <v>8110</v>
      </c>
      <c r="D22">
        <v>5769</v>
      </c>
      <c r="E22" s="4">
        <f t="shared" si="0"/>
        <v>0</v>
      </c>
      <c r="F22" s="4">
        <f t="shared" si="1"/>
        <v>2341</v>
      </c>
      <c r="G22" s="4">
        <f t="shared" si="2"/>
        <v>5480281</v>
      </c>
      <c r="H22" s="5">
        <f>SQRT(SUM('r-pi-11'!$D$3:D22)/COUNTIF($A$3:A22,"&lt;&gt;0"))</f>
        <v>65.471749632952381</v>
      </c>
    </row>
    <row r="23" spans="1:8">
      <c r="A23">
        <v>21</v>
      </c>
      <c r="B23">
        <v>8</v>
      </c>
      <c r="C23">
        <v>8110</v>
      </c>
      <c r="D23">
        <v>6564</v>
      </c>
      <c r="E23" s="4">
        <f t="shared" si="0"/>
        <v>1</v>
      </c>
      <c r="F23" s="4">
        <f t="shared" si="1"/>
        <v>1546</v>
      </c>
      <c r="G23" s="4">
        <f t="shared" si="2"/>
        <v>2390116</v>
      </c>
      <c r="H23" s="5">
        <f>SQRT(SUM('r-pi-11'!$D$3:D23)/COUNTIF($A$3:A23,"&lt;&gt;0"))</f>
        <v>66.294796175868882</v>
      </c>
    </row>
    <row r="24" spans="1:8">
      <c r="A24">
        <v>22</v>
      </c>
      <c r="B24">
        <v>8</v>
      </c>
      <c r="C24">
        <v>8110</v>
      </c>
      <c r="D24">
        <v>6492</v>
      </c>
      <c r="E24" s="4">
        <f t="shared" si="0"/>
        <v>1</v>
      </c>
      <c r="F24" s="4">
        <f t="shared" si="1"/>
        <v>1618</v>
      </c>
      <c r="G24" s="4">
        <f t="shared" si="2"/>
        <v>2617924</v>
      </c>
      <c r="H24" s="5">
        <f>SQRT(SUM('r-pi-11'!$D$3:D24)/COUNTIF($A$3:A24,"&lt;&gt;0"))</f>
        <v>67.009836455688969</v>
      </c>
    </row>
    <row r="25" spans="1:8">
      <c r="A25">
        <v>23</v>
      </c>
      <c r="B25">
        <v>8</v>
      </c>
      <c r="C25">
        <v>8110</v>
      </c>
      <c r="D25">
        <v>6628</v>
      </c>
      <c r="E25" s="4">
        <f t="shared" si="0"/>
        <v>1</v>
      </c>
      <c r="F25" s="4">
        <f t="shared" si="1"/>
        <v>1482</v>
      </c>
      <c r="G25" s="4">
        <f t="shared" si="2"/>
        <v>2196324</v>
      </c>
      <c r="H25" s="5">
        <f>SQRT(SUM('r-pi-11'!$D$3:D25)/COUNTIF($A$3:A25,"&lt;&gt;0"))</f>
        <v>67.699784856122079</v>
      </c>
    </row>
    <row r="26" spans="1:8">
      <c r="A26">
        <v>24</v>
      </c>
      <c r="B26">
        <v>8</v>
      </c>
      <c r="C26">
        <v>8110</v>
      </c>
      <c r="D26">
        <v>6468</v>
      </c>
      <c r="E26" s="4">
        <f t="shared" si="0"/>
        <v>0</v>
      </c>
      <c r="F26" s="4">
        <f t="shared" si="1"/>
        <v>1642</v>
      </c>
      <c r="G26" s="4">
        <f t="shared" si="2"/>
        <v>2696164</v>
      </c>
      <c r="H26" s="5">
        <f>SQRT(SUM('r-pi-11'!$D$3:D26)/COUNTIF($A$3:A26,"&lt;&gt;0"))</f>
        <v>68.277314436543762</v>
      </c>
    </row>
    <row r="27" spans="1:8">
      <c r="A27">
        <v>25</v>
      </c>
      <c r="B27">
        <v>8</v>
      </c>
      <c r="C27">
        <v>8110</v>
      </c>
      <c r="D27">
        <v>6505</v>
      </c>
      <c r="E27" s="4">
        <f t="shared" si="0"/>
        <v>1</v>
      </c>
      <c r="F27" s="4">
        <f t="shared" si="1"/>
        <v>1605</v>
      </c>
      <c r="G27" s="4">
        <f t="shared" si="2"/>
        <v>2576025</v>
      </c>
      <c r="H27" s="5">
        <f>SQRT(SUM('r-pi-11'!$D$3:D27)/COUNTIF($A$3:A27,"&lt;&gt;0"))</f>
        <v>68.815114618810313</v>
      </c>
    </row>
    <row r="28" spans="1:8">
      <c r="A28">
        <v>26</v>
      </c>
      <c r="B28">
        <v>8</v>
      </c>
      <c r="C28">
        <v>8110</v>
      </c>
      <c r="D28">
        <v>6588</v>
      </c>
      <c r="E28" s="4">
        <f t="shared" si="0"/>
        <v>1</v>
      </c>
      <c r="F28" s="4">
        <f t="shared" si="1"/>
        <v>1522</v>
      </c>
      <c r="G28" s="4">
        <f t="shared" si="2"/>
        <v>2316484</v>
      </c>
      <c r="H28" s="5">
        <f>SQRT(SUM('r-pi-11'!$D$3:D28)/COUNTIF($A$3:A28,"&lt;&gt;0"))</f>
        <v>69.33086780626094</v>
      </c>
    </row>
    <row r="29" spans="1:8">
      <c r="A29">
        <v>27</v>
      </c>
      <c r="B29">
        <v>8</v>
      </c>
      <c r="C29">
        <v>8110</v>
      </c>
      <c r="D29">
        <v>6649</v>
      </c>
      <c r="E29" s="4">
        <f t="shared" si="0"/>
        <v>1</v>
      </c>
      <c r="F29" s="4">
        <f t="shared" si="1"/>
        <v>1461</v>
      </c>
      <c r="G29" s="4">
        <f t="shared" si="2"/>
        <v>2134521</v>
      </c>
      <c r="H29" s="5">
        <f>SQRT(SUM('r-pi-11'!$D$3:D29)/COUNTIF($A$3:A29,"&lt;&gt;0"))</f>
        <v>69.821200218844709</v>
      </c>
    </row>
    <row r="30" spans="1:8">
      <c r="A30">
        <v>28</v>
      </c>
      <c r="B30">
        <v>9</v>
      </c>
      <c r="C30">
        <v>8110</v>
      </c>
      <c r="D30">
        <v>6847</v>
      </c>
      <c r="E30" s="4">
        <f t="shared" si="0"/>
        <v>1</v>
      </c>
      <c r="F30" s="4">
        <f t="shared" si="1"/>
        <v>1263</v>
      </c>
      <c r="G30" s="4">
        <f t="shared" si="2"/>
        <v>1595169</v>
      </c>
      <c r="H30" s="5">
        <f>SQRT(SUM('r-pi-11'!$D$3:D30)/COUNTIF($A$3:A30,"&lt;&gt;0"))</f>
        <v>70.32374116490513</v>
      </c>
    </row>
    <row r="31" spans="1:8">
      <c r="A31">
        <v>29</v>
      </c>
      <c r="B31">
        <v>9</v>
      </c>
      <c r="C31">
        <v>8110</v>
      </c>
      <c r="D31">
        <v>6880</v>
      </c>
      <c r="E31" s="4">
        <f t="shared" si="0"/>
        <v>1</v>
      </c>
      <c r="F31" s="4">
        <f t="shared" si="1"/>
        <v>1230</v>
      </c>
      <c r="G31" s="4">
        <f t="shared" si="2"/>
        <v>1512900</v>
      </c>
      <c r="H31" s="5">
        <f>SQRT(SUM('r-pi-11'!$D$3:D31)/COUNTIF($A$3:A31,"&lt;&gt;0"))</f>
        <v>70.796454226426363</v>
      </c>
    </row>
    <row r="32" spans="1:8">
      <c r="A32">
        <v>30</v>
      </c>
      <c r="B32">
        <v>9</v>
      </c>
      <c r="C32">
        <v>8110</v>
      </c>
      <c r="D32">
        <v>6993</v>
      </c>
      <c r="E32" s="4">
        <f t="shared" si="0"/>
        <v>1</v>
      </c>
      <c r="F32" s="4">
        <f t="shared" si="1"/>
        <v>1117</v>
      </c>
      <c r="G32" s="4">
        <f t="shared" si="2"/>
        <v>1247689</v>
      </c>
      <c r="H32" s="5">
        <f>SQRT(SUM('r-pi-11'!$D$3:D32)/COUNTIF($A$3:A32,"&lt;&gt;0"))</f>
        <v>71.261256420769527</v>
      </c>
    </row>
    <row r="33" spans="1:8">
      <c r="A33">
        <v>31</v>
      </c>
      <c r="B33">
        <v>9</v>
      </c>
      <c r="C33">
        <v>8110</v>
      </c>
      <c r="D33">
        <v>6851</v>
      </c>
      <c r="E33" s="4">
        <f t="shared" si="0"/>
        <v>1</v>
      </c>
      <c r="F33" s="4">
        <f t="shared" si="1"/>
        <v>1259</v>
      </c>
      <c r="G33" s="4">
        <f t="shared" si="2"/>
        <v>1585081</v>
      </c>
      <c r="H33" s="5">
        <f>SQRT(SUM('r-pi-11'!$D$3:D33)/COUNTIF($A$3:A33,"&lt;&gt;0"))</f>
        <v>71.66139015334322</v>
      </c>
    </row>
    <row r="34" spans="1:8">
      <c r="A34">
        <v>32</v>
      </c>
      <c r="B34">
        <v>9</v>
      </c>
      <c r="C34">
        <v>8110</v>
      </c>
      <c r="D34">
        <v>7036</v>
      </c>
      <c r="E34" s="4">
        <f t="shared" si="0"/>
        <v>1</v>
      </c>
      <c r="F34" s="4">
        <f t="shared" si="1"/>
        <v>1074</v>
      </c>
      <c r="G34" s="4">
        <f t="shared" si="2"/>
        <v>1153476</v>
      </c>
      <c r="H34" s="5">
        <f>SQRT(SUM('r-pi-11'!$D$3:D34)/COUNTIF($A$3:A34,"&lt;&gt;0"))</f>
        <v>72.074614116205993</v>
      </c>
    </row>
    <row r="35" spans="1:8">
      <c r="A35">
        <v>33</v>
      </c>
      <c r="B35">
        <v>9</v>
      </c>
      <c r="C35">
        <v>8110</v>
      </c>
      <c r="D35">
        <v>6874</v>
      </c>
      <c r="E35" s="4">
        <f t="shared" si="0"/>
        <v>1</v>
      </c>
      <c r="F35" s="4">
        <f t="shared" si="1"/>
        <v>1236</v>
      </c>
      <c r="G35" s="4">
        <f t="shared" si="2"/>
        <v>1527696</v>
      </c>
      <c r="H35" s="5">
        <f>SQRT(SUM('r-pi-11'!$D$3:D35)/COUNTIF($A$3:A35,"&lt;&gt;0"))</f>
        <v>72.426765519636206</v>
      </c>
    </row>
    <row r="36" spans="1:8">
      <c r="A36">
        <v>34</v>
      </c>
      <c r="B36">
        <v>9</v>
      </c>
      <c r="C36">
        <v>8110</v>
      </c>
      <c r="D36">
        <v>6915</v>
      </c>
      <c r="E36" s="4">
        <f t="shared" si="0"/>
        <v>1</v>
      </c>
      <c r="F36" s="4">
        <f t="shared" si="1"/>
        <v>1195</v>
      </c>
      <c r="G36" s="4">
        <f t="shared" si="2"/>
        <v>1428025</v>
      </c>
      <c r="H36" s="5">
        <f>SQRT(SUM('r-pi-11'!$D$3:D36)/COUNTIF($A$3:A36,"&lt;&gt;0"))</f>
        <v>72.764931760551022</v>
      </c>
    </row>
    <row r="37" spans="1:8">
      <c r="A37">
        <v>35</v>
      </c>
      <c r="B37">
        <v>9</v>
      </c>
      <c r="C37">
        <v>8110</v>
      </c>
      <c r="D37">
        <v>6845</v>
      </c>
      <c r="E37" s="4">
        <f t="shared" si="0"/>
        <v>1</v>
      </c>
      <c r="F37" s="4">
        <f t="shared" si="1"/>
        <v>1265</v>
      </c>
      <c r="G37" s="4">
        <f t="shared" si="2"/>
        <v>1600225</v>
      </c>
      <c r="H37" s="5">
        <f>SQRT(SUM('r-pi-11'!$D$3:D37)/COUNTIF($A$3:A37,"&lt;&gt;0"))</f>
        <v>73.068656559625964</v>
      </c>
    </row>
    <row r="38" spans="1:8">
      <c r="A38">
        <v>36</v>
      </c>
      <c r="B38">
        <v>9</v>
      </c>
      <c r="C38">
        <v>8110</v>
      </c>
      <c r="D38">
        <v>6824</v>
      </c>
      <c r="E38" s="4">
        <f t="shared" si="0"/>
        <v>1</v>
      </c>
      <c r="F38" s="4">
        <f t="shared" si="1"/>
        <v>1286</v>
      </c>
      <c r="G38" s="4">
        <f t="shared" si="2"/>
        <v>1653796</v>
      </c>
      <c r="H38" s="5">
        <f>SQRT(SUM('r-pi-11'!$D$3:D38)/COUNTIF($A$3:A38,"&lt;&gt;0"))</f>
        <v>73.350376807333291</v>
      </c>
    </row>
    <row r="39" spans="1:8">
      <c r="A39">
        <v>37</v>
      </c>
      <c r="B39">
        <v>10</v>
      </c>
      <c r="C39">
        <v>8110</v>
      </c>
      <c r="D39">
        <v>7447</v>
      </c>
      <c r="E39" s="4">
        <f t="shared" si="0"/>
        <v>1</v>
      </c>
      <c r="F39" s="4">
        <f t="shared" si="1"/>
        <v>663</v>
      </c>
      <c r="G39" s="4">
        <f t="shared" si="2"/>
        <v>439569</v>
      </c>
      <c r="H39" s="5">
        <f>SQRT(SUM('r-pi-11'!$D$3:D39)/COUNTIF($A$3:A39,"&lt;&gt;0"))</f>
        <v>73.730150787416235</v>
      </c>
    </row>
    <row r="40" spans="1:8">
      <c r="A40">
        <v>38</v>
      </c>
      <c r="B40">
        <v>10</v>
      </c>
      <c r="C40">
        <v>8110</v>
      </c>
      <c r="D40">
        <v>7606</v>
      </c>
      <c r="E40" s="4">
        <f t="shared" si="0"/>
        <v>1</v>
      </c>
      <c r="F40" s="4">
        <f t="shared" si="1"/>
        <v>504</v>
      </c>
      <c r="G40" s="4">
        <f t="shared" si="2"/>
        <v>254016</v>
      </c>
      <c r="H40" s="5">
        <f>SQRT(SUM('r-pi-11'!$D$3:D40)/COUNTIF($A$3:A40,"&lt;&gt;0"))</f>
        <v>74.116373643785778</v>
      </c>
    </row>
    <row r="41" spans="1:8">
      <c r="A41">
        <v>39</v>
      </c>
      <c r="B41">
        <v>10</v>
      </c>
      <c r="C41">
        <v>8110</v>
      </c>
      <c r="D41">
        <v>7516</v>
      </c>
      <c r="E41" s="4">
        <f t="shared" si="0"/>
        <v>1</v>
      </c>
      <c r="F41" s="4">
        <f t="shared" si="1"/>
        <v>594</v>
      </c>
      <c r="G41" s="4">
        <f t="shared" si="2"/>
        <v>352836</v>
      </c>
      <c r="H41" s="5">
        <f>SQRT(SUM('r-pi-11'!$D$3:D41)/COUNTIF($A$3:A41,"&lt;&gt;0"))</f>
        <v>74.465445436810256</v>
      </c>
    </row>
    <row r="42" spans="1:8">
      <c r="A42">
        <v>40</v>
      </c>
      <c r="B42">
        <v>10</v>
      </c>
      <c r="C42">
        <v>8110</v>
      </c>
      <c r="D42">
        <v>7357</v>
      </c>
      <c r="E42" s="4">
        <f t="shared" si="0"/>
        <v>1</v>
      </c>
      <c r="F42" s="4">
        <f t="shared" si="1"/>
        <v>753</v>
      </c>
      <c r="G42" s="4">
        <f t="shared" si="2"/>
        <v>567009</v>
      </c>
      <c r="H42" s="5">
        <f>SQRT(SUM('r-pi-11'!$D$3:D42)/COUNTIF($A$3:A42,"&lt;&gt;0"))</f>
        <v>74.768977524104201</v>
      </c>
    </row>
    <row r="43" spans="1:8">
      <c r="A43">
        <v>41</v>
      </c>
      <c r="B43">
        <v>10</v>
      </c>
      <c r="C43">
        <v>8110</v>
      </c>
      <c r="D43">
        <v>7494</v>
      </c>
      <c r="E43" s="4">
        <f t="shared" si="0"/>
        <v>1</v>
      </c>
      <c r="F43" s="4">
        <f t="shared" si="1"/>
        <v>616</v>
      </c>
      <c r="G43" s="4">
        <f t="shared" si="2"/>
        <v>379456</v>
      </c>
      <c r="H43" s="5">
        <f>SQRT(SUM('r-pi-11'!$D$3:D43)/COUNTIF($A$3:A43,"&lt;&gt;0"))</f>
        <v>75.07882037094538</v>
      </c>
    </row>
    <row r="44" spans="1:8">
      <c r="A44">
        <v>42</v>
      </c>
      <c r="B44">
        <v>10</v>
      </c>
      <c r="C44">
        <v>8110</v>
      </c>
      <c r="D44">
        <v>7364</v>
      </c>
      <c r="E44" s="4">
        <f t="shared" si="0"/>
        <v>1</v>
      </c>
      <c r="F44" s="4">
        <f t="shared" si="1"/>
        <v>746</v>
      </c>
      <c r="G44" s="4">
        <f t="shared" si="2"/>
        <v>556516</v>
      </c>
      <c r="H44" s="5">
        <f>SQRT(SUM('r-pi-11'!$D$3:D44)/COUNTIF($A$3:A44,"&lt;&gt;0"))</f>
        <v>75.352188959262364</v>
      </c>
    </row>
    <row r="45" spans="1:8">
      <c r="A45">
        <v>43</v>
      </c>
      <c r="B45">
        <v>10</v>
      </c>
      <c r="C45">
        <v>8110</v>
      </c>
      <c r="D45">
        <v>7361</v>
      </c>
      <c r="E45" s="4">
        <f t="shared" si="0"/>
        <v>1</v>
      </c>
      <c r="F45" s="4">
        <f t="shared" si="1"/>
        <v>749</v>
      </c>
      <c r="G45" s="4">
        <f t="shared" si="2"/>
        <v>561001</v>
      </c>
      <c r="H45" s="5">
        <f>SQRT(SUM('r-pi-11'!$D$3:D45)/COUNTIF($A$3:A45,"&lt;&gt;0"))</f>
        <v>75.611460925284433</v>
      </c>
    </row>
    <row r="46" spans="1:8">
      <c r="A46">
        <v>44</v>
      </c>
      <c r="B46">
        <v>10</v>
      </c>
      <c r="C46">
        <v>8110</v>
      </c>
      <c r="D46">
        <v>7552</v>
      </c>
      <c r="E46" s="4">
        <f t="shared" si="0"/>
        <v>1</v>
      </c>
      <c r="F46" s="4">
        <f t="shared" si="1"/>
        <v>558</v>
      </c>
      <c r="G46" s="4">
        <f t="shared" si="2"/>
        <v>311364</v>
      </c>
      <c r="H46" s="5">
        <f>SQRT(SUM('r-pi-11'!$D$3:D46)/COUNTIF($A$3:A46,"&lt;&gt;0"))</f>
        <v>75.886727789155955</v>
      </c>
    </row>
    <row r="47" spans="1:8">
      <c r="A47">
        <v>45</v>
      </c>
      <c r="B47">
        <v>10</v>
      </c>
      <c r="C47">
        <v>8110</v>
      </c>
      <c r="D47">
        <v>7454</v>
      </c>
      <c r="E47" s="4">
        <f t="shared" si="0"/>
        <v>1</v>
      </c>
      <c r="F47" s="4">
        <f t="shared" si="1"/>
        <v>656</v>
      </c>
      <c r="G47" s="4">
        <f t="shared" si="2"/>
        <v>430336</v>
      </c>
      <c r="H47" s="5">
        <f>SQRT(SUM('r-pi-11'!$D$3:D47)/COUNTIF($A$3:A47,"&lt;&gt;0"))</f>
        <v>76.134530054809332</v>
      </c>
    </row>
    <row r="48" spans="1:8">
      <c r="A48">
        <v>46</v>
      </c>
      <c r="B48">
        <v>10</v>
      </c>
      <c r="C48">
        <v>8110</v>
      </c>
      <c r="D48">
        <v>7434</v>
      </c>
      <c r="E48" s="4">
        <f t="shared" si="0"/>
        <v>1</v>
      </c>
      <c r="F48" s="4">
        <f t="shared" si="1"/>
        <v>676</v>
      </c>
      <c r="G48" s="4">
        <f t="shared" si="2"/>
        <v>456976</v>
      </c>
      <c r="H48" s="5">
        <f>SQRT(SUM('r-pi-11'!$D$3:D48)/COUNTIF($A$3:A48,"&lt;&gt;0"))</f>
        <v>76.367959363801944</v>
      </c>
    </row>
    <row r="49" spans="1:8">
      <c r="A49">
        <v>47</v>
      </c>
      <c r="B49">
        <v>10</v>
      </c>
      <c r="C49">
        <v>8110</v>
      </c>
      <c r="D49">
        <v>7578</v>
      </c>
      <c r="E49" s="4">
        <f t="shared" si="0"/>
        <v>1</v>
      </c>
      <c r="F49" s="4">
        <f t="shared" si="1"/>
        <v>532</v>
      </c>
      <c r="G49" s="4">
        <f t="shared" si="2"/>
        <v>283024</v>
      </c>
      <c r="H49" s="5">
        <f>SQRT(SUM('r-pi-11'!$D$3:D49)/COUNTIF($A$3:A49,"&lt;&gt;0"))</f>
        <v>76.610787529938932</v>
      </c>
    </row>
    <row r="50" spans="1:8">
      <c r="A50">
        <v>48</v>
      </c>
      <c r="B50">
        <v>10</v>
      </c>
      <c r="C50">
        <v>8110</v>
      </c>
      <c r="D50">
        <v>7496</v>
      </c>
      <c r="E50" s="4">
        <f t="shared" si="0"/>
        <v>1</v>
      </c>
      <c r="F50" s="4">
        <f t="shared" si="1"/>
        <v>614</v>
      </c>
      <c r="G50" s="4">
        <f t="shared" si="2"/>
        <v>376996</v>
      </c>
      <c r="H50" s="5">
        <f>SQRT(SUM('r-pi-11'!$D$3:D50)/COUNTIF($A$3:A50,"&lt;&gt;0"))</f>
        <v>76.831661225478314</v>
      </c>
    </row>
    <row r="51" spans="1:8">
      <c r="A51">
        <v>49</v>
      </c>
      <c r="B51">
        <v>10</v>
      </c>
      <c r="C51">
        <v>8110</v>
      </c>
      <c r="D51">
        <v>7456</v>
      </c>
      <c r="E51" s="4">
        <f t="shared" si="0"/>
        <v>1</v>
      </c>
      <c r="F51" s="4">
        <f t="shared" si="1"/>
        <v>654</v>
      </c>
      <c r="G51" s="4">
        <f t="shared" si="2"/>
        <v>427716</v>
      </c>
      <c r="H51" s="5">
        <f>SQRT(SUM('r-pi-11'!$D$3:D51)/COUNTIF($A$3:A51,"&lt;&gt;0"))</f>
        <v>77.03762664028109</v>
      </c>
    </row>
    <row r="52" spans="1:8">
      <c r="A52">
        <v>50</v>
      </c>
      <c r="B52">
        <v>10</v>
      </c>
      <c r="C52">
        <v>8110</v>
      </c>
      <c r="D52">
        <v>7201</v>
      </c>
      <c r="E52" s="4">
        <f t="shared" si="0"/>
        <v>1</v>
      </c>
      <c r="F52" s="4">
        <f t="shared" si="1"/>
        <v>909</v>
      </c>
      <c r="G52" s="4">
        <f t="shared" si="2"/>
        <v>826281</v>
      </c>
      <c r="H52" s="5">
        <f>SQRT(SUM('r-pi-11'!$D$3:D52)/COUNTIF($A$3:A52,"&lt;&gt;0"))</f>
        <v>77.20181345020336</v>
      </c>
    </row>
    <row r="53" spans="1:8">
      <c r="A53">
        <v>51</v>
      </c>
      <c r="B53">
        <v>10</v>
      </c>
      <c r="C53">
        <v>8110</v>
      </c>
      <c r="D53">
        <v>6521</v>
      </c>
      <c r="E53" s="4">
        <f t="shared" si="0"/>
        <v>1</v>
      </c>
      <c r="F53" s="4">
        <f t="shared" si="1"/>
        <v>1589</v>
      </c>
      <c r="G53" s="4">
        <f t="shared" si="2"/>
        <v>2524921</v>
      </c>
      <c r="H53" s="5">
        <f>SQRT(SUM('r-pi-11'!$D$3:D53)/COUNTIF($A$3:A53,"&lt;&gt;0"))</f>
        <v>77.273007234472402</v>
      </c>
    </row>
    <row r="54" spans="1:8">
      <c r="A54">
        <v>52</v>
      </c>
      <c r="B54">
        <v>11</v>
      </c>
      <c r="C54">
        <v>8110</v>
      </c>
      <c r="D54">
        <v>7114</v>
      </c>
      <c r="E54" s="4">
        <f t="shared" si="0"/>
        <v>1</v>
      </c>
      <c r="F54" s="4">
        <f t="shared" si="1"/>
        <v>996</v>
      </c>
      <c r="G54" s="4">
        <f t="shared" si="2"/>
        <v>992016</v>
      </c>
      <c r="H54" s="5">
        <f>SQRT(SUM('r-pi-11'!$D$3:D54)/COUNTIF($A$3:A54,"&lt;&gt;0"))</f>
        <v>77.415089962139518</v>
      </c>
    </row>
    <row r="55" spans="1:8">
      <c r="A55">
        <v>53</v>
      </c>
      <c r="B55">
        <v>11</v>
      </c>
      <c r="C55">
        <v>8110</v>
      </c>
      <c r="D55">
        <v>7721</v>
      </c>
      <c r="E55" s="4">
        <f t="shared" si="0"/>
        <v>1</v>
      </c>
      <c r="F55" s="4">
        <f t="shared" si="1"/>
        <v>389</v>
      </c>
      <c r="G55" s="4">
        <f t="shared" si="2"/>
        <v>151321</v>
      </c>
      <c r="H55" s="5">
        <f>SQRT(SUM('r-pi-11'!$D$3:D55)/COUNTIF($A$3:A55,"&lt;&gt;0"))</f>
        <v>77.625370293529343</v>
      </c>
    </row>
    <row r="56" spans="1:8">
      <c r="A56">
        <v>54</v>
      </c>
      <c r="B56">
        <v>11</v>
      </c>
      <c r="C56">
        <v>8110</v>
      </c>
      <c r="D56">
        <v>7767</v>
      </c>
      <c r="E56" s="4">
        <f t="shared" si="0"/>
        <v>1</v>
      </c>
      <c r="F56" s="4">
        <f t="shared" si="1"/>
        <v>343</v>
      </c>
      <c r="G56" s="4">
        <f t="shared" si="2"/>
        <v>117649</v>
      </c>
      <c r="H56" s="5">
        <f>SQRT(SUM('r-pi-11'!$D$3:D56)/COUNTIF($A$3:A56,"&lt;&gt;0"))</f>
        <v>77.832797999586546</v>
      </c>
    </row>
    <row r="57" spans="1:8">
      <c r="A57">
        <v>55</v>
      </c>
      <c r="B57">
        <v>11</v>
      </c>
      <c r="C57">
        <v>8110</v>
      </c>
      <c r="D57">
        <v>7725</v>
      </c>
      <c r="E57" s="4">
        <f t="shared" si="0"/>
        <v>1</v>
      </c>
      <c r="F57" s="4">
        <f t="shared" si="1"/>
        <v>385</v>
      </c>
      <c r="G57" s="4">
        <f t="shared" si="2"/>
        <v>148225</v>
      </c>
      <c r="H57" s="5">
        <f>SQRT(SUM('r-pi-11'!$D$3:D57)/COUNTIF($A$3:A57,"&lt;&gt;0"))</f>
        <v>78.027267960979799</v>
      </c>
    </row>
    <row r="58" spans="1:8">
      <c r="A58">
        <v>56</v>
      </c>
      <c r="B58">
        <v>11</v>
      </c>
      <c r="C58">
        <v>8110</v>
      </c>
      <c r="D58">
        <v>7858</v>
      </c>
      <c r="E58" s="4">
        <f t="shared" si="0"/>
        <v>1</v>
      </c>
      <c r="F58" s="4">
        <f t="shared" si="1"/>
        <v>252</v>
      </c>
      <c r="G58" s="4">
        <f t="shared" si="2"/>
        <v>63504</v>
      </c>
      <c r="H58" s="5">
        <f>SQRT(SUM('r-pi-11'!$D$3:D58)/COUNTIF($A$3:A58,"&lt;&gt;0"))</f>
        <v>78.229515803545297</v>
      </c>
    </row>
    <row r="59" spans="1:8">
      <c r="A59">
        <v>57</v>
      </c>
      <c r="B59">
        <v>11</v>
      </c>
      <c r="C59">
        <v>8110</v>
      </c>
      <c r="D59">
        <v>7867</v>
      </c>
      <c r="E59" s="4">
        <f t="shared" si="0"/>
        <v>1</v>
      </c>
      <c r="F59" s="4">
        <f t="shared" si="1"/>
        <v>243</v>
      </c>
      <c r="G59" s="4">
        <f t="shared" si="2"/>
        <v>59049</v>
      </c>
      <c r="H59" s="5">
        <f>SQRT(SUM('r-pi-11'!$D$3:D59)/COUNTIF($A$3:A59,"&lt;&gt;0"))</f>
        <v>78.425179451052742</v>
      </c>
    </row>
    <row r="60" spans="1:8">
      <c r="A60">
        <v>58</v>
      </c>
      <c r="B60">
        <v>11</v>
      </c>
      <c r="C60">
        <v>8110</v>
      </c>
      <c r="D60">
        <v>7938</v>
      </c>
      <c r="E60" s="4">
        <f t="shared" si="0"/>
        <v>1</v>
      </c>
      <c r="F60" s="4">
        <f t="shared" si="1"/>
        <v>172</v>
      </c>
      <c r="G60" s="4">
        <f t="shared" si="2"/>
        <v>29584</v>
      </c>
      <c r="H60" s="5">
        <f>SQRT(SUM('r-pi-11'!$D$3:D60)/COUNTIF($A$3:A60,"&lt;&gt;0"))</f>
        <v>78.621419385603161</v>
      </c>
    </row>
    <row r="61" spans="1:8">
      <c r="A61">
        <v>59</v>
      </c>
      <c r="B61">
        <v>11</v>
      </c>
      <c r="C61">
        <v>8110</v>
      </c>
      <c r="D61">
        <v>7991</v>
      </c>
      <c r="E61" s="4">
        <f t="shared" si="0"/>
        <v>1</v>
      </c>
      <c r="F61" s="4">
        <f t="shared" si="1"/>
        <v>119</v>
      </c>
      <c r="G61" s="4">
        <f t="shared" si="2"/>
        <v>14161</v>
      </c>
      <c r="H61" s="5">
        <f>SQRT(SUM('r-pi-11'!$D$3:D61)/COUNTIF($A$3:A61,"&lt;&gt;0"))</f>
        <v>78.816241980952128</v>
      </c>
    </row>
    <row r="62" spans="1:8">
      <c r="A62">
        <v>60</v>
      </c>
      <c r="B62">
        <v>11</v>
      </c>
      <c r="C62">
        <v>8110</v>
      </c>
      <c r="D62">
        <v>7028</v>
      </c>
      <c r="E62" s="4">
        <f t="shared" si="0"/>
        <v>1</v>
      </c>
      <c r="F62" s="4">
        <f t="shared" si="1"/>
        <v>1082</v>
      </c>
      <c r="G62" s="4">
        <f t="shared" si="2"/>
        <v>1170724</v>
      </c>
      <c r="H62" s="5">
        <f>SQRT(SUM('r-pi-11'!$D$3:D62)/COUNTIF($A$3:A62,"&lt;&gt;0"))</f>
        <v>78.902471444182282</v>
      </c>
    </row>
    <row r="63" spans="1:8">
      <c r="A63">
        <v>61</v>
      </c>
      <c r="B63">
        <v>11</v>
      </c>
      <c r="C63">
        <v>8110</v>
      </c>
      <c r="D63">
        <v>7675</v>
      </c>
      <c r="E63" s="4">
        <f t="shared" si="0"/>
        <v>1</v>
      </c>
      <c r="F63" s="4">
        <f t="shared" si="1"/>
        <v>435</v>
      </c>
      <c r="G63" s="4">
        <f t="shared" si="2"/>
        <v>189225</v>
      </c>
      <c r="H63" s="5">
        <f>SQRT(SUM('r-pi-11'!$D$3:D63)/COUNTIF($A$3:A63,"&lt;&gt;0"))</f>
        <v>79.052897832639289</v>
      </c>
    </row>
    <row r="64" spans="1:8">
      <c r="A64">
        <v>62</v>
      </c>
      <c r="B64">
        <v>11</v>
      </c>
      <c r="C64">
        <v>8110</v>
      </c>
      <c r="D64">
        <v>7772</v>
      </c>
      <c r="E64" s="4">
        <f t="shared" si="0"/>
        <v>1</v>
      </c>
      <c r="F64" s="4">
        <f t="shared" si="1"/>
        <v>338</v>
      </c>
      <c r="G64" s="4">
        <f t="shared" si="2"/>
        <v>114244</v>
      </c>
      <c r="H64" s="5">
        <f>SQRT(SUM('r-pi-11'!$D$3:D64)/COUNTIF($A$3:A64,"&lt;&gt;0"))</f>
        <v>79.208076323306258</v>
      </c>
    </row>
    <row r="65" spans="1:8">
      <c r="A65">
        <v>63</v>
      </c>
      <c r="B65">
        <v>11</v>
      </c>
      <c r="C65">
        <v>8110</v>
      </c>
      <c r="D65">
        <v>7830</v>
      </c>
      <c r="E65" s="4">
        <f t="shared" si="0"/>
        <v>1</v>
      </c>
      <c r="F65" s="4">
        <f t="shared" si="1"/>
        <v>280</v>
      </c>
      <c r="G65" s="4">
        <f t="shared" si="2"/>
        <v>78400</v>
      </c>
      <c r="H65" s="5">
        <f>SQRT(SUM('r-pi-11'!$D$3:D65)/COUNTIF($A$3:A65,"&lt;&gt;0"))</f>
        <v>79.363839672857608</v>
      </c>
    </row>
    <row r="66" spans="1:8">
      <c r="A66">
        <v>64</v>
      </c>
      <c r="B66">
        <v>11</v>
      </c>
      <c r="C66">
        <v>8110</v>
      </c>
      <c r="D66">
        <v>7683</v>
      </c>
      <c r="E66" s="4">
        <f t="shared" si="0"/>
        <v>1</v>
      </c>
      <c r="F66" s="4">
        <f t="shared" si="1"/>
        <v>427</v>
      </c>
      <c r="G66" s="4">
        <f t="shared" si="2"/>
        <v>182329</v>
      </c>
      <c r="H66" s="5">
        <f>SQRT(SUM('r-pi-11'!$D$3:D66)/COUNTIF($A$3:A66,"&lt;&gt;0"))</f>
        <v>79.5</v>
      </c>
    </row>
    <row r="67" spans="1:8">
      <c r="A67">
        <v>65</v>
      </c>
      <c r="B67">
        <v>11</v>
      </c>
      <c r="C67">
        <v>8110</v>
      </c>
      <c r="D67">
        <v>7707</v>
      </c>
      <c r="E67" s="4">
        <f t="shared" si="0"/>
        <v>1</v>
      </c>
      <c r="F67" s="4">
        <f t="shared" si="1"/>
        <v>403</v>
      </c>
      <c r="G67" s="4">
        <f t="shared" si="2"/>
        <v>162409</v>
      </c>
      <c r="H67" s="5">
        <f>SQRT(SUM('r-pi-11'!$D$3:D67)/COUNTIF($A$3:A67,"&lt;&gt;0"))</f>
        <v>79.634066927318329</v>
      </c>
    </row>
    <row r="68" spans="1:8">
      <c r="A68">
        <v>66</v>
      </c>
      <c r="B68">
        <v>11</v>
      </c>
      <c r="C68">
        <v>8110</v>
      </c>
      <c r="D68">
        <v>7896</v>
      </c>
      <c r="E68" s="4">
        <f t="shared" ref="E68:E131" si="3">IF(AND(D68&lt;=C68*1.2,D68&gt;=C68*0.8),1,0)</f>
        <v>1</v>
      </c>
      <c r="F68" s="4">
        <f t="shared" ref="F68:F131" si="4">ABS(C68-D68)</f>
        <v>214</v>
      </c>
      <c r="G68" s="4">
        <f t="shared" ref="G68:G131" si="5">POWER(F68,2)</f>
        <v>45796</v>
      </c>
      <c r="H68" s="5">
        <f>SQRT(SUM('r-pi-11'!$D$3:D68)/COUNTIF($A$3:A68,"&lt;&gt;0"))</f>
        <v>79.781804715338225</v>
      </c>
    </row>
    <row r="69" spans="1:8">
      <c r="A69">
        <v>67</v>
      </c>
      <c r="B69">
        <v>11</v>
      </c>
      <c r="C69">
        <v>8110</v>
      </c>
      <c r="D69">
        <v>7642</v>
      </c>
      <c r="E69" s="4">
        <f t="shared" si="3"/>
        <v>1</v>
      </c>
      <c r="F69" s="4">
        <f t="shared" si="4"/>
        <v>468</v>
      </c>
      <c r="G69" s="4">
        <f t="shared" si="5"/>
        <v>219024</v>
      </c>
      <c r="H69" s="5">
        <f>SQRT(SUM('r-pi-11'!$D$3:D69)/COUNTIF($A$3:A69,"&lt;&gt;0"))</f>
        <v>79.901151617800522</v>
      </c>
    </row>
    <row r="70" spans="1:8">
      <c r="A70">
        <v>68</v>
      </c>
      <c r="B70">
        <v>11</v>
      </c>
      <c r="C70">
        <v>8110</v>
      </c>
      <c r="D70">
        <v>7969</v>
      </c>
      <c r="E70" s="4">
        <f t="shared" si="3"/>
        <v>1</v>
      </c>
      <c r="F70" s="4">
        <f t="shared" si="4"/>
        <v>141</v>
      </c>
      <c r="G70" s="4">
        <f t="shared" si="5"/>
        <v>19881</v>
      </c>
      <c r="H70" s="5">
        <f>SQRT(SUM('r-pi-11'!$D$3:D70)/COUNTIF($A$3:A70,"&lt;&gt;0"))</f>
        <v>80.046861275130581</v>
      </c>
    </row>
    <row r="71" spans="1:8">
      <c r="A71">
        <v>69</v>
      </c>
      <c r="B71">
        <v>11</v>
      </c>
      <c r="C71">
        <v>8110</v>
      </c>
      <c r="D71">
        <v>7705</v>
      </c>
      <c r="E71" s="4">
        <f t="shared" si="3"/>
        <v>1</v>
      </c>
      <c r="F71" s="4">
        <f t="shared" si="4"/>
        <v>405</v>
      </c>
      <c r="G71" s="4">
        <f t="shared" si="5"/>
        <v>164025</v>
      </c>
      <c r="H71" s="5">
        <f>SQRT(SUM('r-pi-11'!$D$3:D71)/COUNTIF($A$3:A71,"&lt;&gt;0"))</f>
        <v>80.164233594702864</v>
      </c>
    </row>
    <row r="72" spans="1:8">
      <c r="A72">
        <v>70</v>
      </c>
      <c r="B72">
        <v>11</v>
      </c>
      <c r="C72">
        <v>8110</v>
      </c>
      <c r="D72">
        <v>7971</v>
      </c>
      <c r="E72" s="4">
        <f t="shared" si="3"/>
        <v>1</v>
      </c>
      <c r="F72" s="4">
        <f t="shared" si="4"/>
        <v>139</v>
      </c>
      <c r="G72" s="4">
        <f t="shared" si="5"/>
        <v>19321</v>
      </c>
      <c r="H72" s="5">
        <f>SQRT(SUM('r-pi-11'!$D$3:D72)/COUNTIF($A$3:A72,"&lt;&gt;0"))</f>
        <v>80.301752338111712</v>
      </c>
    </row>
    <row r="73" spans="1:8">
      <c r="A73">
        <v>71</v>
      </c>
      <c r="B73">
        <v>11</v>
      </c>
      <c r="C73">
        <v>8110</v>
      </c>
      <c r="D73">
        <v>7923</v>
      </c>
      <c r="E73" s="4">
        <f t="shared" si="3"/>
        <v>1</v>
      </c>
      <c r="F73" s="4">
        <f t="shared" si="4"/>
        <v>187</v>
      </c>
      <c r="G73" s="4">
        <f t="shared" si="5"/>
        <v>34969</v>
      </c>
      <c r="H73" s="5">
        <f>SQRT(SUM('r-pi-11'!$D$3:D73)/COUNTIF($A$3:A73,"&lt;&gt;0"))</f>
        <v>80.430969440075899</v>
      </c>
    </row>
    <row r="74" spans="1:8">
      <c r="A74">
        <v>72</v>
      </c>
      <c r="B74">
        <v>11</v>
      </c>
      <c r="C74">
        <v>8110</v>
      </c>
      <c r="D74">
        <v>7742</v>
      </c>
      <c r="E74" s="4">
        <f t="shared" si="3"/>
        <v>1</v>
      </c>
      <c r="F74" s="4">
        <f t="shared" si="4"/>
        <v>368</v>
      </c>
      <c r="G74" s="4">
        <f t="shared" si="5"/>
        <v>135424</v>
      </c>
      <c r="H74" s="5">
        <f>SQRT(SUM('r-pi-11'!$D$3:D74)/COUNTIF($A$3:A74,"&lt;&gt;0"))</f>
        <v>80.54079366659137</v>
      </c>
    </row>
    <row r="75" spans="1:8">
      <c r="A75">
        <v>73</v>
      </c>
      <c r="B75">
        <v>11</v>
      </c>
      <c r="C75">
        <v>8110</v>
      </c>
      <c r="D75">
        <v>7915</v>
      </c>
      <c r="E75" s="4">
        <f t="shared" si="3"/>
        <v>1</v>
      </c>
      <c r="F75" s="4">
        <f t="shared" si="4"/>
        <v>195</v>
      </c>
      <c r="G75" s="4">
        <f t="shared" si="5"/>
        <v>38025</v>
      </c>
      <c r="H75" s="5">
        <f>SQRT(SUM('r-pi-11'!$D$3:D75)/COUNTIF($A$3:A75,"&lt;&gt;0"))</f>
        <v>80.662156936470751</v>
      </c>
    </row>
    <row r="76" spans="1:8">
      <c r="A76">
        <v>74</v>
      </c>
      <c r="B76">
        <v>11</v>
      </c>
      <c r="C76">
        <v>8110</v>
      </c>
      <c r="D76">
        <v>8087</v>
      </c>
      <c r="E76" s="4">
        <f t="shared" si="3"/>
        <v>1</v>
      </c>
      <c r="F76" s="4">
        <f t="shared" si="4"/>
        <v>23</v>
      </c>
      <c r="G76" s="4">
        <f t="shared" si="5"/>
        <v>529</v>
      </c>
      <c r="H76" s="5">
        <f>SQRT(SUM('r-pi-11'!$D$3:D76)/COUNTIF($A$3:A76,"&lt;&gt;0"))</f>
        <v>80.7944505720736</v>
      </c>
    </row>
    <row r="77" spans="1:8">
      <c r="A77">
        <v>75</v>
      </c>
      <c r="B77">
        <v>11</v>
      </c>
      <c r="C77">
        <v>8110</v>
      </c>
      <c r="D77">
        <v>7901</v>
      </c>
      <c r="E77" s="4">
        <f t="shared" si="3"/>
        <v>1</v>
      </c>
      <c r="F77" s="4">
        <f t="shared" si="4"/>
        <v>209</v>
      </c>
      <c r="G77" s="4">
        <f t="shared" si="5"/>
        <v>43681</v>
      </c>
      <c r="H77" s="5">
        <f>SQRT(SUM('r-pi-11'!$D$3:D77)/COUNTIF($A$3:A77,"&lt;&gt;0"))</f>
        <v>80.907684019092613</v>
      </c>
    </row>
    <row r="78" spans="1:8">
      <c r="A78">
        <v>76</v>
      </c>
      <c r="B78">
        <v>11</v>
      </c>
      <c r="C78">
        <v>8110</v>
      </c>
      <c r="D78">
        <v>7669</v>
      </c>
      <c r="E78" s="4">
        <f t="shared" si="3"/>
        <v>1</v>
      </c>
      <c r="F78" s="4">
        <f t="shared" si="4"/>
        <v>441</v>
      </c>
      <c r="G78" s="4">
        <f t="shared" si="5"/>
        <v>194481</v>
      </c>
      <c r="H78" s="5">
        <f>SQRT(SUM('r-pi-11'!$D$3:D78)/COUNTIF($A$3:A78,"&lt;&gt;0"))</f>
        <v>80.998944112676071</v>
      </c>
    </row>
    <row r="79" spans="1:8">
      <c r="A79">
        <v>77</v>
      </c>
      <c r="B79">
        <v>11</v>
      </c>
      <c r="C79">
        <v>8110</v>
      </c>
      <c r="D79">
        <v>7888</v>
      </c>
      <c r="E79" s="4">
        <f t="shared" si="3"/>
        <v>1</v>
      </c>
      <c r="F79" s="4">
        <f t="shared" si="4"/>
        <v>222</v>
      </c>
      <c r="G79" s="4">
        <f t="shared" si="5"/>
        <v>49284</v>
      </c>
      <c r="H79" s="5">
        <f>SQRT(SUM('r-pi-11'!$D$3:D79)/COUNTIF($A$3:A79,"&lt;&gt;0"))</f>
        <v>81.105270698425855</v>
      </c>
    </row>
    <row r="80" spans="1:8">
      <c r="A80">
        <v>78</v>
      </c>
      <c r="B80">
        <v>11</v>
      </c>
      <c r="C80">
        <v>8110</v>
      </c>
      <c r="D80">
        <v>7899</v>
      </c>
      <c r="E80" s="4">
        <f t="shared" si="3"/>
        <v>1</v>
      </c>
      <c r="F80" s="4">
        <f t="shared" si="4"/>
        <v>211</v>
      </c>
      <c r="G80" s="4">
        <f t="shared" si="5"/>
        <v>44521</v>
      </c>
      <c r="H80" s="5">
        <f>SQRT(SUM('r-pi-11'!$D$3:D80)/COUNTIF($A$3:A80,"&lt;&gt;0"))</f>
        <v>81.209605343210484</v>
      </c>
    </row>
    <row r="81" spans="1:8">
      <c r="A81">
        <v>79</v>
      </c>
      <c r="B81">
        <v>11</v>
      </c>
      <c r="C81">
        <v>8110</v>
      </c>
      <c r="D81">
        <v>7762</v>
      </c>
      <c r="E81" s="4">
        <f t="shared" si="3"/>
        <v>1</v>
      </c>
      <c r="F81" s="4">
        <f t="shared" si="4"/>
        <v>348</v>
      </c>
      <c r="G81" s="4">
        <f t="shared" si="5"/>
        <v>121104</v>
      </c>
      <c r="H81" s="5">
        <f>SQRT(SUM('r-pi-11'!$D$3:D81)/COUNTIF($A$3:A81,"&lt;&gt;0"))</f>
        <v>81.300505237659721</v>
      </c>
    </row>
    <row r="82" spans="1:8">
      <c r="A82">
        <v>80</v>
      </c>
      <c r="B82">
        <v>11</v>
      </c>
      <c r="C82">
        <v>8110</v>
      </c>
      <c r="D82">
        <v>6613</v>
      </c>
      <c r="E82" s="4">
        <f t="shared" si="3"/>
        <v>1</v>
      </c>
      <c r="F82" s="4">
        <f t="shared" si="4"/>
        <v>1497</v>
      </c>
      <c r="G82" s="4">
        <f t="shared" si="5"/>
        <v>2241009</v>
      </c>
      <c r="H82" s="5">
        <f>SQRT(SUM('r-pi-11'!$D$3:D82)/COUNTIF($A$3:A82,"&lt;&gt;0"))</f>
        <v>81.300753379043172</v>
      </c>
    </row>
    <row r="83" spans="1:8">
      <c r="A83">
        <v>81</v>
      </c>
      <c r="B83">
        <v>12</v>
      </c>
      <c r="C83">
        <v>8110</v>
      </c>
      <c r="D83">
        <v>8336</v>
      </c>
      <c r="E83" s="4">
        <f t="shared" si="3"/>
        <v>1</v>
      </c>
      <c r="F83" s="4">
        <f t="shared" si="4"/>
        <v>226</v>
      </c>
      <c r="G83" s="4">
        <f t="shared" si="5"/>
        <v>51076</v>
      </c>
      <c r="H83" s="5">
        <f>SQRT(SUM('r-pi-11'!$D$3:D83)/COUNTIF($A$3:A83,"&lt;&gt;0"))</f>
        <v>81.431710388460615</v>
      </c>
    </row>
    <row r="84" spans="1:8">
      <c r="A84">
        <v>82</v>
      </c>
      <c r="B84">
        <v>11</v>
      </c>
      <c r="C84">
        <v>8110</v>
      </c>
      <c r="D84">
        <v>7914</v>
      </c>
      <c r="E84" s="4">
        <f t="shared" si="3"/>
        <v>1</v>
      </c>
      <c r="F84" s="4">
        <f t="shared" si="4"/>
        <v>196</v>
      </c>
      <c r="G84" s="4">
        <f t="shared" si="5"/>
        <v>38416</v>
      </c>
      <c r="H84" s="5">
        <f>SQRT(SUM('r-pi-11'!$D$3:D84)/COUNTIF($A$3:A84,"&lt;&gt;0"))</f>
        <v>81.527714874654293</v>
      </c>
    </row>
    <row r="85" spans="1:8">
      <c r="A85">
        <v>83</v>
      </c>
      <c r="B85">
        <v>12</v>
      </c>
      <c r="C85">
        <v>8110</v>
      </c>
      <c r="D85">
        <v>8309</v>
      </c>
      <c r="E85" s="4">
        <f t="shared" si="3"/>
        <v>1</v>
      </c>
      <c r="F85" s="4">
        <f t="shared" si="4"/>
        <v>199</v>
      </c>
      <c r="G85" s="4">
        <f t="shared" si="5"/>
        <v>39601</v>
      </c>
      <c r="H85" s="5">
        <f>SQRT(SUM('r-pi-11'!$D$3:D85)/COUNTIF($A$3:A85,"&lt;&gt;0"))</f>
        <v>81.650445073636263</v>
      </c>
    </row>
    <row r="86" spans="1:8">
      <c r="A86">
        <v>84</v>
      </c>
      <c r="B86">
        <v>11</v>
      </c>
      <c r="C86">
        <v>8110</v>
      </c>
      <c r="D86">
        <v>7972</v>
      </c>
      <c r="E86" s="4">
        <f t="shared" si="3"/>
        <v>1</v>
      </c>
      <c r="F86" s="4">
        <f t="shared" si="4"/>
        <v>138</v>
      </c>
      <c r="G86" s="4">
        <f t="shared" si="5"/>
        <v>19044</v>
      </c>
      <c r="H86" s="5">
        <f>SQRT(SUM('r-pi-11'!$D$3:D86)/COUNTIF($A$3:A86,"&lt;&gt;0"))</f>
        <v>81.745540143382343</v>
      </c>
    </row>
    <row r="87" spans="1:8">
      <c r="A87">
        <v>85</v>
      </c>
      <c r="B87">
        <v>12</v>
      </c>
      <c r="C87">
        <v>8110</v>
      </c>
      <c r="D87">
        <v>8419</v>
      </c>
      <c r="E87" s="4">
        <f t="shared" si="3"/>
        <v>1</v>
      </c>
      <c r="F87" s="4">
        <f t="shared" si="4"/>
        <v>309</v>
      </c>
      <c r="G87" s="4">
        <f t="shared" si="5"/>
        <v>95481</v>
      </c>
      <c r="H87" s="5">
        <f>SQRT(SUM('r-pi-11'!$D$3:D87)/COUNTIF($A$3:A87,"&lt;&gt;0"))</f>
        <v>81.870414105965978</v>
      </c>
    </row>
    <row r="88" spans="1:8">
      <c r="A88">
        <v>86</v>
      </c>
      <c r="B88">
        <v>11</v>
      </c>
      <c r="C88">
        <v>8110</v>
      </c>
      <c r="D88">
        <v>8019</v>
      </c>
      <c r="E88" s="4">
        <f t="shared" si="3"/>
        <v>1</v>
      </c>
      <c r="F88" s="4">
        <f t="shared" si="4"/>
        <v>91</v>
      </c>
      <c r="G88" s="4">
        <f t="shared" si="5"/>
        <v>8281</v>
      </c>
      <c r="H88" s="5">
        <f>SQRT(SUM('r-pi-11'!$D$3:D88)/COUNTIF($A$3:A88,"&lt;&gt;0"))</f>
        <v>81.963832069040436</v>
      </c>
    </row>
    <row r="89" spans="1:8">
      <c r="A89">
        <v>87</v>
      </c>
      <c r="B89">
        <v>11</v>
      </c>
      <c r="C89">
        <v>8110</v>
      </c>
      <c r="D89">
        <v>7877</v>
      </c>
      <c r="E89" s="4">
        <f t="shared" si="3"/>
        <v>1</v>
      </c>
      <c r="F89" s="4">
        <f t="shared" si="4"/>
        <v>233</v>
      </c>
      <c r="G89" s="4">
        <f t="shared" si="5"/>
        <v>54289</v>
      </c>
      <c r="H89" s="5">
        <f>SQRT(SUM('r-pi-11'!$D$3:D89)/COUNTIF($A$3:A89,"&lt;&gt;0"))</f>
        <v>82.045053504752502</v>
      </c>
    </row>
    <row r="90" spans="1:8">
      <c r="A90">
        <v>88</v>
      </c>
      <c r="B90">
        <v>12</v>
      </c>
      <c r="C90">
        <v>8110</v>
      </c>
      <c r="D90">
        <v>8259</v>
      </c>
      <c r="E90" s="4">
        <f t="shared" si="3"/>
        <v>1</v>
      </c>
      <c r="F90" s="4">
        <f t="shared" si="4"/>
        <v>149</v>
      </c>
      <c r="G90" s="4">
        <f t="shared" si="5"/>
        <v>22201</v>
      </c>
      <c r="H90" s="5">
        <f>SQRT(SUM('r-pi-11'!$D$3:D90)/COUNTIF($A$3:A90,"&lt;&gt;0"))</f>
        <v>82.150776015811317</v>
      </c>
    </row>
    <row r="91" spans="1:8">
      <c r="A91">
        <v>89</v>
      </c>
      <c r="B91">
        <v>11</v>
      </c>
      <c r="C91">
        <v>8110</v>
      </c>
      <c r="D91">
        <v>7867</v>
      </c>
      <c r="E91" s="4">
        <f t="shared" si="3"/>
        <v>1</v>
      </c>
      <c r="F91" s="4">
        <f t="shared" si="4"/>
        <v>243</v>
      </c>
      <c r="G91" s="4">
        <f t="shared" si="5"/>
        <v>59049</v>
      </c>
      <c r="H91" s="5">
        <f>SQRT(SUM('r-pi-11'!$D$3:D91)/COUNTIF($A$3:A91,"&lt;&gt;0"))</f>
        <v>82.227213297919647</v>
      </c>
    </row>
    <row r="92" spans="1:8">
      <c r="A92">
        <v>90</v>
      </c>
      <c r="B92">
        <v>12</v>
      </c>
      <c r="C92">
        <v>8110</v>
      </c>
      <c r="D92">
        <v>8527</v>
      </c>
      <c r="E92" s="4">
        <f t="shared" si="3"/>
        <v>1</v>
      </c>
      <c r="F92" s="4">
        <f t="shared" si="4"/>
        <v>417</v>
      </c>
      <c r="G92" s="4">
        <f t="shared" si="5"/>
        <v>173889</v>
      </c>
      <c r="H92" s="5">
        <f>SQRT(SUM('r-pi-11'!$D$3:D92)/COUNTIF($A$3:A92,"&lt;&gt;0"))</f>
        <v>82.346422711210309</v>
      </c>
    </row>
    <row r="93" spans="1:8">
      <c r="A93">
        <v>91</v>
      </c>
      <c r="B93">
        <v>11</v>
      </c>
      <c r="C93">
        <v>8110</v>
      </c>
      <c r="D93">
        <v>7820</v>
      </c>
      <c r="E93" s="4">
        <f t="shared" si="3"/>
        <v>1</v>
      </c>
      <c r="F93" s="4">
        <f t="shared" si="4"/>
        <v>290</v>
      </c>
      <c r="G93" s="4">
        <f t="shared" si="5"/>
        <v>84100</v>
      </c>
      <c r="H93" s="5">
        <f>SQRT(SUM('r-pi-11'!$D$3:D93)/COUNTIF($A$3:A93,"&lt;&gt;0"))</f>
        <v>82.415724521183748</v>
      </c>
    </row>
    <row r="94" spans="1:8">
      <c r="A94">
        <v>92</v>
      </c>
      <c r="B94">
        <v>12</v>
      </c>
      <c r="C94">
        <v>8110</v>
      </c>
      <c r="D94">
        <v>8552</v>
      </c>
      <c r="E94" s="4">
        <f t="shared" si="3"/>
        <v>1</v>
      </c>
      <c r="F94" s="4">
        <f t="shared" si="4"/>
        <v>442</v>
      </c>
      <c r="G94" s="4">
        <f t="shared" si="5"/>
        <v>195364</v>
      </c>
      <c r="H94" s="5">
        <f>SQRT(SUM('r-pi-11'!$D$3:D94)/COUNTIF($A$3:A94,"&lt;&gt;0"))</f>
        <v>82.531680346819343</v>
      </c>
    </row>
    <row r="95" spans="1:8">
      <c r="A95">
        <v>93</v>
      </c>
      <c r="B95">
        <v>11</v>
      </c>
      <c r="C95">
        <v>8110</v>
      </c>
      <c r="D95">
        <v>8039</v>
      </c>
      <c r="E95" s="4">
        <f t="shared" si="3"/>
        <v>1</v>
      </c>
      <c r="F95" s="4">
        <f t="shared" si="4"/>
        <v>71</v>
      </c>
      <c r="G95" s="4">
        <f t="shared" si="5"/>
        <v>5041</v>
      </c>
      <c r="H95" s="5">
        <f>SQRT(SUM('r-pi-11'!$D$3:D95)/COUNTIF($A$3:A95,"&lt;&gt;0"))</f>
        <v>82.611605839342204</v>
      </c>
    </row>
    <row r="96" spans="1:8">
      <c r="A96">
        <v>94</v>
      </c>
      <c r="B96">
        <v>11</v>
      </c>
      <c r="C96">
        <v>8110</v>
      </c>
      <c r="D96">
        <v>7870</v>
      </c>
      <c r="E96" s="4">
        <f t="shared" si="3"/>
        <v>1</v>
      </c>
      <c r="F96" s="4">
        <f t="shared" si="4"/>
        <v>240</v>
      </c>
      <c r="G96" s="4">
        <f t="shared" si="5"/>
        <v>57600</v>
      </c>
      <c r="H96" s="5">
        <f>SQRT(SUM('r-pi-11'!$D$3:D96)/COUNTIF($A$3:A96,"&lt;&gt;0"))</f>
        <v>82.678884077740349</v>
      </c>
    </row>
    <row r="97" spans="1:8">
      <c r="A97">
        <v>95</v>
      </c>
      <c r="B97">
        <v>12</v>
      </c>
      <c r="C97">
        <v>8110</v>
      </c>
      <c r="D97">
        <v>8661</v>
      </c>
      <c r="E97" s="4">
        <f t="shared" si="3"/>
        <v>1</v>
      </c>
      <c r="F97" s="4">
        <f t="shared" si="4"/>
        <v>551</v>
      </c>
      <c r="G97" s="4">
        <f t="shared" si="5"/>
        <v>303601</v>
      </c>
      <c r="H97" s="5">
        <f>SQRT(SUM('r-pi-11'!$D$3:D97)/COUNTIF($A$3:A97,"&lt;&gt;0"))</f>
        <v>82.794990949427543</v>
      </c>
    </row>
    <row r="98" spans="1:8">
      <c r="A98">
        <v>96</v>
      </c>
      <c r="B98">
        <v>11</v>
      </c>
      <c r="C98">
        <v>8110</v>
      </c>
      <c r="D98">
        <v>7868</v>
      </c>
      <c r="E98" s="4">
        <f t="shared" si="3"/>
        <v>1</v>
      </c>
      <c r="F98" s="4">
        <f t="shared" si="4"/>
        <v>242</v>
      </c>
      <c r="G98" s="4">
        <f t="shared" si="5"/>
        <v>58564</v>
      </c>
      <c r="H98" s="5">
        <f>SQRT(SUM('r-pi-11'!$D$3:D98)/COUNTIF($A$3:A98,"&lt;&gt;0"))</f>
        <v>82.858689948610703</v>
      </c>
    </row>
    <row r="99" spans="1:8">
      <c r="A99">
        <v>97</v>
      </c>
      <c r="B99">
        <v>11</v>
      </c>
      <c r="C99">
        <v>8110</v>
      </c>
      <c r="D99">
        <v>7922</v>
      </c>
      <c r="E99" s="4">
        <f t="shared" si="3"/>
        <v>1</v>
      </c>
      <c r="F99" s="4">
        <f t="shared" si="4"/>
        <v>188</v>
      </c>
      <c r="G99" s="4">
        <f t="shared" si="5"/>
        <v>35344</v>
      </c>
      <c r="H99" s="5">
        <f>SQRT(SUM('r-pi-11'!$D$3:D99)/COUNTIF($A$3:A99,"&lt;&gt;0"))</f>
        <v>82.924384883141713</v>
      </c>
    </row>
    <row r="100" spans="1:8">
      <c r="A100">
        <v>98</v>
      </c>
      <c r="B100">
        <v>11</v>
      </c>
      <c r="C100">
        <v>8110</v>
      </c>
      <c r="D100">
        <v>7932</v>
      </c>
      <c r="E100" s="4">
        <f t="shared" si="3"/>
        <v>1</v>
      </c>
      <c r="F100" s="4">
        <f t="shared" si="4"/>
        <v>178</v>
      </c>
      <c r="G100" s="4">
        <f t="shared" si="5"/>
        <v>31684</v>
      </c>
      <c r="H100" s="5">
        <f>SQRT(SUM('r-pi-11'!$D$3:D100)/COUNTIF($A$3:A100,"&lt;&gt;0"))</f>
        <v>82.989303466145074</v>
      </c>
    </row>
    <row r="101" spans="1:8">
      <c r="A101">
        <v>99</v>
      </c>
      <c r="B101">
        <v>12</v>
      </c>
      <c r="C101">
        <v>8110</v>
      </c>
      <c r="D101">
        <v>8302</v>
      </c>
      <c r="E101" s="4">
        <f t="shared" si="3"/>
        <v>1</v>
      </c>
      <c r="F101" s="4">
        <f t="shared" si="4"/>
        <v>192</v>
      </c>
      <c r="G101" s="4">
        <f t="shared" si="5"/>
        <v>36864</v>
      </c>
      <c r="H101" s="5">
        <f>SQRT(SUM('r-pi-11'!$D$3:D101)/COUNTIF($A$3:A101,"&lt;&gt;0"))</f>
        <v>83.075358268954531</v>
      </c>
    </row>
    <row r="102" spans="1:8">
      <c r="A102">
        <v>100</v>
      </c>
      <c r="B102">
        <v>11</v>
      </c>
      <c r="C102">
        <v>8110</v>
      </c>
      <c r="D102">
        <v>7648</v>
      </c>
      <c r="E102" s="4">
        <f t="shared" si="3"/>
        <v>1</v>
      </c>
      <c r="F102" s="4">
        <f t="shared" si="4"/>
        <v>462</v>
      </c>
      <c r="G102" s="4">
        <f t="shared" si="5"/>
        <v>213444</v>
      </c>
      <c r="H102" s="5">
        <f>SQRT(SUM('r-pi-11'!$D$3:D102)/COUNTIF($A$3:A102,"&lt;&gt;0"))</f>
        <v>83.120274301761057</v>
      </c>
    </row>
    <row r="103" spans="1:8">
      <c r="A103">
        <v>101</v>
      </c>
      <c r="B103">
        <v>12</v>
      </c>
      <c r="C103">
        <v>8110</v>
      </c>
      <c r="D103">
        <v>8365</v>
      </c>
      <c r="E103" s="4">
        <f t="shared" si="3"/>
        <v>1</v>
      </c>
      <c r="F103" s="4">
        <f t="shared" si="4"/>
        <v>255</v>
      </c>
      <c r="G103" s="4">
        <f t="shared" si="5"/>
        <v>65025</v>
      </c>
      <c r="H103" s="5">
        <f>SQRT(SUM('r-pi-11'!$D$3:D103)/COUNTIF($A$3:A103,"&lt;&gt;0"))</f>
        <v>83.206947063354988</v>
      </c>
    </row>
    <row r="104" spans="1:8">
      <c r="A104">
        <v>102</v>
      </c>
      <c r="B104">
        <v>11</v>
      </c>
      <c r="C104">
        <v>8110</v>
      </c>
      <c r="D104">
        <v>7912</v>
      </c>
      <c r="E104" s="4">
        <f t="shared" si="3"/>
        <v>1</v>
      </c>
      <c r="F104" s="4">
        <f t="shared" si="4"/>
        <v>198</v>
      </c>
      <c r="G104" s="4">
        <f t="shared" si="5"/>
        <v>39204</v>
      </c>
      <c r="H104" s="5">
        <f>SQRT(SUM('r-pi-11'!$D$3:D104)/COUNTIF($A$3:A104,"&lt;&gt;0"))</f>
        <v>83.26516819951857</v>
      </c>
    </row>
    <row r="105" spans="1:8">
      <c r="A105">
        <v>103</v>
      </c>
      <c r="B105">
        <v>12</v>
      </c>
      <c r="C105">
        <v>8110</v>
      </c>
      <c r="D105">
        <v>8199</v>
      </c>
      <c r="E105" s="4">
        <f t="shared" si="3"/>
        <v>1</v>
      </c>
      <c r="F105" s="4">
        <f t="shared" si="4"/>
        <v>89</v>
      </c>
      <c r="G105" s="4">
        <f t="shared" si="5"/>
        <v>7921</v>
      </c>
      <c r="H105" s="5">
        <f>SQRT(SUM('r-pi-11'!$D$3:D105)/COUNTIF($A$3:A105,"&lt;&gt;0"))</f>
        <v>83.338938322831424</v>
      </c>
    </row>
    <row r="106" spans="1:8">
      <c r="A106">
        <v>104</v>
      </c>
      <c r="B106">
        <v>11</v>
      </c>
      <c r="C106">
        <v>8110</v>
      </c>
      <c r="D106">
        <v>7928</v>
      </c>
      <c r="E106" s="4">
        <f t="shared" si="3"/>
        <v>1</v>
      </c>
      <c r="F106" s="4">
        <f t="shared" si="4"/>
        <v>182</v>
      </c>
      <c r="G106" s="4">
        <f t="shared" si="5"/>
        <v>33124</v>
      </c>
      <c r="H106" s="5">
        <f>SQRT(SUM('r-pi-11'!$D$3:D106)/COUNTIF($A$3:A106,"&lt;&gt;0"))</f>
        <v>83.395604938611257</v>
      </c>
    </row>
    <row r="107" spans="1:8">
      <c r="A107">
        <v>105</v>
      </c>
      <c r="B107">
        <v>12</v>
      </c>
      <c r="C107">
        <v>8110</v>
      </c>
      <c r="D107">
        <v>8428</v>
      </c>
      <c r="E107" s="4">
        <f t="shared" si="3"/>
        <v>1</v>
      </c>
      <c r="F107" s="4">
        <f t="shared" si="4"/>
        <v>318</v>
      </c>
      <c r="G107" s="4">
        <f t="shared" si="5"/>
        <v>101124</v>
      </c>
      <c r="H107" s="5">
        <f>SQRT(SUM('r-pi-11'!$D$3:D107)/COUNTIF($A$3:A107,"&lt;&gt;0"))</f>
        <v>83.479681017940791</v>
      </c>
    </row>
    <row r="108" spans="1:8">
      <c r="A108">
        <v>106</v>
      </c>
      <c r="B108">
        <v>11</v>
      </c>
      <c r="C108">
        <v>8110</v>
      </c>
      <c r="D108">
        <v>7835</v>
      </c>
      <c r="E108" s="4">
        <f t="shared" si="3"/>
        <v>1</v>
      </c>
      <c r="F108" s="4">
        <f t="shared" si="4"/>
        <v>275</v>
      </c>
      <c r="G108" s="4">
        <f t="shared" si="5"/>
        <v>75625</v>
      </c>
      <c r="H108" s="5">
        <f>SQRT(SUM('r-pi-11'!$D$3:D108)/COUNTIF($A$3:A108,"&lt;&gt;0"))</f>
        <v>83.52860768555162</v>
      </c>
    </row>
    <row r="109" spans="1:8">
      <c r="A109">
        <v>107</v>
      </c>
      <c r="B109">
        <v>12</v>
      </c>
      <c r="C109">
        <v>8110</v>
      </c>
      <c r="D109">
        <v>8473</v>
      </c>
      <c r="E109" s="4">
        <f t="shared" si="3"/>
        <v>1</v>
      </c>
      <c r="F109" s="4">
        <f t="shared" si="4"/>
        <v>363</v>
      </c>
      <c r="G109" s="4">
        <f t="shared" si="5"/>
        <v>131769</v>
      </c>
      <c r="H109" s="5">
        <f>SQRT(SUM('r-pi-11'!$D$3:D109)/COUNTIF($A$3:A109,"&lt;&gt;0"))</f>
        <v>83.61225595446156</v>
      </c>
    </row>
    <row r="110" spans="1:8">
      <c r="A110">
        <v>108</v>
      </c>
      <c r="B110">
        <v>11</v>
      </c>
      <c r="C110">
        <v>8110</v>
      </c>
      <c r="D110">
        <v>8044</v>
      </c>
      <c r="E110" s="4">
        <f t="shared" si="3"/>
        <v>1</v>
      </c>
      <c r="F110" s="4">
        <f t="shared" si="4"/>
        <v>66</v>
      </c>
      <c r="G110" s="4">
        <f t="shared" si="5"/>
        <v>4356</v>
      </c>
      <c r="H110" s="5">
        <f>SQRT(SUM('r-pi-11'!$D$3:D110)/COUNTIF($A$3:A110,"&lt;&gt;0"))</f>
        <v>83.670539972317968</v>
      </c>
    </row>
    <row r="111" spans="1:8">
      <c r="A111">
        <v>109</v>
      </c>
      <c r="B111">
        <v>11</v>
      </c>
      <c r="C111">
        <v>8110</v>
      </c>
      <c r="D111">
        <v>7496</v>
      </c>
      <c r="E111" s="4">
        <f t="shared" si="3"/>
        <v>1</v>
      </c>
      <c r="F111" s="4">
        <f t="shared" si="4"/>
        <v>614</v>
      </c>
      <c r="G111" s="4">
        <f t="shared" si="5"/>
        <v>376996</v>
      </c>
      <c r="H111" s="5">
        <f>SQRT(SUM('r-pi-11'!$D$3:D111)/COUNTIF($A$3:A111,"&lt;&gt;0"))</f>
        <v>83.697686660346704</v>
      </c>
    </row>
    <row r="112" spans="1:8">
      <c r="A112">
        <v>110</v>
      </c>
      <c r="B112">
        <v>12</v>
      </c>
      <c r="C112">
        <v>8110</v>
      </c>
      <c r="D112">
        <v>8550</v>
      </c>
      <c r="E112" s="4">
        <f t="shared" si="3"/>
        <v>1</v>
      </c>
      <c r="F112" s="4">
        <f t="shared" si="4"/>
        <v>440</v>
      </c>
      <c r="G112" s="4">
        <f t="shared" si="5"/>
        <v>193600</v>
      </c>
      <c r="H112" s="5">
        <f>SQRT(SUM('r-pi-11'!$D$3:D112)/COUNTIF($A$3:A112,"&lt;&gt;0"))</f>
        <v>83.781534090427428</v>
      </c>
    </row>
    <row r="113" spans="1:8">
      <c r="A113">
        <v>111</v>
      </c>
      <c r="B113">
        <v>11</v>
      </c>
      <c r="C113">
        <v>8110</v>
      </c>
      <c r="D113">
        <v>7875</v>
      </c>
      <c r="E113" s="4">
        <f t="shared" si="3"/>
        <v>1</v>
      </c>
      <c r="F113" s="4">
        <f t="shared" si="4"/>
        <v>235</v>
      </c>
      <c r="G113" s="4">
        <f t="shared" si="5"/>
        <v>55225</v>
      </c>
      <c r="H113" s="5">
        <f>SQRT(SUM('r-pi-11'!$D$3:D113)/COUNTIF($A$3:A113,"&lt;&gt;0"))</f>
        <v>83.82752563480598</v>
      </c>
    </row>
    <row r="114" spans="1:8">
      <c r="A114">
        <v>112</v>
      </c>
      <c r="B114">
        <v>12</v>
      </c>
      <c r="C114">
        <v>8110</v>
      </c>
      <c r="D114">
        <v>8302</v>
      </c>
      <c r="E114" s="4">
        <f t="shared" si="3"/>
        <v>1</v>
      </c>
      <c r="F114" s="4">
        <f t="shared" si="4"/>
        <v>192</v>
      </c>
      <c r="G114" s="4">
        <f t="shared" si="5"/>
        <v>36864</v>
      </c>
      <c r="H114" s="5">
        <f>SQRT(SUM('r-pi-11'!$D$3:D114)/COUNTIF($A$3:A114,"&lt;&gt;0"))</f>
        <v>83.895396178813058</v>
      </c>
    </row>
    <row r="115" spans="1:8">
      <c r="A115">
        <v>113</v>
      </c>
      <c r="B115">
        <v>11</v>
      </c>
      <c r="C115">
        <v>8110</v>
      </c>
      <c r="D115">
        <v>7800</v>
      </c>
      <c r="E115" s="4">
        <f t="shared" si="3"/>
        <v>1</v>
      </c>
      <c r="F115" s="4">
        <f t="shared" si="4"/>
        <v>310</v>
      </c>
      <c r="G115" s="4">
        <f t="shared" si="5"/>
        <v>96100</v>
      </c>
      <c r="H115" s="5">
        <f>SQRT(SUM('r-pi-11'!$D$3:D115)/COUNTIF($A$3:A115,"&lt;&gt;0"))</f>
        <v>83.93555260526044</v>
      </c>
    </row>
    <row r="116" spans="1:8">
      <c r="A116">
        <v>114</v>
      </c>
      <c r="B116">
        <v>12</v>
      </c>
      <c r="C116">
        <v>8110</v>
      </c>
      <c r="D116">
        <v>8490</v>
      </c>
      <c r="E116" s="4">
        <f t="shared" si="3"/>
        <v>1</v>
      </c>
      <c r="F116" s="4">
        <f t="shared" si="4"/>
        <v>380</v>
      </c>
      <c r="G116" s="4">
        <f t="shared" si="5"/>
        <v>144400</v>
      </c>
      <c r="H116" s="5">
        <f>SQRT(SUM('r-pi-11'!$D$3:D116)/COUNTIF($A$3:A116,"&lt;&gt;0"))</f>
        <v>84.011016403760905</v>
      </c>
    </row>
    <row r="117" spans="1:8">
      <c r="A117">
        <v>115</v>
      </c>
      <c r="B117">
        <v>11</v>
      </c>
      <c r="C117">
        <v>8110</v>
      </c>
      <c r="D117">
        <v>7768</v>
      </c>
      <c r="E117" s="4">
        <f t="shared" si="3"/>
        <v>1</v>
      </c>
      <c r="F117" s="4">
        <f t="shared" si="4"/>
        <v>342</v>
      </c>
      <c r="G117" s="4">
        <f t="shared" si="5"/>
        <v>116964</v>
      </c>
      <c r="H117" s="5">
        <f>SQRT(SUM('r-pi-11'!$D$3:D117)/COUNTIF($A$3:A117,"&lt;&gt;0"))</f>
        <v>84.047760749210454</v>
      </c>
    </row>
    <row r="118" spans="1:8">
      <c r="A118">
        <v>116</v>
      </c>
      <c r="B118">
        <v>12</v>
      </c>
      <c r="C118">
        <v>8110</v>
      </c>
      <c r="D118">
        <v>8436</v>
      </c>
      <c r="E118" s="4">
        <f t="shared" si="3"/>
        <v>1</v>
      </c>
      <c r="F118" s="4">
        <f t="shared" si="4"/>
        <v>326</v>
      </c>
      <c r="G118" s="4">
        <f t="shared" si="5"/>
        <v>106276</v>
      </c>
      <c r="H118" s="5">
        <f>SQRT(SUM('r-pi-11'!$D$3:D118)/COUNTIF($A$3:A118,"&lt;&gt;0"))</f>
        <v>84.118092276726429</v>
      </c>
    </row>
    <row r="119" spans="1:8">
      <c r="A119">
        <v>117</v>
      </c>
      <c r="B119">
        <v>11</v>
      </c>
      <c r="C119">
        <v>8110</v>
      </c>
      <c r="D119">
        <v>7779</v>
      </c>
      <c r="E119" s="4">
        <f t="shared" si="3"/>
        <v>1</v>
      </c>
      <c r="F119" s="4">
        <f t="shared" si="4"/>
        <v>331</v>
      </c>
      <c r="G119" s="4">
        <f t="shared" si="5"/>
        <v>109561</v>
      </c>
      <c r="H119" s="5">
        <f>SQRT(SUM('r-pi-11'!$D$3:D119)/COUNTIF($A$3:A119,"&lt;&gt;0"))</f>
        <v>84.15380709072673</v>
      </c>
    </row>
    <row r="120" spans="1:8">
      <c r="A120">
        <v>118</v>
      </c>
      <c r="B120">
        <v>12</v>
      </c>
      <c r="C120">
        <v>8110</v>
      </c>
      <c r="D120">
        <v>8505</v>
      </c>
      <c r="E120" s="4">
        <f t="shared" si="3"/>
        <v>1</v>
      </c>
      <c r="F120" s="4">
        <f t="shared" si="4"/>
        <v>395</v>
      </c>
      <c r="G120" s="4">
        <f t="shared" si="5"/>
        <v>156025</v>
      </c>
      <c r="H120" s="5">
        <f>SQRT(SUM('r-pi-11'!$D$3:D120)/COUNTIF($A$3:A120,"&lt;&gt;0"))</f>
        <v>84.225433978184753</v>
      </c>
    </row>
    <row r="121" spans="1:8">
      <c r="A121">
        <v>119</v>
      </c>
      <c r="B121">
        <v>11</v>
      </c>
      <c r="C121">
        <v>8110</v>
      </c>
      <c r="D121">
        <v>7885</v>
      </c>
      <c r="E121" s="4">
        <f t="shared" si="3"/>
        <v>1</v>
      </c>
      <c r="F121" s="4">
        <f t="shared" si="4"/>
        <v>225</v>
      </c>
      <c r="G121" s="4">
        <f t="shared" si="5"/>
        <v>50625</v>
      </c>
      <c r="H121" s="5">
        <f>SQRT(SUM('r-pi-11'!$D$3:D121)/COUNTIF($A$3:A121,"&lt;&gt;0"))</f>
        <v>84.264888468278585</v>
      </c>
    </row>
    <row r="122" spans="1:8">
      <c r="A122">
        <v>120</v>
      </c>
      <c r="B122">
        <v>12</v>
      </c>
      <c r="C122">
        <v>8110</v>
      </c>
      <c r="D122">
        <v>8393</v>
      </c>
      <c r="E122" s="4">
        <f t="shared" si="3"/>
        <v>1</v>
      </c>
      <c r="F122" s="4">
        <f t="shared" si="4"/>
        <v>283</v>
      </c>
      <c r="G122" s="4">
        <f t="shared" si="5"/>
        <v>80089</v>
      </c>
      <c r="H122" s="5">
        <f>SQRT(SUM('r-pi-11'!$D$3:D122)/COUNTIF($A$3:A122,"&lt;&gt;0"))</f>
        <v>84.328771286356741</v>
      </c>
    </row>
    <row r="123" spans="1:8">
      <c r="A123">
        <v>121</v>
      </c>
      <c r="B123">
        <v>11</v>
      </c>
      <c r="C123">
        <v>8110</v>
      </c>
      <c r="D123">
        <v>7979</v>
      </c>
      <c r="E123" s="4">
        <f t="shared" si="3"/>
        <v>1</v>
      </c>
      <c r="F123" s="4">
        <f t="shared" si="4"/>
        <v>131</v>
      </c>
      <c r="G123" s="4">
        <f t="shared" si="5"/>
        <v>17161</v>
      </c>
      <c r="H123" s="5">
        <f>SQRT(SUM('r-pi-11'!$D$3:D123)/COUNTIF($A$3:A123,"&lt;&gt;0"))</f>
        <v>84.371277083461379</v>
      </c>
    </row>
    <row r="124" spans="1:8">
      <c r="A124">
        <v>122</v>
      </c>
      <c r="B124">
        <v>12</v>
      </c>
      <c r="C124">
        <v>8110</v>
      </c>
      <c r="D124">
        <v>8200</v>
      </c>
      <c r="E124" s="4">
        <f t="shared" si="3"/>
        <v>1</v>
      </c>
      <c r="F124" s="4">
        <f t="shared" si="4"/>
        <v>90</v>
      </c>
      <c r="G124" s="4">
        <f t="shared" si="5"/>
        <v>8100</v>
      </c>
      <c r="H124" s="5">
        <f>SQRT(SUM('r-pi-11'!$D$3:D124)/COUNTIF($A$3:A124,"&lt;&gt;0"))</f>
        <v>84.423794330628894</v>
      </c>
    </row>
    <row r="125" spans="1:8">
      <c r="A125">
        <v>123</v>
      </c>
      <c r="B125">
        <v>11</v>
      </c>
      <c r="C125">
        <v>8110</v>
      </c>
      <c r="D125">
        <v>7919</v>
      </c>
      <c r="E125" s="4">
        <f t="shared" si="3"/>
        <v>1</v>
      </c>
      <c r="F125" s="4">
        <f t="shared" si="4"/>
        <v>191</v>
      </c>
      <c r="G125" s="4">
        <f t="shared" si="5"/>
        <v>36481</v>
      </c>
      <c r="H125" s="5">
        <f>SQRT(SUM('r-pi-11'!$D$3:D125)/COUNTIF($A$3:A125,"&lt;&gt;0"))</f>
        <v>84.461902702520746</v>
      </c>
    </row>
    <row r="126" spans="1:8">
      <c r="A126">
        <v>124</v>
      </c>
      <c r="B126">
        <v>12</v>
      </c>
      <c r="C126">
        <v>8110</v>
      </c>
      <c r="D126">
        <v>8256</v>
      </c>
      <c r="E126" s="4">
        <f t="shared" si="3"/>
        <v>1</v>
      </c>
      <c r="F126" s="4">
        <f t="shared" si="4"/>
        <v>146</v>
      </c>
      <c r="G126" s="4">
        <f t="shared" si="5"/>
        <v>21316</v>
      </c>
      <c r="H126" s="5">
        <f>SQRT(SUM('r-pi-11'!$D$3:D126)/COUNTIF($A$3:A126,"&lt;&gt;0"))</f>
        <v>84.515459551645378</v>
      </c>
    </row>
    <row r="127" spans="1:8">
      <c r="A127">
        <v>125</v>
      </c>
      <c r="B127">
        <v>11</v>
      </c>
      <c r="C127">
        <v>8110</v>
      </c>
      <c r="D127">
        <v>7722</v>
      </c>
      <c r="E127" s="4">
        <f t="shared" si="3"/>
        <v>1</v>
      </c>
      <c r="F127" s="4">
        <f t="shared" si="4"/>
        <v>388</v>
      </c>
      <c r="G127" s="4">
        <f t="shared" si="5"/>
        <v>150544</v>
      </c>
      <c r="H127" s="5">
        <f>SQRT(SUM('r-pi-11'!$D$3:D127)/COUNTIF($A$3:A127,"&lt;&gt;0"))</f>
        <v>84.542864867474179</v>
      </c>
    </row>
    <row r="128" spans="1:8">
      <c r="A128">
        <v>126</v>
      </c>
      <c r="B128">
        <v>12</v>
      </c>
      <c r="C128">
        <v>8110</v>
      </c>
      <c r="D128">
        <v>8456</v>
      </c>
      <c r="E128" s="4">
        <f t="shared" si="3"/>
        <v>1</v>
      </c>
      <c r="F128" s="4">
        <f t="shared" si="4"/>
        <v>346</v>
      </c>
      <c r="G128" s="4">
        <f t="shared" si="5"/>
        <v>119716</v>
      </c>
      <c r="H128" s="5">
        <f>SQRT(SUM('r-pi-11'!$D$3:D128)/COUNTIF($A$3:A128,"&lt;&gt;0"))</f>
        <v>84.604260840580324</v>
      </c>
    </row>
    <row r="129" spans="1:8">
      <c r="A129">
        <v>127</v>
      </c>
      <c r="B129">
        <v>11</v>
      </c>
      <c r="C129">
        <v>8110</v>
      </c>
      <c r="D129">
        <v>7827</v>
      </c>
      <c r="E129" s="4">
        <f t="shared" si="3"/>
        <v>1</v>
      </c>
      <c r="F129" s="4">
        <f t="shared" si="4"/>
        <v>283</v>
      </c>
      <c r="G129" s="4">
        <f t="shared" si="5"/>
        <v>80089</v>
      </c>
      <c r="H129" s="5">
        <f>SQRT(SUM('r-pi-11'!$D$3:D129)/COUNTIF($A$3:A129,"&lt;&gt;0"))</f>
        <v>84.635392161312822</v>
      </c>
    </row>
    <row r="130" spans="1:8">
      <c r="A130">
        <v>128</v>
      </c>
      <c r="B130">
        <v>12</v>
      </c>
      <c r="C130">
        <v>8110</v>
      </c>
      <c r="D130">
        <v>8564</v>
      </c>
      <c r="E130" s="4">
        <f t="shared" si="3"/>
        <v>1</v>
      </c>
      <c r="F130" s="4">
        <f t="shared" si="4"/>
        <v>454</v>
      </c>
      <c r="G130" s="4">
        <f t="shared" si="5"/>
        <v>206116</v>
      </c>
      <c r="H130" s="5">
        <f>SQRT(SUM('r-pi-11'!$D$3:D130)/COUNTIF($A$3:A130,"&lt;&gt;0"))</f>
        <v>84.700022136951063</v>
      </c>
    </row>
    <row r="131" spans="1:8">
      <c r="A131">
        <v>129</v>
      </c>
      <c r="B131">
        <v>11</v>
      </c>
      <c r="C131">
        <v>8110</v>
      </c>
      <c r="D131">
        <v>8032</v>
      </c>
      <c r="E131" s="4">
        <f t="shared" si="3"/>
        <v>1</v>
      </c>
      <c r="F131" s="4">
        <f t="shared" si="4"/>
        <v>78</v>
      </c>
      <c r="G131" s="4">
        <f t="shared" si="5"/>
        <v>6084</v>
      </c>
      <c r="H131" s="5">
        <f>SQRT(SUM('r-pi-11'!$D$3:D131)/COUNTIF($A$3:A131,"&lt;&gt;0"))</f>
        <v>84.739271805028579</v>
      </c>
    </row>
    <row r="132" spans="1:8">
      <c r="A132">
        <v>130</v>
      </c>
      <c r="B132">
        <v>11</v>
      </c>
      <c r="C132">
        <v>8110</v>
      </c>
      <c r="D132">
        <v>7860</v>
      </c>
      <c r="E132" s="4">
        <f t="shared" ref="E132:E152" si="6">IF(AND(D132&lt;=C132*1.2,D132&gt;=C132*0.8),1,0)</f>
        <v>1</v>
      </c>
      <c r="F132" s="4">
        <f t="shared" ref="F132:F152" si="7">ABS(C132-D132)</f>
        <v>250</v>
      </c>
      <c r="G132" s="4">
        <f t="shared" ref="G132:G152" si="8">POWER(F132,2)</f>
        <v>62500</v>
      </c>
      <c r="H132" s="5">
        <f>SQRT(SUM('r-pi-11'!$D$3:D132)/COUNTIF($A$3:A132,"&lt;&gt;0"))</f>
        <v>84.770096323935078</v>
      </c>
    </row>
    <row r="133" spans="1:8">
      <c r="A133">
        <v>131</v>
      </c>
      <c r="B133">
        <v>12</v>
      </c>
      <c r="C133">
        <v>8110</v>
      </c>
      <c r="D133">
        <v>8506</v>
      </c>
      <c r="E133" s="4">
        <f t="shared" si="6"/>
        <v>1</v>
      </c>
      <c r="F133" s="4">
        <f t="shared" si="7"/>
        <v>396</v>
      </c>
      <c r="G133" s="4">
        <f t="shared" si="8"/>
        <v>156816</v>
      </c>
      <c r="H133" s="5">
        <f>SQRT(SUM('r-pi-11'!$D$3:D133)/COUNTIF($A$3:A133,"&lt;&gt;0"))</f>
        <v>84.829510204449008</v>
      </c>
    </row>
    <row r="134" spans="1:8">
      <c r="A134">
        <v>132</v>
      </c>
      <c r="B134">
        <v>11</v>
      </c>
      <c r="C134">
        <v>8110</v>
      </c>
      <c r="D134">
        <v>7932</v>
      </c>
      <c r="E134" s="4">
        <f t="shared" si="6"/>
        <v>1</v>
      </c>
      <c r="F134" s="4">
        <f t="shared" si="7"/>
        <v>178</v>
      </c>
      <c r="G134" s="4">
        <f t="shared" si="8"/>
        <v>31684</v>
      </c>
      <c r="H134" s="5">
        <f>SQRT(SUM('r-pi-11'!$D$3:D134)/COUNTIF($A$3:A134,"&lt;&gt;0"))</f>
        <v>84.862366288721958</v>
      </c>
    </row>
    <row r="135" spans="1:8">
      <c r="A135">
        <v>133</v>
      </c>
      <c r="B135">
        <v>12</v>
      </c>
      <c r="C135">
        <v>8110</v>
      </c>
      <c r="D135">
        <v>8245</v>
      </c>
      <c r="E135" s="4">
        <f t="shared" si="6"/>
        <v>1</v>
      </c>
      <c r="F135" s="4">
        <f t="shared" si="7"/>
        <v>135</v>
      </c>
      <c r="G135" s="4">
        <f t="shared" si="8"/>
        <v>18225</v>
      </c>
      <c r="H135" s="5">
        <f>SQRT(SUM('r-pi-11'!$D$3:D135)/COUNTIF($A$3:A135,"&lt;&gt;0"))</f>
        <v>84.908575334965633</v>
      </c>
    </row>
    <row r="136" spans="1:8">
      <c r="A136">
        <v>134</v>
      </c>
      <c r="B136">
        <v>11</v>
      </c>
      <c r="C136">
        <v>8110</v>
      </c>
      <c r="D136">
        <v>8050</v>
      </c>
      <c r="E136" s="4">
        <f t="shared" si="6"/>
        <v>1</v>
      </c>
      <c r="F136" s="4">
        <f t="shared" si="7"/>
        <v>60</v>
      </c>
      <c r="G136" s="4">
        <f t="shared" si="8"/>
        <v>3600</v>
      </c>
      <c r="H136" s="5">
        <f>SQRT(SUM('r-pi-11'!$D$3:D136)/COUNTIF($A$3:A136,"&lt;&gt;0"))</f>
        <v>84.945504919154786</v>
      </c>
    </row>
    <row r="137" spans="1:8">
      <c r="A137">
        <v>135</v>
      </c>
      <c r="B137">
        <v>11</v>
      </c>
      <c r="C137">
        <v>8110</v>
      </c>
      <c r="D137">
        <v>7826</v>
      </c>
      <c r="E137" s="4">
        <f t="shared" si="6"/>
        <v>1</v>
      </c>
      <c r="F137" s="4">
        <f t="shared" si="7"/>
        <v>284</v>
      </c>
      <c r="G137" s="4">
        <f t="shared" si="8"/>
        <v>80656</v>
      </c>
      <c r="H137" s="5">
        <f>SQRT(SUM('r-pi-11'!$D$3:D137)/COUNTIF($A$3:A137,"&lt;&gt;0"))</f>
        <v>84.972108713737711</v>
      </c>
    </row>
    <row r="138" spans="1:8">
      <c r="A138">
        <v>136</v>
      </c>
      <c r="B138">
        <v>12</v>
      </c>
      <c r="C138">
        <v>8110</v>
      </c>
      <c r="D138">
        <v>8205</v>
      </c>
      <c r="E138" s="4">
        <f t="shared" si="6"/>
        <v>1</v>
      </c>
      <c r="F138" s="4">
        <f t="shared" si="7"/>
        <v>95</v>
      </c>
      <c r="G138" s="4">
        <f t="shared" si="8"/>
        <v>9025</v>
      </c>
      <c r="H138" s="5">
        <f>SQRT(SUM('r-pi-11'!$D$3:D138)/COUNTIF($A$3:A138,"&lt;&gt;0"))</f>
        <v>85.014704610437832</v>
      </c>
    </row>
    <row r="139" spans="1:8">
      <c r="A139">
        <v>137</v>
      </c>
      <c r="B139">
        <v>11</v>
      </c>
      <c r="C139">
        <v>8110</v>
      </c>
      <c r="D139">
        <v>7893</v>
      </c>
      <c r="E139" s="4">
        <f t="shared" si="6"/>
        <v>1</v>
      </c>
      <c r="F139" s="4">
        <f t="shared" si="7"/>
        <v>217</v>
      </c>
      <c r="G139" s="4">
        <f t="shared" si="8"/>
        <v>47089</v>
      </c>
      <c r="H139" s="5">
        <f>SQRT(SUM('r-pi-11'!$D$3:D139)/COUNTIF($A$3:A139,"&lt;&gt;0"))</f>
        <v>85.043269364680327</v>
      </c>
    </row>
    <row r="140" spans="1:8">
      <c r="A140">
        <v>138</v>
      </c>
      <c r="B140">
        <v>12</v>
      </c>
      <c r="C140">
        <v>8110</v>
      </c>
      <c r="D140">
        <v>8503</v>
      </c>
      <c r="E140" s="4">
        <f t="shared" si="6"/>
        <v>1</v>
      </c>
      <c r="F140" s="4">
        <f t="shared" si="7"/>
        <v>393</v>
      </c>
      <c r="G140" s="4">
        <f t="shared" si="8"/>
        <v>154449</v>
      </c>
      <c r="H140" s="5">
        <f>SQRT(SUM('r-pi-11'!$D$3:D140)/COUNTIF($A$3:A140,"&lt;&gt;0"))</f>
        <v>85.097386666050468</v>
      </c>
    </row>
    <row r="141" spans="1:8">
      <c r="A141">
        <v>139</v>
      </c>
      <c r="B141">
        <v>11</v>
      </c>
      <c r="C141">
        <v>8110</v>
      </c>
      <c r="D141">
        <v>7667</v>
      </c>
      <c r="E141" s="4">
        <f t="shared" si="6"/>
        <v>1</v>
      </c>
      <c r="F141" s="4">
        <f t="shared" si="7"/>
        <v>443</v>
      </c>
      <c r="G141" s="4">
        <f t="shared" si="8"/>
        <v>196249</v>
      </c>
      <c r="H141" s="5">
        <f>SQRT(SUM('r-pi-11'!$D$3:D141)/COUNTIF($A$3:A141,"&lt;&gt;0"))</f>
        <v>85.11536817332447</v>
      </c>
    </row>
    <row r="142" spans="1:8">
      <c r="A142">
        <v>140</v>
      </c>
      <c r="B142">
        <v>12</v>
      </c>
      <c r="C142">
        <v>8110</v>
      </c>
      <c r="D142">
        <v>8458</v>
      </c>
      <c r="E142" s="4">
        <f t="shared" si="6"/>
        <v>1</v>
      </c>
      <c r="F142" s="4">
        <f t="shared" si="7"/>
        <v>348</v>
      </c>
      <c r="G142" s="4">
        <f t="shared" si="8"/>
        <v>121104</v>
      </c>
      <c r="H142" s="5">
        <f>SQRT(SUM('r-pi-11'!$D$3:D142)/COUNTIF($A$3:A142,"&lt;&gt;0"))</f>
        <v>85.166265957495497</v>
      </c>
    </row>
    <row r="143" spans="1:8">
      <c r="A143">
        <v>141</v>
      </c>
      <c r="B143">
        <v>11</v>
      </c>
      <c r="C143">
        <v>8110</v>
      </c>
      <c r="D143">
        <v>7671</v>
      </c>
      <c r="E143" s="4">
        <f t="shared" si="6"/>
        <v>1</v>
      </c>
      <c r="F143" s="4">
        <f t="shared" si="7"/>
        <v>439</v>
      </c>
      <c r="G143" s="4">
        <f t="shared" si="8"/>
        <v>192721</v>
      </c>
      <c r="H143" s="5">
        <f>SQRT(SUM('r-pi-11'!$D$3:D143)/COUNTIF($A$3:A143,"&lt;&gt;0"))</f>
        <v>85.183656408661733</v>
      </c>
    </row>
    <row r="144" spans="1:8">
      <c r="A144">
        <v>142</v>
      </c>
      <c r="B144">
        <v>12</v>
      </c>
      <c r="C144">
        <v>8110</v>
      </c>
      <c r="D144">
        <v>8381</v>
      </c>
      <c r="E144" s="4">
        <f t="shared" si="6"/>
        <v>1</v>
      </c>
      <c r="F144" s="4">
        <f t="shared" si="7"/>
        <v>271</v>
      </c>
      <c r="G144" s="4">
        <f t="shared" si="8"/>
        <v>73441</v>
      </c>
      <c r="H144" s="5">
        <f>SQRT(SUM('r-pi-11'!$D$3:D144)/COUNTIF($A$3:A144,"&lt;&gt;0"))</f>
        <v>85.230135846061089</v>
      </c>
    </row>
    <row r="145" spans="1:8">
      <c r="A145">
        <v>143</v>
      </c>
      <c r="B145">
        <v>11</v>
      </c>
      <c r="C145">
        <v>8110</v>
      </c>
      <c r="D145">
        <v>7590</v>
      </c>
      <c r="E145" s="4">
        <f t="shared" si="6"/>
        <v>1</v>
      </c>
      <c r="F145" s="4">
        <f t="shared" si="7"/>
        <v>520</v>
      </c>
      <c r="G145" s="4">
        <f t="shared" si="8"/>
        <v>270400</v>
      </c>
      <c r="H145" s="5">
        <f>SQRT(SUM('r-pi-11'!$D$3:D145)/COUNTIF($A$3:A145,"&lt;&gt;0"))</f>
        <v>85.24350148518387</v>
      </c>
    </row>
    <row r="146" spans="1:8">
      <c r="A146">
        <v>144</v>
      </c>
      <c r="B146">
        <v>12</v>
      </c>
      <c r="C146">
        <v>8110</v>
      </c>
      <c r="D146">
        <v>8169</v>
      </c>
      <c r="E146" s="4">
        <f t="shared" si="6"/>
        <v>1</v>
      </c>
      <c r="F146" s="4">
        <f t="shared" si="7"/>
        <v>59</v>
      </c>
      <c r="G146" s="4">
        <f t="shared" si="8"/>
        <v>3481</v>
      </c>
      <c r="H146" s="5">
        <f>SQRT(SUM('r-pi-11'!$D$3:D146)/COUNTIF($A$3:A146,"&lt;&gt;0"))</f>
        <v>85.280256931028433</v>
      </c>
    </row>
    <row r="147" spans="1:8">
      <c r="A147">
        <v>145</v>
      </c>
      <c r="B147">
        <v>12</v>
      </c>
      <c r="C147">
        <v>8110</v>
      </c>
      <c r="D147">
        <v>8226</v>
      </c>
      <c r="E147" s="4">
        <f t="shared" si="6"/>
        <v>1</v>
      </c>
      <c r="F147" s="4">
        <f t="shared" si="7"/>
        <v>116</v>
      </c>
      <c r="G147" s="4">
        <f t="shared" si="8"/>
        <v>13456</v>
      </c>
      <c r="H147" s="5">
        <f>SQRT(SUM('r-pi-11'!$D$3:D147)/COUNTIF($A$3:A147,"&lt;&gt;0"))</f>
        <v>85.318793660741235</v>
      </c>
    </row>
    <row r="148" spans="1:8">
      <c r="A148">
        <v>146</v>
      </c>
      <c r="B148">
        <v>12</v>
      </c>
      <c r="C148">
        <v>8110</v>
      </c>
      <c r="D148">
        <v>8394</v>
      </c>
      <c r="E148" s="4">
        <f t="shared" si="6"/>
        <v>1</v>
      </c>
      <c r="F148" s="4">
        <f t="shared" si="7"/>
        <v>284</v>
      </c>
      <c r="G148" s="4">
        <f t="shared" si="8"/>
        <v>80656</v>
      </c>
      <c r="H148" s="5">
        <f>SQRT(SUM('r-pi-11'!$D$3:D148)/COUNTIF($A$3:A148,"&lt;&gt;0"))</f>
        <v>85.363525623355756</v>
      </c>
    </row>
    <row r="149" spans="1:8">
      <c r="A149">
        <v>147</v>
      </c>
      <c r="B149">
        <v>11</v>
      </c>
      <c r="C149">
        <v>8110</v>
      </c>
      <c r="D149">
        <v>7820</v>
      </c>
      <c r="E149" s="4">
        <f t="shared" si="6"/>
        <v>1</v>
      </c>
      <c r="F149" s="4">
        <f t="shared" si="7"/>
        <v>290</v>
      </c>
      <c r="G149" s="4">
        <f t="shared" si="8"/>
        <v>84100</v>
      </c>
      <c r="H149" s="5">
        <f>SQRT(SUM('r-pi-11'!$D$3:D149)/COUNTIF($A$3:A149,"&lt;&gt;0"))</f>
        <v>85.384763413206528</v>
      </c>
    </row>
    <row r="150" spans="1:8">
      <c r="A150">
        <v>148</v>
      </c>
      <c r="B150">
        <v>12</v>
      </c>
      <c r="C150">
        <v>8110</v>
      </c>
      <c r="D150">
        <v>8157</v>
      </c>
      <c r="E150" s="4">
        <f t="shared" si="6"/>
        <v>1</v>
      </c>
      <c r="F150" s="4">
        <f t="shared" si="7"/>
        <v>47</v>
      </c>
      <c r="G150" s="4">
        <f t="shared" si="8"/>
        <v>2209</v>
      </c>
      <c r="H150" s="5">
        <f>SQRT(SUM('r-pi-11'!$D$3:D150)/COUNTIF($A$3:A150,"&lt;&gt;0"))</f>
        <v>85.419038639884974</v>
      </c>
    </row>
    <row r="151" spans="1:8">
      <c r="A151">
        <v>149</v>
      </c>
      <c r="B151">
        <v>12</v>
      </c>
      <c r="C151">
        <v>8110</v>
      </c>
      <c r="D151">
        <v>8425</v>
      </c>
      <c r="E151" s="4">
        <f t="shared" si="6"/>
        <v>1</v>
      </c>
      <c r="F151" s="4">
        <f t="shared" si="7"/>
        <v>315</v>
      </c>
      <c r="G151" s="4">
        <f t="shared" si="8"/>
        <v>99225</v>
      </c>
      <c r="H151" s="5">
        <f>SQRT(SUM('r-pi-11'!$D$3:D151)/COUNTIF($A$3:A151,"&lt;&gt;0"))</f>
        <v>85.463363947256425</v>
      </c>
    </row>
    <row r="152" spans="1:8">
      <c r="A152">
        <v>150</v>
      </c>
      <c r="B152">
        <v>11</v>
      </c>
      <c r="C152">
        <v>8110</v>
      </c>
      <c r="D152">
        <v>7923</v>
      </c>
      <c r="E152" s="4">
        <f t="shared" si="6"/>
        <v>1</v>
      </c>
      <c r="F152" s="4">
        <f t="shared" si="7"/>
        <v>187</v>
      </c>
      <c r="G152" s="4">
        <f t="shared" si="8"/>
        <v>34969</v>
      </c>
      <c r="H152" s="5">
        <f>SQRT(SUM('r-pi-11'!$D$3:D152)/COUNTIF($A$3:A152,"&lt;&gt;0"))</f>
        <v>85.487503960130539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3" width="8.7265625" style="4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43"/>
      <c r="C2" s="6" t="s">
        <v>6</v>
      </c>
      <c r="D2" s="6" t="s">
        <v>8</v>
      </c>
      <c r="E2" s="43"/>
      <c r="F2" s="43"/>
      <c r="G2" s="43"/>
      <c r="H2" s="43"/>
    </row>
    <row r="3" spans="1:8">
      <c r="A3">
        <v>1</v>
      </c>
      <c r="B3">
        <v>1</v>
      </c>
      <c r="C3">
        <v>9500</v>
      </c>
      <c r="D3">
        <v>770</v>
      </c>
      <c r="E3" s="4">
        <f>IF(AND(D3&lt;=C3*1.2,D3&gt;=C3*0.8),1,0)</f>
        <v>0</v>
      </c>
      <c r="F3" s="4">
        <f>ABS(C3-D3)</f>
        <v>8730</v>
      </c>
      <c r="G3" s="4">
        <f>POWER(F3,2)</f>
        <v>76212900</v>
      </c>
      <c r="H3" s="5">
        <f>SQRT(SUM('r-pi-14'!$D$3:D3)/COUNTIF($A$3:A3,"&lt;&gt;0"))</f>
        <v>27.748873851023216</v>
      </c>
    </row>
    <row r="4" spans="1:8">
      <c r="A4">
        <v>2</v>
      </c>
      <c r="B4">
        <v>2</v>
      </c>
      <c r="C4">
        <v>9500</v>
      </c>
      <c r="D4">
        <v>2604</v>
      </c>
      <c r="E4" s="4">
        <f t="shared" ref="E4:E67" si="0">IF(AND(D4&lt;=C4*1.2,D4&gt;=C4*0.8),1,0)</f>
        <v>0</v>
      </c>
      <c r="F4" s="4">
        <f t="shared" ref="F4:F67" si="1">ABS(C4-D4)</f>
        <v>6896</v>
      </c>
      <c r="G4" s="4">
        <f t="shared" ref="G4:G67" si="2">POWER(F4,2)</f>
        <v>47554816</v>
      </c>
      <c r="H4" s="5">
        <f>SQRT(SUM('r-pi-14'!$D$3:D4)/COUNTIF($A$3:A4,"&lt;&gt;0"))</f>
        <v>41.073105555825698</v>
      </c>
    </row>
    <row r="5" spans="1:8">
      <c r="A5">
        <v>3</v>
      </c>
      <c r="B5">
        <v>2</v>
      </c>
      <c r="C5">
        <v>9500</v>
      </c>
      <c r="D5">
        <v>2586</v>
      </c>
      <c r="E5" s="4">
        <f t="shared" si="0"/>
        <v>0</v>
      </c>
      <c r="F5" s="4">
        <f t="shared" si="1"/>
        <v>6914</v>
      </c>
      <c r="G5" s="4">
        <f t="shared" si="2"/>
        <v>47803396</v>
      </c>
      <c r="H5" s="5">
        <f>SQRT(SUM('r-pi-14'!$D$3:D5)/COUNTIF($A$3:A5,"&lt;&gt;0"))</f>
        <v>44.572039067858078</v>
      </c>
    </row>
    <row r="6" spans="1:8">
      <c r="A6">
        <v>4</v>
      </c>
      <c r="B6">
        <v>3</v>
      </c>
      <c r="C6">
        <v>9500</v>
      </c>
      <c r="D6">
        <v>2555</v>
      </c>
      <c r="E6" s="4">
        <f t="shared" si="0"/>
        <v>0</v>
      </c>
      <c r="F6" s="4">
        <f t="shared" si="1"/>
        <v>6945</v>
      </c>
      <c r="G6" s="4">
        <f t="shared" si="2"/>
        <v>48233025</v>
      </c>
      <c r="H6" s="5">
        <f>SQRT(SUM('r-pi-14'!$D$3:D6)/COUNTIF($A$3:A6,"&lt;&gt;0"))</f>
        <v>46.138378818506396</v>
      </c>
    </row>
    <row r="7" spans="1:8">
      <c r="A7">
        <v>5</v>
      </c>
      <c r="B7">
        <v>4</v>
      </c>
      <c r="C7">
        <v>9500</v>
      </c>
      <c r="D7">
        <v>4320</v>
      </c>
      <c r="E7" s="4">
        <f t="shared" si="0"/>
        <v>0</v>
      </c>
      <c r="F7" s="4">
        <f t="shared" si="1"/>
        <v>5180</v>
      </c>
      <c r="G7" s="4">
        <f t="shared" si="2"/>
        <v>26832400</v>
      </c>
      <c r="H7" s="5">
        <f>SQRT(SUM('r-pi-14'!$D$3:D7)/COUNTIF($A$3:A7,"&lt;&gt;0"))</f>
        <v>50.665570163573605</v>
      </c>
    </row>
    <row r="8" spans="1:8">
      <c r="A8">
        <v>6</v>
      </c>
      <c r="B8">
        <v>4</v>
      </c>
      <c r="C8">
        <v>9500</v>
      </c>
      <c r="D8">
        <v>4419</v>
      </c>
      <c r="E8" s="4">
        <f t="shared" si="0"/>
        <v>0</v>
      </c>
      <c r="F8" s="4">
        <f t="shared" si="1"/>
        <v>5081</v>
      </c>
      <c r="G8" s="4">
        <f t="shared" si="2"/>
        <v>25816561</v>
      </c>
      <c r="H8" s="5">
        <f>SQRT(SUM('r-pi-14'!$D$3:D8)/COUNTIF($A$3:A8,"&lt;&gt;0"))</f>
        <v>53.625242812193086</v>
      </c>
    </row>
    <row r="9" spans="1:8">
      <c r="A9">
        <v>7</v>
      </c>
      <c r="B9">
        <v>4</v>
      </c>
      <c r="C9">
        <v>9500</v>
      </c>
      <c r="D9">
        <v>4405</v>
      </c>
      <c r="E9" s="4">
        <f t="shared" si="0"/>
        <v>0</v>
      </c>
      <c r="F9" s="4">
        <f t="shared" si="1"/>
        <v>5095</v>
      </c>
      <c r="G9" s="4">
        <f t="shared" si="2"/>
        <v>25959025</v>
      </c>
      <c r="H9" s="5">
        <f>SQRT(SUM('r-pi-14'!$D$3:D9)/COUNTIF($A$3:A9,"&lt;&gt;0"))</f>
        <v>55.625020064201841</v>
      </c>
    </row>
    <row r="10" spans="1:8">
      <c r="A10">
        <v>8</v>
      </c>
      <c r="B10">
        <v>5</v>
      </c>
      <c r="C10">
        <v>9500</v>
      </c>
      <c r="D10">
        <v>4567</v>
      </c>
      <c r="E10" s="4">
        <f t="shared" si="0"/>
        <v>0</v>
      </c>
      <c r="F10" s="4">
        <f t="shared" si="1"/>
        <v>4933</v>
      </c>
      <c r="G10" s="4">
        <f t="shared" si="2"/>
        <v>24334489</v>
      </c>
      <c r="H10" s="5">
        <f>SQRT(SUM('r-pi-14'!$D$3:D10)/COUNTIF($A$3:A10,"&lt;&gt;0"))</f>
        <v>57.256004051976944</v>
      </c>
    </row>
    <row r="11" spans="1:8">
      <c r="A11">
        <v>9</v>
      </c>
      <c r="B11">
        <v>5</v>
      </c>
      <c r="C11">
        <v>9500</v>
      </c>
      <c r="D11">
        <v>4477</v>
      </c>
      <c r="E11" s="4">
        <f t="shared" si="0"/>
        <v>0</v>
      </c>
      <c r="F11" s="4">
        <f t="shared" si="1"/>
        <v>5023</v>
      </c>
      <c r="G11" s="4">
        <f t="shared" si="2"/>
        <v>25230529</v>
      </c>
      <c r="H11" s="5">
        <f>SQRT(SUM('r-pi-14'!$D$3:D11)/COUNTIF($A$3:A11,"&lt;&gt;0"))</f>
        <v>58.407571807467264</v>
      </c>
    </row>
    <row r="12" spans="1:8">
      <c r="A12">
        <v>10</v>
      </c>
      <c r="B12">
        <v>6</v>
      </c>
      <c r="C12">
        <v>9500</v>
      </c>
      <c r="D12">
        <v>5496</v>
      </c>
      <c r="E12" s="4">
        <f t="shared" si="0"/>
        <v>0</v>
      </c>
      <c r="F12" s="4">
        <f t="shared" si="1"/>
        <v>4004</v>
      </c>
      <c r="G12" s="4">
        <f t="shared" si="2"/>
        <v>16032016</v>
      </c>
      <c r="H12" s="5">
        <f>SQRT(SUM('r-pi-14'!$D$3:D12)/COUNTIF($A$3:A12,"&lt;&gt;0"))</f>
        <v>60.165604792106926</v>
      </c>
    </row>
    <row r="13" spans="1:8">
      <c r="A13">
        <v>11</v>
      </c>
      <c r="B13">
        <v>6</v>
      </c>
      <c r="C13">
        <v>9500</v>
      </c>
      <c r="D13">
        <v>5433</v>
      </c>
      <c r="E13" s="4">
        <f t="shared" si="0"/>
        <v>0</v>
      </c>
      <c r="F13" s="4">
        <f t="shared" si="1"/>
        <v>4067</v>
      </c>
      <c r="G13" s="4">
        <f t="shared" si="2"/>
        <v>16540489</v>
      </c>
      <c r="H13" s="5">
        <f>SQRT(SUM('r-pi-14'!$D$3:D13)/COUNTIF($A$3:A13,"&lt;&gt;0"))</f>
        <v>61.520137131895865</v>
      </c>
    </row>
    <row r="14" spans="1:8">
      <c r="A14">
        <v>12</v>
      </c>
      <c r="B14">
        <v>7</v>
      </c>
      <c r="C14">
        <v>9500</v>
      </c>
      <c r="D14">
        <v>6030</v>
      </c>
      <c r="E14" s="4">
        <f t="shared" si="0"/>
        <v>0</v>
      </c>
      <c r="F14" s="4">
        <f t="shared" si="1"/>
        <v>3470</v>
      </c>
      <c r="G14" s="4">
        <f t="shared" si="2"/>
        <v>12040900</v>
      </c>
      <c r="H14" s="5">
        <f>SQRT(SUM('r-pi-14'!$D$3:D14)/COUNTIF($A$3:A14,"&lt;&gt;0"))</f>
        <v>63.022482760784136</v>
      </c>
    </row>
    <row r="15" spans="1:8">
      <c r="A15">
        <v>13</v>
      </c>
      <c r="B15">
        <v>7</v>
      </c>
      <c r="C15">
        <v>9500</v>
      </c>
      <c r="D15">
        <v>5936</v>
      </c>
      <c r="E15" s="4">
        <f t="shared" si="0"/>
        <v>0</v>
      </c>
      <c r="F15" s="4">
        <f t="shared" si="1"/>
        <v>3564</v>
      </c>
      <c r="G15" s="4">
        <f t="shared" si="2"/>
        <v>12702096</v>
      </c>
      <c r="H15" s="5">
        <f>SQRT(SUM('r-pi-14'!$D$3:D15)/COUNTIF($A$3:A15,"&lt;&gt;0"))</f>
        <v>64.209992033351611</v>
      </c>
    </row>
    <row r="16" spans="1:8">
      <c r="A16">
        <v>14</v>
      </c>
      <c r="B16">
        <v>7</v>
      </c>
      <c r="C16">
        <v>9500</v>
      </c>
      <c r="D16">
        <v>5796</v>
      </c>
      <c r="E16" s="4">
        <f t="shared" si="0"/>
        <v>0</v>
      </c>
      <c r="F16" s="4">
        <f t="shared" si="1"/>
        <v>3704</v>
      </c>
      <c r="G16" s="4">
        <f t="shared" si="2"/>
        <v>13719616</v>
      </c>
      <c r="H16" s="5">
        <f>SQRT(SUM('r-pi-14'!$D$3:D16)/COUNTIF($A$3:A16,"&lt;&gt;0"))</f>
        <v>65.133927959463421</v>
      </c>
    </row>
    <row r="17" spans="1:8">
      <c r="A17">
        <v>15</v>
      </c>
      <c r="B17">
        <v>8</v>
      </c>
      <c r="C17">
        <v>9500</v>
      </c>
      <c r="D17">
        <v>6916</v>
      </c>
      <c r="E17" s="4">
        <f t="shared" si="0"/>
        <v>0</v>
      </c>
      <c r="F17" s="4">
        <f t="shared" si="1"/>
        <v>2584</v>
      </c>
      <c r="G17" s="4">
        <f t="shared" si="2"/>
        <v>6677056</v>
      </c>
      <c r="H17" s="5">
        <f>SQRT(SUM('r-pi-14'!$D$3:D17)/COUNTIF($A$3:A17,"&lt;&gt;0"))</f>
        <v>66.4880941723153</v>
      </c>
    </row>
    <row r="18" spans="1:8">
      <c r="A18">
        <v>16</v>
      </c>
      <c r="B18">
        <v>8</v>
      </c>
      <c r="C18">
        <v>9500</v>
      </c>
      <c r="D18">
        <v>6556</v>
      </c>
      <c r="E18" s="4">
        <f t="shared" si="0"/>
        <v>0</v>
      </c>
      <c r="F18" s="4">
        <f t="shared" si="1"/>
        <v>2944</v>
      </c>
      <c r="G18" s="4">
        <f t="shared" si="2"/>
        <v>8667136</v>
      </c>
      <c r="H18" s="5">
        <f>SQRT(SUM('r-pi-14'!$D$3:D18)/COUNTIF($A$3:A18,"&lt;&gt;0"))</f>
        <v>67.484257423491002</v>
      </c>
    </row>
    <row r="19" spans="1:8">
      <c r="A19">
        <v>17</v>
      </c>
      <c r="B19">
        <v>8</v>
      </c>
      <c r="C19">
        <v>9500</v>
      </c>
      <c r="D19">
        <v>6715</v>
      </c>
      <c r="E19" s="4">
        <f t="shared" si="0"/>
        <v>0</v>
      </c>
      <c r="F19" s="4">
        <f t="shared" si="1"/>
        <v>2785</v>
      </c>
      <c r="G19" s="4">
        <f t="shared" si="2"/>
        <v>7756225</v>
      </c>
      <c r="H19" s="5">
        <f>SQRT(SUM('r-pi-14'!$D$3:D19)/COUNTIF($A$3:A19,"&lt;&gt;0"))</f>
        <v>68.419553448686344</v>
      </c>
    </row>
    <row r="20" spans="1:8">
      <c r="A20">
        <v>18</v>
      </c>
      <c r="B20">
        <v>8</v>
      </c>
      <c r="C20">
        <v>9500</v>
      </c>
      <c r="D20">
        <v>6845</v>
      </c>
      <c r="E20" s="4">
        <f t="shared" si="0"/>
        <v>0</v>
      </c>
      <c r="F20" s="4">
        <f t="shared" si="1"/>
        <v>2655</v>
      </c>
      <c r="G20" s="4">
        <f t="shared" si="2"/>
        <v>7049025</v>
      </c>
      <c r="H20" s="5">
        <f>SQRT(SUM('r-pi-14'!$D$3:D20)/COUNTIF($A$3:A20,"&lt;&gt;0"))</f>
        <v>69.292455898491895</v>
      </c>
    </row>
    <row r="21" spans="1:8">
      <c r="A21">
        <v>19</v>
      </c>
      <c r="B21">
        <v>8</v>
      </c>
      <c r="C21">
        <v>9500</v>
      </c>
      <c r="D21">
        <v>6553</v>
      </c>
      <c r="E21" s="4">
        <f t="shared" si="0"/>
        <v>0</v>
      </c>
      <c r="F21" s="4">
        <f t="shared" si="1"/>
        <v>2947</v>
      </c>
      <c r="G21" s="4">
        <f t="shared" si="2"/>
        <v>8684809</v>
      </c>
      <c r="H21" s="5">
        <f>SQRT(SUM('r-pi-14'!$D$3:D21)/COUNTIF($A$3:A21,"&lt;&gt;0"))</f>
        <v>69.954496488412872</v>
      </c>
    </row>
    <row r="22" spans="1:8">
      <c r="A22">
        <v>20</v>
      </c>
      <c r="B22">
        <v>9</v>
      </c>
      <c r="C22">
        <v>9500</v>
      </c>
      <c r="D22">
        <v>7085</v>
      </c>
      <c r="E22" s="4">
        <f t="shared" si="0"/>
        <v>0</v>
      </c>
      <c r="F22" s="4">
        <f t="shared" si="1"/>
        <v>2415</v>
      </c>
      <c r="G22" s="4">
        <f t="shared" si="2"/>
        <v>5832225</v>
      </c>
      <c r="H22" s="5">
        <f>SQRT(SUM('r-pi-14'!$D$3:D22)/COUNTIF($A$3:A22,"&lt;&gt;0"))</f>
        <v>70.733301916424068</v>
      </c>
    </row>
    <row r="23" spans="1:8">
      <c r="A23">
        <v>21</v>
      </c>
      <c r="B23">
        <v>9</v>
      </c>
      <c r="C23">
        <v>9500</v>
      </c>
      <c r="D23">
        <v>6933</v>
      </c>
      <c r="E23" s="4">
        <f t="shared" si="0"/>
        <v>0</v>
      </c>
      <c r="F23" s="4">
        <f t="shared" si="1"/>
        <v>2567</v>
      </c>
      <c r="G23" s="4">
        <f t="shared" si="2"/>
        <v>6589489</v>
      </c>
      <c r="H23" s="5">
        <f>SQRT(SUM('r-pi-14'!$D$3:D23)/COUNTIF($A$3:A23,"&lt;&gt;0"))</f>
        <v>71.379935822997481</v>
      </c>
    </row>
    <row r="24" spans="1:8">
      <c r="A24">
        <v>22</v>
      </c>
      <c r="B24">
        <v>9</v>
      </c>
      <c r="C24">
        <v>9500</v>
      </c>
      <c r="D24">
        <v>7056</v>
      </c>
      <c r="E24" s="4">
        <f t="shared" si="0"/>
        <v>0</v>
      </c>
      <c r="F24" s="4">
        <f t="shared" si="1"/>
        <v>2444</v>
      </c>
      <c r="G24" s="4">
        <f t="shared" si="2"/>
        <v>5973136</v>
      </c>
      <c r="H24" s="5">
        <f>SQRT(SUM('r-pi-14'!$D$3:D24)/COUNTIF($A$3:A24,"&lt;&gt;0"))</f>
        <v>72.001578265530213</v>
      </c>
    </row>
    <row r="25" spans="1:8">
      <c r="A25">
        <v>23</v>
      </c>
      <c r="B25">
        <v>9</v>
      </c>
      <c r="C25">
        <v>9500</v>
      </c>
      <c r="D25">
        <v>7100</v>
      </c>
      <c r="E25" s="4">
        <f t="shared" si="0"/>
        <v>0</v>
      </c>
      <c r="F25" s="4">
        <f t="shared" si="1"/>
        <v>2400</v>
      </c>
      <c r="G25" s="4">
        <f t="shared" si="2"/>
        <v>5760000</v>
      </c>
      <c r="H25" s="5">
        <f>SQRT(SUM('r-pi-14'!$D$3:D25)/COUNTIF($A$3:A25,"&lt;&gt;0"))</f>
        <v>72.577694501344112</v>
      </c>
    </row>
    <row r="26" spans="1:8">
      <c r="A26">
        <v>24</v>
      </c>
      <c r="B26">
        <v>10</v>
      </c>
      <c r="C26">
        <v>9500</v>
      </c>
      <c r="D26">
        <v>7712</v>
      </c>
      <c r="E26" s="4">
        <f t="shared" si="0"/>
        <v>1</v>
      </c>
      <c r="F26" s="4">
        <f t="shared" si="1"/>
        <v>1788</v>
      </c>
      <c r="G26" s="4">
        <f t="shared" si="2"/>
        <v>3196944</v>
      </c>
      <c r="H26" s="5">
        <f>SQRT(SUM('r-pi-14'!$D$3:D26)/COUNTIF($A$3:A26,"&lt;&gt;0"))</f>
        <v>73.276019269608256</v>
      </c>
    </row>
    <row r="27" spans="1:8">
      <c r="A27">
        <v>25</v>
      </c>
      <c r="B27">
        <v>10</v>
      </c>
      <c r="C27">
        <v>9500</v>
      </c>
      <c r="D27">
        <v>7684</v>
      </c>
      <c r="E27" s="4">
        <f t="shared" si="0"/>
        <v>1</v>
      </c>
      <c r="F27" s="4">
        <f t="shared" si="1"/>
        <v>1816</v>
      </c>
      <c r="G27" s="4">
        <f t="shared" si="2"/>
        <v>3297856</v>
      </c>
      <c r="H27" s="5">
        <f>SQRT(SUM('r-pi-14'!$D$3:D27)/COUNTIF($A$3:A27,"&lt;&gt;0"))</f>
        <v>73.905074250689992</v>
      </c>
    </row>
    <row r="28" spans="1:8">
      <c r="A28">
        <v>26</v>
      </c>
      <c r="B28">
        <v>10</v>
      </c>
      <c r="C28">
        <v>9500</v>
      </c>
      <c r="D28">
        <v>7606</v>
      </c>
      <c r="E28" s="4">
        <f t="shared" si="0"/>
        <v>1</v>
      </c>
      <c r="F28" s="4">
        <f t="shared" si="1"/>
        <v>1894</v>
      </c>
      <c r="G28" s="4">
        <f t="shared" si="2"/>
        <v>3587236</v>
      </c>
      <c r="H28" s="5">
        <f>SQRT(SUM('r-pi-14'!$D$3:D28)/COUNTIF($A$3:A28,"&lt;&gt;0"))</f>
        <v>74.460882864246756</v>
      </c>
    </row>
    <row r="29" spans="1:8">
      <c r="A29">
        <v>27</v>
      </c>
      <c r="B29">
        <v>10</v>
      </c>
      <c r="C29">
        <v>9500</v>
      </c>
      <c r="D29">
        <v>7666</v>
      </c>
      <c r="E29" s="4">
        <f t="shared" si="0"/>
        <v>1</v>
      </c>
      <c r="F29" s="4">
        <f t="shared" si="1"/>
        <v>1834</v>
      </c>
      <c r="G29" s="4">
        <f t="shared" si="2"/>
        <v>3363556</v>
      </c>
      <c r="H29" s="5">
        <f>SQRT(SUM('r-pi-14'!$D$3:D29)/COUNTIF($A$3:A29,"&lt;&gt;0"))</f>
        <v>74.986665481270734</v>
      </c>
    </row>
    <row r="30" spans="1:8">
      <c r="A30">
        <v>28</v>
      </c>
      <c r="B30">
        <v>10</v>
      </c>
      <c r="C30">
        <v>9500</v>
      </c>
      <c r="D30">
        <v>7534</v>
      </c>
      <c r="E30" s="4">
        <f t="shared" si="0"/>
        <v>0</v>
      </c>
      <c r="F30" s="4">
        <f t="shared" si="1"/>
        <v>1966</v>
      </c>
      <c r="G30" s="4">
        <f t="shared" si="2"/>
        <v>3865156</v>
      </c>
      <c r="H30" s="5">
        <f>SQRT(SUM('r-pi-14'!$D$3:D30)/COUNTIF($A$3:A30,"&lt;&gt;0"))</f>
        <v>75.440373806072827</v>
      </c>
    </row>
    <row r="31" spans="1:8">
      <c r="A31">
        <v>29</v>
      </c>
      <c r="B31">
        <v>11</v>
      </c>
      <c r="C31">
        <v>9500</v>
      </c>
      <c r="D31">
        <v>8137</v>
      </c>
      <c r="E31" s="4">
        <f t="shared" si="0"/>
        <v>1</v>
      </c>
      <c r="F31" s="4">
        <f t="shared" si="1"/>
        <v>1363</v>
      </c>
      <c r="G31" s="4">
        <f t="shared" si="2"/>
        <v>1857769</v>
      </c>
      <c r="H31" s="5">
        <f>SQRT(SUM('r-pi-14'!$D$3:D31)/COUNTIF($A$3:A31,"&lt;&gt;0"))</f>
        <v>75.997277628192393</v>
      </c>
    </row>
    <row r="32" spans="1:8">
      <c r="A32">
        <v>30</v>
      </c>
      <c r="B32">
        <v>11</v>
      </c>
      <c r="C32">
        <v>9500</v>
      </c>
      <c r="D32">
        <v>8028</v>
      </c>
      <c r="E32" s="4">
        <f t="shared" si="0"/>
        <v>1</v>
      </c>
      <c r="F32" s="4">
        <f t="shared" si="1"/>
        <v>1472</v>
      </c>
      <c r="G32" s="4">
        <f t="shared" si="2"/>
        <v>2166784</v>
      </c>
      <c r="H32" s="5">
        <f>SQRT(SUM('r-pi-14'!$D$3:D32)/COUNTIF($A$3:A32,"&lt;&gt;0"))</f>
        <v>76.489650716071822</v>
      </c>
    </row>
    <row r="33" spans="1:8">
      <c r="A33">
        <v>31</v>
      </c>
      <c r="B33">
        <v>11</v>
      </c>
      <c r="C33">
        <v>9500</v>
      </c>
      <c r="D33">
        <v>7905</v>
      </c>
      <c r="E33" s="4">
        <f t="shared" si="0"/>
        <v>1</v>
      </c>
      <c r="F33" s="4">
        <f t="shared" si="1"/>
        <v>1595</v>
      </c>
      <c r="G33" s="4">
        <f t="shared" si="2"/>
        <v>2544025</v>
      </c>
      <c r="H33" s="5">
        <f>SQRT(SUM('r-pi-14'!$D$3:D33)/COUNTIF($A$3:A33,"&lt;&gt;0"))</f>
        <v>76.921619092885507</v>
      </c>
    </row>
    <row r="34" spans="1:8">
      <c r="A34">
        <v>32</v>
      </c>
      <c r="B34">
        <v>11</v>
      </c>
      <c r="C34">
        <v>9500</v>
      </c>
      <c r="D34">
        <v>8094</v>
      </c>
      <c r="E34" s="4">
        <f t="shared" si="0"/>
        <v>1</v>
      </c>
      <c r="F34" s="4">
        <f t="shared" si="1"/>
        <v>1406</v>
      </c>
      <c r="G34" s="4">
        <f t="shared" si="2"/>
        <v>1976836</v>
      </c>
      <c r="H34" s="5">
        <f>SQRT(SUM('r-pi-14'!$D$3:D34)/COUNTIF($A$3:A34,"&lt;&gt;0"))</f>
        <v>77.362579778598388</v>
      </c>
    </row>
    <row r="35" spans="1:8">
      <c r="A35">
        <v>33</v>
      </c>
      <c r="B35">
        <v>11</v>
      </c>
      <c r="C35">
        <v>9500</v>
      </c>
      <c r="D35">
        <v>8152</v>
      </c>
      <c r="E35" s="4">
        <f t="shared" si="0"/>
        <v>1</v>
      </c>
      <c r="F35" s="4">
        <f t="shared" si="1"/>
        <v>1348</v>
      </c>
      <c r="G35" s="4">
        <f t="shared" si="2"/>
        <v>1817104</v>
      </c>
      <c r="H35" s="5">
        <f>SQRT(SUM('r-pi-14'!$D$3:D35)/COUNTIF($A$3:A35,"&lt;&gt;0"))</f>
        <v>77.785836523343789</v>
      </c>
    </row>
    <row r="36" spans="1:8">
      <c r="A36">
        <v>34</v>
      </c>
      <c r="B36">
        <v>11</v>
      </c>
      <c r="C36">
        <v>9500</v>
      </c>
      <c r="D36">
        <v>7920</v>
      </c>
      <c r="E36" s="4">
        <f t="shared" si="0"/>
        <v>1</v>
      </c>
      <c r="F36" s="4">
        <f t="shared" si="1"/>
        <v>1580</v>
      </c>
      <c r="G36" s="4">
        <f t="shared" si="2"/>
        <v>2496400</v>
      </c>
      <c r="H36" s="5">
        <f>SQRT(SUM('r-pi-14'!$D$3:D36)/COUNTIF($A$3:A36,"&lt;&gt;0"))</f>
        <v>78.138451783093473</v>
      </c>
    </row>
    <row r="37" spans="1:8">
      <c r="A37">
        <v>35</v>
      </c>
      <c r="B37">
        <v>11</v>
      </c>
      <c r="C37">
        <v>9500</v>
      </c>
      <c r="D37">
        <v>8063</v>
      </c>
      <c r="E37" s="4">
        <f t="shared" si="0"/>
        <v>1</v>
      </c>
      <c r="F37" s="4">
        <f t="shared" si="1"/>
        <v>1437</v>
      </c>
      <c r="G37" s="4">
        <f t="shared" si="2"/>
        <v>2064969</v>
      </c>
      <c r="H37" s="5">
        <f>SQRT(SUM('r-pi-14'!$D$3:D37)/COUNTIF($A$3:A37,"&lt;&gt;0"))</f>
        <v>78.495495776145376</v>
      </c>
    </row>
    <row r="38" spans="1:8">
      <c r="A38">
        <v>36</v>
      </c>
      <c r="B38">
        <v>11</v>
      </c>
      <c r="C38">
        <v>9500</v>
      </c>
      <c r="D38">
        <v>8015</v>
      </c>
      <c r="E38" s="4">
        <f t="shared" si="0"/>
        <v>1</v>
      </c>
      <c r="F38" s="4">
        <f t="shared" si="1"/>
        <v>1485</v>
      </c>
      <c r="G38" s="4">
        <f t="shared" si="2"/>
        <v>2205225</v>
      </c>
      <c r="H38" s="5">
        <f>SQRT(SUM('r-pi-14'!$D$3:D38)/COUNTIF($A$3:A38,"&lt;&gt;0"))</f>
        <v>78.822761799988825</v>
      </c>
    </row>
    <row r="39" spans="1:8">
      <c r="A39">
        <v>37</v>
      </c>
      <c r="B39">
        <v>12</v>
      </c>
      <c r="C39">
        <v>9500</v>
      </c>
      <c r="D39">
        <v>8726</v>
      </c>
      <c r="E39" s="4">
        <f t="shared" si="0"/>
        <v>1</v>
      </c>
      <c r="F39" s="4">
        <f t="shared" si="1"/>
        <v>774</v>
      </c>
      <c r="G39" s="4">
        <f t="shared" si="2"/>
        <v>599076</v>
      </c>
      <c r="H39" s="5">
        <f>SQRT(SUM('r-pi-14'!$D$3:D39)/COUNTIF($A$3:A39,"&lt;&gt;0"))</f>
        <v>79.252419180400707</v>
      </c>
    </row>
    <row r="40" spans="1:8">
      <c r="A40">
        <v>38</v>
      </c>
      <c r="B40">
        <v>12</v>
      </c>
      <c r="C40">
        <v>9500</v>
      </c>
      <c r="D40">
        <v>8673</v>
      </c>
      <c r="E40" s="4">
        <f t="shared" si="0"/>
        <v>1</v>
      </c>
      <c r="F40" s="4">
        <f t="shared" si="1"/>
        <v>827</v>
      </c>
      <c r="G40" s="4">
        <f t="shared" si="2"/>
        <v>683929</v>
      </c>
      <c r="H40" s="5">
        <f>SQRT(SUM('r-pi-14'!$D$3:D40)/COUNTIF($A$3:A40,"&lt;&gt;0"))</f>
        <v>79.648570212164543</v>
      </c>
    </row>
    <row r="41" spans="1:8">
      <c r="A41">
        <v>39</v>
      </c>
      <c r="B41">
        <v>12</v>
      </c>
      <c r="C41">
        <v>9500</v>
      </c>
      <c r="D41">
        <v>8604</v>
      </c>
      <c r="E41" s="4">
        <f t="shared" si="0"/>
        <v>1</v>
      </c>
      <c r="F41" s="4">
        <f t="shared" si="1"/>
        <v>896</v>
      </c>
      <c r="G41" s="4">
        <f t="shared" si="2"/>
        <v>802816</v>
      </c>
      <c r="H41" s="5">
        <f>SQRT(SUM('r-pi-14'!$D$3:D41)/COUNTIF($A$3:A41,"&lt;&gt;0"))</f>
        <v>80.011537629557864</v>
      </c>
    </row>
    <row r="42" spans="1:8">
      <c r="A42">
        <v>40</v>
      </c>
      <c r="B42">
        <v>12</v>
      </c>
      <c r="C42">
        <v>9500</v>
      </c>
      <c r="D42">
        <v>8376</v>
      </c>
      <c r="E42" s="4">
        <f t="shared" si="0"/>
        <v>1</v>
      </c>
      <c r="F42" s="4">
        <f t="shared" si="1"/>
        <v>1124</v>
      </c>
      <c r="G42" s="4">
        <f t="shared" si="2"/>
        <v>1263376</v>
      </c>
      <c r="H42" s="5">
        <f>SQRT(SUM('r-pi-14'!$D$3:D42)/COUNTIF($A$3:A42,"&lt;&gt;0"))</f>
        <v>80.319362547271254</v>
      </c>
    </row>
    <row r="43" spans="1:8">
      <c r="A43">
        <v>41</v>
      </c>
      <c r="B43">
        <v>12</v>
      </c>
      <c r="C43">
        <v>9500</v>
      </c>
      <c r="D43">
        <v>8685</v>
      </c>
      <c r="E43" s="4">
        <f t="shared" si="0"/>
        <v>1</v>
      </c>
      <c r="F43" s="4">
        <f t="shared" si="1"/>
        <v>815</v>
      </c>
      <c r="G43" s="4">
        <f t="shared" si="2"/>
        <v>664225</v>
      </c>
      <c r="H43" s="5">
        <f>SQRT(SUM('r-pi-14'!$D$3:D43)/COUNTIF($A$3:A43,"&lt;&gt;0"))</f>
        <v>80.657813798969713</v>
      </c>
    </row>
    <row r="44" spans="1:8">
      <c r="A44">
        <v>42</v>
      </c>
      <c r="B44">
        <v>12</v>
      </c>
      <c r="C44">
        <v>9500</v>
      </c>
      <c r="D44">
        <v>8597</v>
      </c>
      <c r="E44" s="4">
        <f t="shared" si="0"/>
        <v>1</v>
      </c>
      <c r="F44" s="4">
        <f t="shared" si="1"/>
        <v>903</v>
      </c>
      <c r="G44" s="4">
        <f t="shared" si="2"/>
        <v>815409</v>
      </c>
      <c r="H44" s="5">
        <f>SQRT(SUM('r-pi-14'!$D$3:D44)/COUNTIF($A$3:A44,"&lt;&gt;0"))</f>
        <v>80.965895230499314</v>
      </c>
    </row>
    <row r="45" spans="1:8">
      <c r="A45">
        <v>43</v>
      </c>
      <c r="B45">
        <v>12</v>
      </c>
      <c r="C45">
        <v>9500</v>
      </c>
      <c r="D45">
        <v>8535</v>
      </c>
      <c r="E45" s="4">
        <f t="shared" si="0"/>
        <v>1</v>
      </c>
      <c r="F45" s="4">
        <f t="shared" si="1"/>
        <v>965</v>
      </c>
      <c r="G45" s="4">
        <f t="shared" si="2"/>
        <v>931225</v>
      </c>
      <c r="H45" s="5">
        <f>SQRT(SUM('r-pi-14'!$D$3:D45)/COUNTIF($A$3:A45,"&lt;&gt;0"))</f>
        <v>81.249686940362892</v>
      </c>
    </row>
    <row r="46" spans="1:8">
      <c r="A46">
        <v>44</v>
      </c>
      <c r="B46">
        <v>12</v>
      </c>
      <c r="C46">
        <v>9500</v>
      </c>
      <c r="D46">
        <v>8556</v>
      </c>
      <c r="E46" s="4">
        <f t="shared" si="0"/>
        <v>1</v>
      </c>
      <c r="F46" s="4">
        <f t="shared" si="1"/>
        <v>944</v>
      </c>
      <c r="G46" s="4">
        <f t="shared" si="2"/>
        <v>891136</v>
      </c>
      <c r="H46" s="5">
        <f>SQRT(SUM('r-pi-14'!$D$3:D46)/COUNTIF($A$3:A46,"&lt;&gt;0"))</f>
        <v>81.522584712347154</v>
      </c>
    </row>
    <row r="47" spans="1:8">
      <c r="A47">
        <v>45</v>
      </c>
      <c r="B47">
        <v>12</v>
      </c>
      <c r="C47">
        <v>9500</v>
      </c>
      <c r="D47">
        <v>8605</v>
      </c>
      <c r="E47" s="4">
        <f t="shared" si="0"/>
        <v>1</v>
      </c>
      <c r="F47" s="4">
        <f t="shared" si="1"/>
        <v>895</v>
      </c>
      <c r="G47" s="4">
        <f t="shared" si="2"/>
        <v>801025</v>
      </c>
      <c r="H47" s="5">
        <f>SQRT(SUM('r-pi-14'!$D$3:D47)/COUNTIF($A$3:A47,"&lt;&gt;0"))</f>
        <v>81.7891598359261</v>
      </c>
    </row>
    <row r="48" spans="1:8">
      <c r="A48">
        <v>46</v>
      </c>
      <c r="B48">
        <v>12</v>
      </c>
      <c r="C48">
        <v>9500</v>
      </c>
      <c r="D48">
        <v>8689</v>
      </c>
      <c r="E48" s="4">
        <f t="shared" si="0"/>
        <v>1</v>
      </c>
      <c r="F48" s="4">
        <f t="shared" si="1"/>
        <v>811</v>
      </c>
      <c r="G48" s="4">
        <f t="shared" si="2"/>
        <v>657721</v>
      </c>
      <c r="H48" s="5">
        <f>SQRT(SUM('r-pi-14'!$D$3:D48)/COUNTIF($A$3:A48,"&lt;&gt;0"))</f>
        <v>82.054462295530868</v>
      </c>
    </row>
    <row r="49" spans="1:8">
      <c r="A49">
        <v>47</v>
      </c>
      <c r="B49">
        <v>12</v>
      </c>
      <c r="C49">
        <v>9500</v>
      </c>
      <c r="D49">
        <v>8708</v>
      </c>
      <c r="E49" s="4">
        <f t="shared" si="0"/>
        <v>1</v>
      </c>
      <c r="F49" s="4">
        <f t="shared" si="1"/>
        <v>792</v>
      </c>
      <c r="G49" s="4">
        <f t="shared" si="2"/>
        <v>627264</v>
      </c>
      <c r="H49" s="5">
        <f>SQRT(SUM('r-pi-14'!$D$3:D49)/COUNTIF($A$3:A49,"&lt;&gt;0"))</f>
        <v>82.310129673136288</v>
      </c>
    </row>
    <row r="50" spans="1:8">
      <c r="A50">
        <v>48</v>
      </c>
      <c r="B50">
        <v>12</v>
      </c>
      <c r="C50">
        <v>9500</v>
      </c>
      <c r="D50">
        <v>8591</v>
      </c>
      <c r="E50" s="4">
        <f t="shared" si="0"/>
        <v>1</v>
      </c>
      <c r="F50" s="4">
        <f t="shared" si="1"/>
        <v>909</v>
      </c>
      <c r="G50" s="4">
        <f t="shared" si="2"/>
        <v>826281</v>
      </c>
      <c r="H50" s="5">
        <f>SQRT(SUM('r-pi-14'!$D$3:D50)/COUNTIF($A$3:A50,"&lt;&gt;0"))</f>
        <v>82.539636942905602</v>
      </c>
    </row>
    <row r="51" spans="1:8">
      <c r="A51">
        <v>49</v>
      </c>
      <c r="B51">
        <v>13</v>
      </c>
      <c r="C51">
        <v>9500</v>
      </c>
      <c r="D51">
        <v>9069</v>
      </c>
      <c r="E51" s="4">
        <f t="shared" si="0"/>
        <v>1</v>
      </c>
      <c r="F51" s="4">
        <f t="shared" si="1"/>
        <v>431</v>
      </c>
      <c r="G51" s="4">
        <f t="shared" si="2"/>
        <v>185761</v>
      </c>
      <c r="H51" s="5">
        <f>SQRT(SUM('r-pi-14'!$D$3:D51)/COUNTIF($A$3:A51,"&lt;&gt;0"))</f>
        <v>82.818094246933001</v>
      </c>
    </row>
    <row r="52" spans="1:8">
      <c r="A52">
        <v>50</v>
      </c>
      <c r="B52">
        <v>13</v>
      </c>
      <c r="C52">
        <v>9500</v>
      </c>
      <c r="D52">
        <v>9066</v>
      </c>
      <c r="E52" s="4">
        <f t="shared" si="0"/>
        <v>1</v>
      </c>
      <c r="F52" s="4">
        <f t="shared" si="1"/>
        <v>434</v>
      </c>
      <c r="G52" s="4">
        <f t="shared" si="2"/>
        <v>188356</v>
      </c>
      <c r="H52" s="5">
        <f>SQRT(SUM('r-pi-14'!$D$3:D52)/COUNTIF($A$3:A52,"&lt;&gt;0"))</f>
        <v>83.084174184979418</v>
      </c>
    </row>
    <row r="53" spans="1:8">
      <c r="A53">
        <v>51</v>
      </c>
      <c r="B53">
        <v>13</v>
      </c>
      <c r="C53">
        <v>9500</v>
      </c>
      <c r="D53">
        <v>8990</v>
      </c>
      <c r="E53" s="4">
        <f t="shared" si="0"/>
        <v>1</v>
      </c>
      <c r="F53" s="4">
        <f t="shared" si="1"/>
        <v>510</v>
      </c>
      <c r="G53" s="4">
        <f t="shared" si="2"/>
        <v>260100</v>
      </c>
      <c r="H53" s="5">
        <f>SQRT(SUM('r-pi-14'!$D$3:D53)/COUNTIF($A$3:A53,"&lt;&gt;0"))</f>
        <v>83.33007836780375</v>
      </c>
    </row>
    <row r="54" spans="1:8">
      <c r="A54">
        <v>52</v>
      </c>
      <c r="B54">
        <v>13</v>
      </c>
      <c r="C54">
        <v>9500</v>
      </c>
      <c r="D54">
        <v>8891</v>
      </c>
      <c r="E54" s="4">
        <f t="shared" si="0"/>
        <v>1</v>
      </c>
      <c r="F54" s="4">
        <f t="shared" si="1"/>
        <v>609</v>
      </c>
      <c r="G54" s="4">
        <f t="shared" si="2"/>
        <v>370881</v>
      </c>
      <c r="H54" s="5">
        <f>SQRT(SUM('r-pi-14'!$D$3:D54)/COUNTIF($A$3:A54,"&lt;&gt;0"))</f>
        <v>83.554450233641973</v>
      </c>
    </row>
    <row r="55" spans="1:8">
      <c r="A55">
        <v>53</v>
      </c>
      <c r="B55">
        <v>13</v>
      </c>
      <c r="C55">
        <v>9500</v>
      </c>
      <c r="D55">
        <v>8877</v>
      </c>
      <c r="E55" s="4">
        <f t="shared" si="0"/>
        <v>1</v>
      </c>
      <c r="F55" s="4">
        <f t="shared" si="1"/>
        <v>623</v>
      </c>
      <c r="G55" s="4">
        <f t="shared" si="2"/>
        <v>388129</v>
      </c>
      <c r="H55" s="5">
        <f>SQRT(SUM('r-pi-14'!$D$3:D55)/COUNTIF($A$3:A55,"&lt;&gt;0"))</f>
        <v>83.768211199399317</v>
      </c>
    </row>
    <row r="56" spans="1:8">
      <c r="A56">
        <v>54</v>
      </c>
      <c r="B56">
        <v>13</v>
      </c>
      <c r="C56">
        <v>9500</v>
      </c>
      <c r="D56">
        <v>8912</v>
      </c>
      <c r="E56" s="4">
        <f t="shared" si="0"/>
        <v>1</v>
      </c>
      <c r="F56" s="4">
        <f t="shared" si="1"/>
        <v>588</v>
      </c>
      <c r="G56" s="4">
        <f t="shared" si="2"/>
        <v>345744</v>
      </c>
      <c r="H56" s="5">
        <f>SQRT(SUM('r-pi-14'!$D$3:D56)/COUNTIF($A$3:A56,"&lt;&gt;0"))</f>
        <v>83.977399957986933</v>
      </c>
    </row>
    <row r="57" spans="1:8">
      <c r="A57">
        <v>55</v>
      </c>
      <c r="B57">
        <v>13</v>
      </c>
      <c r="C57">
        <v>9500</v>
      </c>
      <c r="D57">
        <v>8831</v>
      </c>
      <c r="E57" s="4">
        <f t="shared" si="0"/>
        <v>1</v>
      </c>
      <c r="F57" s="4">
        <f t="shared" si="1"/>
        <v>669</v>
      </c>
      <c r="G57" s="4">
        <f t="shared" si="2"/>
        <v>447561</v>
      </c>
      <c r="H57" s="5">
        <f>SQRT(SUM('r-pi-14'!$D$3:D57)/COUNTIF($A$3:A57,"&lt;&gt;0"))</f>
        <v>84.169741918016214</v>
      </c>
    </row>
    <row r="58" spans="1:8">
      <c r="A58">
        <v>56</v>
      </c>
      <c r="B58">
        <v>13</v>
      </c>
      <c r="C58">
        <v>9500</v>
      </c>
      <c r="D58">
        <v>8952</v>
      </c>
      <c r="E58" s="4">
        <f t="shared" si="0"/>
        <v>1</v>
      </c>
      <c r="F58" s="4">
        <f t="shared" si="1"/>
        <v>548</v>
      </c>
      <c r="G58" s="4">
        <f t="shared" si="2"/>
        <v>300304</v>
      </c>
      <c r="H58" s="5">
        <f>SQRT(SUM('r-pi-14'!$D$3:D58)/COUNTIF($A$3:A58,"&lt;&gt;0"))</f>
        <v>84.367605496083968</v>
      </c>
    </row>
    <row r="59" spans="1:8">
      <c r="A59">
        <v>57</v>
      </c>
      <c r="B59">
        <v>13</v>
      </c>
      <c r="C59">
        <v>9500</v>
      </c>
      <c r="D59">
        <v>8956</v>
      </c>
      <c r="E59" s="4">
        <f t="shared" si="0"/>
        <v>1</v>
      </c>
      <c r="F59" s="4">
        <f t="shared" si="1"/>
        <v>544</v>
      </c>
      <c r="G59" s="4">
        <f t="shared" si="2"/>
        <v>295936</v>
      </c>
      <c r="H59" s="5">
        <f>SQRT(SUM('r-pi-14'!$D$3:D59)/COUNTIF($A$3:A59,"&lt;&gt;0"))</f>
        <v>84.558502534500889</v>
      </c>
    </row>
    <row r="60" spans="1:8">
      <c r="A60">
        <v>58</v>
      </c>
      <c r="B60">
        <v>13</v>
      </c>
      <c r="C60">
        <v>9500</v>
      </c>
      <c r="D60">
        <v>8990</v>
      </c>
      <c r="E60" s="4">
        <f t="shared" si="0"/>
        <v>1</v>
      </c>
      <c r="F60" s="4">
        <f t="shared" si="1"/>
        <v>510</v>
      </c>
      <c r="G60" s="4">
        <f t="shared" si="2"/>
        <v>260100</v>
      </c>
      <c r="H60" s="5">
        <f>SQRT(SUM('r-pi-14'!$D$3:D60)/COUNTIF($A$3:A60,"&lt;&gt;0"))</f>
        <v>84.745867562763891</v>
      </c>
    </row>
    <row r="61" spans="1:8">
      <c r="A61">
        <v>59</v>
      </c>
      <c r="B61">
        <v>13</v>
      </c>
      <c r="C61">
        <v>9500</v>
      </c>
      <c r="D61">
        <v>9105</v>
      </c>
      <c r="E61" s="4">
        <f t="shared" si="0"/>
        <v>1</v>
      </c>
      <c r="F61" s="4">
        <f t="shared" si="1"/>
        <v>395</v>
      </c>
      <c r="G61" s="4">
        <f t="shared" si="2"/>
        <v>156025</v>
      </c>
      <c r="H61" s="5">
        <f>SQRT(SUM('r-pi-14'!$D$3:D61)/COUNTIF($A$3:A61,"&lt;&gt;0"))</f>
        <v>84.937963403407807</v>
      </c>
    </row>
    <row r="62" spans="1:8">
      <c r="A62">
        <v>60</v>
      </c>
      <c r="B62">
        <v>13</v>
      </c>
      <c r="C62">
        <v>9500</v>
      </c>
      <c r="D62">
        <v>8935</v>
      </c>
      <c r="E62" s="4">
        <f t="shared" si="0"/>
        <v>1</v>
      </c>
      <c r="F62" s="4">
        <f t="shared" si="1"/>
        <v>565</v>
      </c>
      <c r="G62" s="4">
        <f t="shared" si="2"/>
        <v>319225</v>
      </c>
      <c r="H62" s="5">
        <f>SQRT(SUM('r-pi-14'!$D$3:D62)/COUNTIF($A$3:A62,"&lt;&gt;0"))</f>
        <v>85.106599822418787</v>
      </c>
    </row>
    <row r="63" spans="1:8">
      <c r="A63">
        <v>61</v>
      </c>
      <c r="B63">
        <v>13</v>
      </c>
      <c r="C63">
        <v>9500</v>
      </c>
      <c r="D63">
        <v>8806</v>
      </c>
      <c r="E63" s="4">
        <f t="shared" si="0"/>
        <v>1</v>
      </c>
      <c r="F63" s="4">
        <f t="shared" si="1"/>
        <v>694</v>
      </c>
      <c r="G63" s="4">
        <f t="shared" si="2"/>
        <v>481636</v>
      </c>
      <c r="H63" s="5">
        <f>SQRT(SUM('r-pi-14'!$D$3:D63)/COUNTIF($A$3:A63,"&lt;&gt;0"))</f>
        <v>85.256988560238597</v>
      </c>
    </row>
    <row r="64" spans="1:8">
      <c r="A64">
        <v>62</v>
      </c>
      <c r="B64">
        <v>13</v>
      </c>
      <c r="C64">
        <v>9500</v>
      </c>
      <c r="D64">
        <v>8978</v>
      </c>
      <c r="E64" s="4">
        <f t="shared" si="0"/>
        <v>1</v>
      </c>
      <c r="F64" s="4">
        <f t="shared" si="1"/>
        <v>522</v>
      </c>
      <c r="G64" s="4">
        <f t="shared" si="2"/>
        <v>272484</v>
      </c>
      <c r="H64" s="5">
        <f>SQRT(SUM('r-pi-14'!$D$3:D64)/COUNTIF($A$3:A64,"&lt;&gt;0"))</f>
        <v>85.418514273225099</v>
      </c>
    </row>
    <row r="65" spans="1:8">
      <c r="A65">
        <v>63</v>
      </c>
      <c r="B65">
        <v>13</v>
      </c>
      <c r="C65">
        <v>9500</v>
      </c>
      <c r="D65">
        <v>8848</v>
      </c>
      <c r="E65" s="4">
        <f t="shared" si="0"/>
        <v>1</v>
      </c>
      <c r="F65" s="4">
        <f t="shared" si="1"/>
        <v>652</v>
      </c>
      <c r="G65" s="4">
        <f t="shared" si="2"/>
        <v>425104</v>
      </c>
      <c r="H65" s="5">
        <f>SQRT(SUM('r-pi-14'!$D$3:D65)/COUNTIF($A$3:A65,"&lt;&gt;0"))</f>
        <v>85.562564132641441</v>
      </c>
    </row>
    <row r="66" spans="1:8">
      <c r="A66">
        <v>64</v>
      </c>
      <c r="B66">
        <v>13</v>
      </c>
      <c r="C66">
        <v>9500</v>
      </c>
      <c r="D66">
        <v>8982</v>
      </c>
      <c r="E66" s="4">
        <f t="shared" si="0"/>
        <v>1</v>
      </c>
      <c r="F66" s="4">
        <f t="shared" si="1"/>
        <v>518</v>
      </c>
      <c r="G66" s="4">
        <f t="shared" si="2"/>
        <v>268324</v>
      </c>
      <c r="H66" s="5">
        <f>SQRT(SUM('r-pi-14'!$D$3:D66)/COUNTIF($A$3:A66,"&lt;&gt;0"))</f>
        <v>85.714095981932871</v>
      </c>
    </row>
    <row r="67" spans="1:8">
      <c r="A67">
        <v>65</v>
      </c>
      <c r="B67">
        <v>13</v>
      </c>
      <c r="C67">
        <v>9500</v>
      </c>
      <c r="D67">
        <v>8951</v>
      </c>
      <c r="E67" s="4">
        <f t="shared" si="0"/>
        <v>1</v>
      </c>
      <c r="F67" s="4">
        <f t="shared" si="1"/>
        <v>549</v>
      </c>
      <c r="G67" s="4">
        <f t="shared" si="2"/>
        <v>301401</v>
      </c>
      <c r="H67" s="5">
        <f>SQRT(SUM('r-pi-14'!$D$3:D67)/COUNTIF($A$3:A67,"&lt;&gt;0"))</f>
        <v>85.857932745813386</v>
      </c>
    </row>
    <row r="68" spans="1:8">
      <c r="A68">
        <v>66</v>
      </c>
      <c r="B68">
        <v>13</v>
      </c>
      <c r="C68">
        <v>9500</v>
      </c>
      <c r="D68">
        <v>8865</v>
      </c>
      <c r="E68" s="4">
        <f t="shared" ref="E68:E131" si="3">IF(AND(D68&lt;=C68*1.2,D68&gt;=C68*0.8),1,0)</f>
        <v>1</v>
      </c>
      <c r="F68" s="4">
        <f t="shared" ref="F68:F131" si="4">ABS(C68-D68)</f>
        <v>635</v>
      </c>
      <c r="G68" s="4">
        <f t="shared" ref="G68:G131" si="5">POWER(F68,2)</f>
        <v>403225</v>
      </c>
      <c r="H68" s="5">
        <f>SQRT(SUM('r-pi-14'!$D$3:D68)/COUNTIF($A$3:A68,"&lt;&gt;0"))</f>
        <v>85.989604727618797</v>
      </c>
    </row>
    <row r="69" spans="1:8">
      <c r="A69">
        <v>67</v>
      </c>
      <c r="B69">
        <v>14</v>
      </c>
      <c r="C69">
        <v>9500</v>
      </c>
      <c r="D69">
        <v>9165</v>
      </c>
      <c r="E69" s="4">
        <f t="shared" si="3"/>
        <v>1</v>
      </c>
      <c r="F69" s="4">
        <f t="shared" si="4"/>
        <v>335</v>
      </c>
      <c r="G69" s="4">
        <f t="shared" si="5"/>
        <v>112225</v>
      </c>
      <c r="H69" s="5">
        <f>SQRT(SUM('r-pi-14'!$D$3:D69)/COUNTIF($A$3:A69,"&lt;&gt;0"))</f>
        <v>86.143147092759364</v>
      </c>
    </row>
    <row r="70" spans="1:8">
      <c r="A70">
        <v>68</v>
      </c>
      <c r="B70">
        <v>13</v>
      </c>
      <c r="C70">
        <v>9500</v>
      </c>
      <c r="D70">
        <v>9081</v>
      </c>
      <c r="E70" s="4">
        <f t="shared" si="3"/>
        <v>1</v>
      </c>
      <c r="F70" s="4">
        <f t="shared" si="4"/>
        <v>419</v>
      </c>
      <c r="G70" s="4">
        <f t="shared" si="5"/>
        <v>175561</v>
      </c>
      <c r="H70" s="5">
        <f>SQRT(SUM('r-pi-14'!$D$3:D70)/COUNTIF($A$3:A70,"&lt;&gt;0"))</f>
        <v>86.284754293730316</v>
      </c>
    </row>
    <row r="71" spans="1:8">
      <c r="A71">
        <v>69</v>
      </c>
      <c r="B71">
        <v>14</v>
      </c>
      <c r="C71">
        <v>9500</v>
      </c>
      <c r="D71">
        <v>9336</v>
      </c>
      <c r="E71" s="4">
        <f t="shared" si="3"/>
        <v>1</v>
      </c>
      <c r="F71" s="4">
        <f t="shared" si="4"/>
        <v>164</v>
      </c>
      <c r="G71" s="4">
        <f t="shared" si="5"/>
        <v>26896</v>
      </c>
      <c r="H71" s="5">
        <f>SQRT(SUM('r-pi-14'!$D$3:D71)/COUNTIF($A$3:A71,"&lt;&gt;0"))</f>
        <v>86.443413676901613</v>
      </c>
    </row>
    <row r="72" spans="1:8">
      <c r="A72">
        <v>70</v>
      </c>
      <c r="B72">
        <v>14</v>
      </c>
      <c r="C72">
        <v>9500</v>
      </c>
      <c r="D72">
        <v>9481</v>
      </c>
      <c r="E72" s="4">
        <f t="shared" si="3"/>
        <v>1</v>
      </c>
      <c r="F72" s="4">
        <f t="shared" si="4"/>
        <v>19</v>
      </c>
      <c r="G72" s="4">
        <f t="shared" si="5"/>
        <v>361</v>
      </c>
      <c r="H72" s="5">
        <f>SQRT(SUM('r-pi-14'!$D$3:D72)/COUNTIF($A$3:A72,"&lt;&gt;0"))</f>
        <v>86.609220888177617</v>
      </c>
    </row>
    <row r="73" spans="1:8">
      <c r="A73">
        <v>71</v>
      </c>
      <c r="B73">
        <v>13</v>
      </c>
      <c r="C73">
        <v>9500</v>
      </c>
      <c r="D73">
        <v>9017</v>
      </c>
      <c r="E73" s="4">
        <f t="shared" si="3"/>
        <v>1</v>
      </c>
      <c r="F73" s="4">
        <f t="shared" si="4"/>
        <v>483</v>
      </c>
      <c r="G73" s="4">
        <f t="shared" si="5"/>
        <v>233289</v>
      </c>
      <c r="H73" s="5">
        <f>SQRT(SUM('r-pi-14'!$D$3:D73)/COUNTIF($A$3:A73,"&lt;&gt;0"))</f>
        <v>86.732387504631291</v>
      </c>
    </row>
    <row r="74" spans="1:8">
      <c r="A74">
        <v>72</v>
      </c>
      <c r="B74">
        <v>14</v>
      </c>
      <c r="C74">
        <v>9500</v>
      </c>
      <c r="D74">
        <v>7029</v>
      </c>
      <c r="E74" s="4">
        <f t="shared" si="3"/>
        <v>0</v>
      </c>
      <c r="F74" s="4">
        <f t="shared" si="4"/>
        <v>2471</v>
      </c>
      <c r="G74" s="4">
        <f t="shared" si="5"/>
        <v>6105841</v>
      </c>
      <c r="H74" s="5">
        <f>SQRT(SUM('r-pi-14'!$D$3:D74)/COUNTIF($A$3:A74,"&lt;&gt;0"))</f>
        <v>86.692864630128454</v>
      </c>
    </row>
    <row r="75" spans="1:8">
      <c r="A75">
        <v>73</v>
      </c>
      <c r="B75">
        <v>14</v>
      </c>
      <c r="C75">
        <v>9500</v>
      </c>
      <c r="D75">
        <v>9193</v>
      </c>
      <c r="E75" s="4">
        <f t="shared" si="3"/>
        <v>1</v>
      </c>
      <c r="F75" s="4">
        <f t="shared" si="4"/>
        <v>307</v>
      </c>
      <c r="G75" s="4">
        <f t="shared" si="5"/>
        <v>94249</v>
      </c>
      <c r="H75" s="5">
        <f>SQRT(SUM('r-pi-14'!$D$3:D75)/COUNTIF($A$3:A75,"&lt;&gt;0"))</f>
        <v>86.825285124704891</v>
      </c>
    </row>
    <row r="76" spans="1:8">
      <c r="A76">
        <v>74</v>
      </c>
      <c r="B76">
        <v>14</v>
      </c>
      <c r="C76">
        <v>9500</v>
      </c>
      <c r="D76">
        <v>9323</v>
      </c>
      <c r="E76" s="4">
        <f t="shared" si="3"/>
        <v>1</v>
      </c>
      <c r="F76" s="4">
        <f t="shared" si="4"/>
        <v>177</v>
      </c>
      <c r="G76" s="4">
        <f t="shared" si="5"/>
        <v>31329</v>
      </c>
      <c r="H76" s="5">
        <f>SQRT(SUM('r-pi-14'!$D$3:D76)/COUNTIF($A$3:A76,"&lt;&gt;0"))</f>
        <v>86.964034193701266</v>
      </c>
    </row>
    <row r="77" spans="1:8">
      <c r="A77">
        <v>75</v>
      </c>
      <c r="B77">
        <v>14</v>
      </c>
      <c r="C77">
        <v>9500</v>
      </c>
      <c r="D77">
        <v>9356</v>
      </c>
      <c r="E77" s="4">
        <f t="shared" si="3"/>
        <v>1</v>
      </c>
      <c r="F77" s="4">
        <f t="shared" si="4"/>
        <v>144</v>
      </c>
      <c r="G77" s="4">
        <f t="shared" si="5"/>
        <v>20736</v>
      </c>
      <c r="H77" s="5">
        <f>SQRT(SUM('r-pi-14'!$D$3:D77)/COUNTIF($A$3:A77,"&lt;&gt;0"))</f>
        <v>87.101396850643752</v>
      </c>
    </row>
    <row r="78" spans="1:8">
      <c r="A78">
        <v>76</v>
      </c>
      <c r="B78">
        <v>14</v>
      </c>
      <c r="C78">
        <v>9500</v>
      </c>
      <c r="D78">
        <v>8928</v>
      </c>
      <c r="E78" s="4">
        <f t="shared" si="3"/>
        <v>1</v>
      </c>
      <c r="F78" s="4">
        <f t="shared" si="4"/>
        <v>572</v>
      </c>
      <c r="G78" s="4">
        <f t="shared" si="5"/>
        <v>327184</v>
      </c>
      <c r="H78" s="5">
        <f>SQRT(SUM('r-pi-14'!$D$3:D78)/COUNTIF($A$3:A78,"&lt;&gt;0"))</f>
        <v>87.202652663660103</v>
      </c>
    </row>
    <row r="79" spans="1:8">
      <c r="A79">
        <v>77</v>
      </c>
      <c r="B79">
        <v>14</v>
      </c>
      <c r="C79">
        <v>9500</v>
      </c>
      <c r="D79">
        <v>9157</v>
      </c>
      <c r="E79" s="4">
        <f t="shared" si="3"/>
        <v>1</v>
      </c>
      <c r="F79" s="4">
        <f t="shared" si="4"/>
        <v>343</v>
      </c>
      <c r="G79" s="4">
        <f t="shared" si="5"/>
        <v>117649</v>
      </c>
      <c r="H79" s="5">
        <f>SQRT(SUM('r-pi-14'!$D$3:D79)/COUNTIF($A$3:A79,"&lt;&gt;0"))</f>
        <v>87.318197029413824</v>
      </c>
    </row>
    <row r="80" spans="1:8">
      <c r="A80">
        <v>78</v>
      </c>
      <c r="B80">
        <v>14</v>
      </c>
      <c r="C80">
        <v>9500</v>
      </c>
      <c r="D80">
        <v>9313</v>
      </c>
      <c r="E80" s="4">
        <f t="shared" si="3"/>
        <v>1</v>
      </c>
      <c r="F80" s="4">
        <f t="shared" si="4"/>
        <v>187</v>
      </c>
      <c r="G80" s="4">
        <f t="shared" si="5"/>
        <v>34969</v>
      </c>
      <c r="H80" s="5">
        <f>SQRT(SUM('r-pi-14'!$D$3:D80)/COUNTIF($A$3:A80,"&lt;&gt;0"))</f>
        <v>87.442068734765101</v>
      </c>
    </row>
    <row r="81" spans="1:8">
      <c r="A81">
        <v>79</v>
      </c>
      <c r="B81">
        <v>14</v>
      </c>
      <c r="C81">
        <v>9500</v>
      </c>
      <c r="D81">
        <v>9376</v>
      </c>
      <c r="E81" s="4">
        <f t="shared" si="3"/>
        <v>1</v>
      </c>
      <c r="F81" s="4">
        <f t="shared" si="4"/>
        <v>124</v>
      </c>
      <c r="G81" s="4">
        <f t="shared" si="5"/>
        <v>15376</v>
      </c>
      <c r="H81" s="5">
        <f>SQRT(SUM('r-pi-14'!$D$3:D81)/COUNTIF($A$3:A81,"&lt;&gt;0"))</f>
        <v>87.567189393218783</v>
      </c>
    </row>
    <row r="82" spans="1:8">
      <c r="A82">
        <v>80</v>
      </c>
      <c r="B82">
        <v>14</v>
      </c>
      <c r="C82">
        <v>9500</v>
      </c>
      <c r="D82">
        <v>9424</v>
      </c>
      <c r="E82" s="4">
        <f t="shared" si="3"/>
        <v>1</v>
      </c>
      <c r="F82" s="4">
        <f t="shared" si="4"/>
        <v>76</v>
      </c>
      <c r="G82" s="4">
        <f t="shared" si="5"/>
        <v>5776</v>
      </c>
      <c r="H82" s="5">
        <f>SQRT(SUM('r-pi-14'!$D$3:D82)/COUNTIF($A$3:A82,"&lt;&gt;0"))</f>
        <v>87.692431258347483</v>
      </c>
    </row>
    <row r="83" spans="1:8">
      <c r="A83">
        <v>81</v>
      </c>
      <c r="B83">
        <v>14</v>
      </c>
      <c r="C83">
        <v>9500</v>
      </c>
      <c r="D83">
        <v>9420</v>
      </c>
      <c r="E83" s="4">
        <f t="shared" si="3"/>
        <v>1</v>
      </c>
      <c r="F83" s="4">
        <f t="shared" si="4"/>
        <v>80</v>
      </c>
      <c r="G83" s="4">
        <f t="shared" si="5"/>
        <v>6400</v>
      </c>
      <c r="H83" s="5">
        <f>SQRT(SUM('r-pi-14'!$D$3:D83)/COUNTIF($A$3:A83,"&lt;&gt;0"))</f>
        <v>87.814127494693707</v>
      </c>
    </row>
    <row r="84" spans="1:8">
      <c r="A84">
        <v>82</v>
      </c>
      <c r="B84">
        <v>14</v>
      </c>
      <c r="C84">
        <v>9500</v>
      </c>
      <c r="D84">
        <v>9235</v>
      </c>
      <c r="E84" s="4">
        <f t="shared" si="3"/>
        <v>1</v>
      </c>
      <c r="F84" s="4">
        <f t="shared" si="4"/>
        <v>265</v>
      </c>
      <c r="G84" s="4">
        <f t="shared" si="5"/>
        <v>70225</v>
      </c>
      <c r="H84" s="5">
        <f>SQRT(SUM('r-pi-14'!$D$3:D84)/COUNTIF($A$3:A84,"&lt;&gt;0"))</f>
        <v>87.919863734109541</v>
      </c>
    </row>
    <row r="85" spans="1:8">
      <c r="A85">
        <v>83</v>
      </c>
      <c r="B85">
        <v>14</v>
      </c>
      <c r="C85">
        <v>9500</v>
      </c>
      <c r="D85">
        <v>9430</v>
      </c>
      <c r="E85" s="4">
        <f t="shared" si="3"/>
        <v>1</v>
      </c>
      <c r="F85" s="4">
        <f t="shared" si="4"/>
        <v>70</v>
      </c>
      <c r="G85" s="4">
        <f t="shared" si="5"/>
        <v>4900</v>
      </c>
      <c r="H85" s="5">
        <f>SQRT(SUM('r-pi-14'!$D$3:D85)/COUNTIF($A$3:A85,"&lt;&gt;0"))</f>
        <v>88.03627401343536</v>
      </c>
    </row>
    <row r="86" spans="1:8">
      <c r="A86">
        <v>84</v>
      </c>
      <c r="B86">
        <v>14</v>
      </c>
      <c r="C86">
        <v>9500</v>
      </c>
      <c r="D86">
        <v>9200</v>
      </c>
      <c r="E86" s="4">
        <f t="shared" si="3"/>
        <v>1</v>
      </c>
      <c r="F86" s="4">
        <f t="shared" si="4"/>
        <v>300</v>
      </c>
      <c r="G86" s="4">
        <f t="shared" si="5"/>
        <v>90000</v>
      </c>
      <c r="H86" s="5">
        <f>SQRT(SUM('r-pi-14'!$D$3:D86)/COUNTIF($A$3:A86,"&lt;&gt;0"))</f>
        <v>88.134232039218773</v>
      </c>
    </row>
    <row r="87" spans="1:8">
      <c r="A87">
        <v>85</v>
      </c>
      <c r="B87">
        <v>14</v>
      </c>
      <c r="C87">
        <v>9500</v>
      </c>
      <c r="D87">
        <v>9445</v>
      </c>
      <c r="E87" s="4">
        <f t="shared" si="3"/>
        <v>1</v>
      </c>
      <c r="F87" s="4">
        <f t="shared" si="4"/>
        <v>55</v>
      </c>
      <c r="G87" s="4">
        <f t="shared" si="5"/>
        <v>3025</v>
      </c>
      <c r="H87" s="5">
        <f>SQRT(SUM('r-pi-14'!$D$3:D87)/COUNTIF($A$3:A87,"&lt;&gt;0"))</f>
        <v>88.246113062209346</v>
      </c>
    </row>
    <row r="88" spans="1:8">
      <c r="A88">
        <v>86</v>
      </c>
      <c r="B88">
        <v>14</v>
      </c>
      <c r="C88">
        <v>9500</v>
      </c>
      <c r="D88">
        <v>9532</v>
      </c>
      <c r="E88" s="4">
        <f t="shared" si="3"/>
        <v>1</v>
      </c>
      <c r="F88" s="4">
        <f t="shared" si="4"/>
        <v>32</v>
      </c>
      <c r="G88" s="4">
        <f t="shared" si="5"/>
        <v>1024</v>
      </c>
      <c r="H88" s="5">
        <f>SQRT(SUM('r-pi-14'!$D$3:D88)/COUNTIF($A$3:A88,"&lt;&gt;0"))</f>
        <v>88.360980023411202</v>
      </c>
    </row>
    <row r="89" spans="1:8">
      <c r="A89">
        <v>87</v>
      </c>
      <c r="B89">
        <v>14</v>
      </c>
      <c r="C89">
        <v>9500</v>
      </c>
      <c r="D89">
        <v>9490</v>
      </c>
      <c r="E89" s="4">
        <f t="shared" si="3"/>
        <v>1</v>
      </c>
      <c r="F89" s="4">
        <f t="shared" si="4"/>
        <v>10</v>
      </c>
      <c r="G89" s="4">
        <f t="shared" si="5"/>
        <v>100</v>
      </c>
      <c r="H89" s="5">
        <f>SQRT(SUM('r-pi-14'!$D$3:D89)/COUNTIF($A$3:A89,"&lt;&gt;0"))</f>
        <v>88.470334010898824</v>
      </c>
    </row>
    <row r="90" spans="1:8">
      <c r="A90">
        <v>88</v>
      </c>
      <c r="B90">
        <v>14</v>
      </c>
      <c r="C90">
        <v>9500</v>
      </c>
      <c r="D90">
        <v>9268</v>
      </c>
      <c r="E90" s="4">
        <f t="shared" si="3"/>
        <v>1</v>
      </c>
      <c r="F90" s="4">
        <f t="shared" si="4"/>
        <v>232</v>
      </c>
      <c r="G90" s="4">
        <f t="shared" si="5"/>
        <v>53824</v>
      </c>
      <c r="H90" s="5">
        <f>SQRT(SUM('r-pi-14'!$D$3:D90)/COUNTIF($A$3:A90,"&lt;&gt;0"))</f>
        <v>88.562830803898763</v>
      </c>
    </row>
    <row r="91" spans="1:8">
      <c r="A91">
        <v>89</v>
      </c>
      <c r="B91">
        <v>14</v>
      </c>
      <c r="C91">
        <v>9500</v>
      </c>
      <c r="D91">
        <v>9418</v>
      </c>
      <c r="E91" s="4">
        <f t="shared" si="3"/>
        <v>1</v>
      </c>
      <c r="F91" s="4">
        <f t="shared" si="4"/>
        <v>82</v>
      </c>
      <c r="G91" s="4">
        <f t="shared" si="5"/>
        <v>6724</v>
      </c>
      <c r="H91" s="5">
        <f>SQRT(SUM('r-pi-14'!$D$3:D91)/COUNTIF($A$3:A91,"&lt;&gt;0"))</f>
        <v>88.662660775155729</v>
      </c>
    </row>
    <row r="92" spans="1:8">
      <c r="A92">
        <v>90</v>
      </c>
      <c r="B92">
        <v>14</v>
      </c>
      <c r="C92">
        <v>9500</v>
      </c>
      <c r="D92">
        <v>9387</v>
      </c>
      <c r="E92" s="4">
        <f t="shared" si="3"/>
        <v>1</v>
      </c>
      <c r="F92" s="4">
        <f t="shared" si="4"/>
        <v>113</v>
      </c>
      <c r="G92" s="4">
        <f t="shared" si="5"/>
        <v>12769</v>
      </c>
      <c r="H92" s="5">
        <f>SQRT(SUM('r-pi-14'!$D$3:D92)/COUNTIF($A$3:A92,"&lt;&gt;0"))</f>
        <v>88.758223406184854</v>
      </c>
    </row>
    <row r="93" spans="1:8">
      <c r="A93">
        <v>91</v>
      </c>
      <c r="B93">
        <v>14</v>
      </c>
      <c r="C93">
        <v>9500</v>
      </c>
      <c r="D93">
        <v>9136</v>
      </c>
      <c r="E93" s="4">
        <f t="shared" si="3"/>
        <v>1</v>
      </c>
      <c r="F93" s="4">
        <f t="shared" si="4"/>
        <v>364</v>
      </c>
      <c r="G93" s="4">
        <f t="shared" si="5"/>
        <v>132496</v>
      </c>
      <c r="H93" s="5">
        <f>SQRT(SUM('r-pi-14'!$D$3:D93)/COUNTIF($A$3:A93,"&lt;&gt;0"))</f>
        <v>88.836063363063062</v>
      </c>
    </row>
    <row r="94" spans="1:8">
      <c r="A94">
        <v>92</v>
      </c>
      <c r="B94">
        <v>14</v>
      </c>
      <c r="C94">
        <v>9500</v>
      </c>
      <c r="D94">
        <v>9544</v>
      </c>
      <c r="E94" s="4">
        <f t="shared" si="3"/>
        <v>1</v>
      </c>
      <c r="F94" s="4">
        <f t="shared" si="4"/>
        <v>44</v>
      </c>
      <c r="G94" s="4">
        <f t="shared" si="5"/>
        <v>1936</v>
      </c>
      <c r="H94" s="5">
        <f>SQRT(SUM('r-pi-14'!$D$3:D94)/COUNTIF($A$3:A94,"&lt;&gt;0"))</f>
        <v>88.937080837106905</v>
      </c>
    </row>
    <row r="95" spans="1:8">
      <c r="A95">
        <v>93</v>
      </c>
      <c r="B95">
        <v>14</v>
      </c>
      <c r="C95">
        <v>9500</v>
      </c>
      <c r="D95">
        <v>9577</v>
      </c>
      <c r="E95" s="4">
        <f t="shared" si="3"/>
        <v>1</v>
      </c>
      <c r="F95" s="4">
        <f t="shared" si="4"/>
        <v>77</v>
      </c>
      <c r="G95" s="4">
        <f t="shared" si="5"/>
        <v>5929</v>
      </c>
      <c r="H95" s="5">
        <f>SQRT(SUM('r-pi-14'!$D$3:D95)/COUNTIF($A$3:A95,"&lt;&gt;0"))</f>
        <v>89.037807603263118</v>
      </c>
    </row>
    <row r="96" spans="1:8">
      <c r="A96">
        <v>94</v>
      </c>
      <c r="B96">
        <v>14</v>
      </c>
      <c r="C96">
        <v>9500</v>
      </c>
      <c r="D96">
        <v>9399</v>
      </c>
      <c r="E96" s="4">
        <f t="shared" si="3"/>
        <v>1</v>
      </c>
      <c r="F96" s="4">
        <f t="shared" si="4"/>
        <v>101</v>
      </c>
      <c r="G96" s="4">
        <f t="shared" si="5"/>
        <v>10201</v>
      </c>
      <c r="H96" s="5">
        <f>SQRT(SUM('r-pi-14'!$D$3:D96)/COUNTIF($A$3:A96,"&lt;&gt;0"))</f>
        <v>89.125658363478053</v>
      </c>
    </row>
    <row r="97" spans="1:8">
      <c r="A97">
        <v>95</v>
      </c>
      <c r="B97">
        <v>14</v>
      </c>
      <c r="C97">
        <v>9500</v>
      </c>
      <c r="D97">
        <v>9467</v>
      </c>
      <c r="E97" s="4">
        <f t="shared" si="3"/>
        <v>1</v>
      </c>
      <c r="F97" s="4">
        <f t="shared" si="4"/>
        <v>33</v>
      </c>
      <c r="G97" s="4">
        <f t="shared" si="5"/>
        <v>1089</v>
      </c>
      <c r="H97" s="5">
        <f>SQRT(SUM('r-pi-14'!$D$3:D97)/COUNTIF($A$3:A97,"&lt;&gt;0"))</f>
        <v>89.215587498102479</v>
      </c>
    </row>
    <row r="98" spans="1:8">
      <c r="A98">
        <v>96</v>
      </c>
      <c r="B98">
        <v>14</v>
      </c>
      <c r="C98">
        <v>9500</v>
      </c>
      <c r="D98">
        <v>9370</v>
      </c>
      <c r="E98" s="4">
        <f t="shared" si="3"/>
        <v>1</v>
      </c>
      <c r="F98" s="4">
        <f t="shared" si="4"/>
        <v>130</v>
      </c>
      <c r="G98" s="4">
        <f t="shared" si="5"/>
        <v>16900</v>
      </c>
      <c r="H98" s="5">
        <f>SQRT(SUM('r-pi-14'!$D$3:D98)/COUNTIF($A$3:A98,"&lt;&gt;0"))</f>
        <v>89.297897978246567</v>
      </c>
    </row>
    <row r="99" spans="1:8">
      <c r="A99">
        <v>97</v>
      </c>
      <c r="B99">
        <v>14</v>
      </c>
      <c r="C99">
        <v>9500</v>
      </c>
      <c r="D99">
        <v>9529</v>
      </c>
      <c r="E99" s="4">
        <f t="shared" si="3"/>
        <v>1</v>
      </c>
      <c r="F99" s="4">
        <f t="shared" si="4"/>
        <v>29</v>
      </c>
      <c r="G99" s="4">
        <f t="shared" si="5"/>
        <v>841</v>
      </c>
      <c r="H99" s="5">
        <f>SQRT(SUM('r-pi-14'!$D$3:D99)/COUNTIF($A$3:A99,"&lt;&gt;0"))</f>
        <v>89.387607250093154</v>
      </c>
    </row>
    <row r="100" spans="1:8">
      <c r="A100">
        <v>98</v>
      </c>
      <c r="B100">
        <v>14</v>
      </c>
      <c r="C100">
        <v>9500</v>
      </c>
      <c r="D100">
        <v>9457</v>
      </c>
      <c r="E100" s="4">
        <f t="shared" si="3"/>
        <v>1</v>
      </c>
      <c r="F100" s="4">
        <f t="shared" si="4"/>
        <v>43</v>
      </c>
      <c r="G100" s="4">
        <f t="shared" si="5"/>
        <v>1849</v>
      </c>
      <c r="H100" s="5">
        <f>SQRT(SUM('r-pi-14'!$D$3:D100)/COUNTIF($A$3:A100,"&lt;&gt;0"))</f>
        <v>89.471292853618465</v>
      </c>
    </row>
    <row r="101" spans="1:8">
      <c r="A101">
        <v>99</v>
      </c>
      <c r="B101">
        <v>14</v>
      </c>
      <c r="C101">
        <v>9500</v>
      </c>
      <c r="D101">
        <v>9408</v>
      </c>
      <c r="E101" s="4">
        <f t="shared" si="3"/>
        <v>1</v>
      </c>
      <c r="F101" s="4">
        <f t="shared" si="4"/>
        <v>92</v>
      </c>
      <c r="G101" s="4">
        <f t="shared" si="5"/>
        <v>8464</v>
      </c>
      <c r="H101" s="5">
        <f>SQRT(SUM('r-pi-14'!$D$3:D101)/COUNTIF($A$3:A101,"&lt;&gt;0"))</f>
        <v>89.550448509668726</v>
      </c>
    </row>
    <row r="102" spans="1:8">
      <c r="A102">
        <v>100</v>
      </c>
      <c r="B102">
        <v>14</v>
      </c>
      <c r="C102">
        <v>9500</v>
      </c>
      <c r="D102">
        <v>9159</v>
      </c>
      <c r="E102" s="4">
        <f t="shared" si="3"/>
        <v>1</v>
      </c>
      <c r="F102" s="4">
        <f t="shared" si="4"/>
        <v>341</v>
      </c>
      <c r="G102" s="4">
        <f t="shared" si="5"/>
        <v>116281</v>
      </c>
      <c r="H102" s="5">
        <f>SQRT(SUM('r-pi-14'!$D$3:D102)/COUNTIF($A$3:A102,"&lt;&gt;0"))</f>
        <v>89.614061396635748</v>
      </c>
    </row>
    <row r="103" spans="1:8">
      <c r="A103">
        <v>101</v>
      </c>
      <c r="B103">
        <v>14</v>
      </c>
      <c r="C103">
        <v>9500</v>
      </c>
      <c r="D103">
        <v>9438</v>
      </c>
      <c r="E103" s="4">
        <f t="shared" si="3"/>
        <v>1</v>
      </c>
      <c r="F103" s="4">
        <f t="shared" si="4"/>
        <v>62</v>
      </c>
      <c r="G103" s="4">
        <f t="shared" si="5"/>
        <v>3844</v>
      </c>
      <c r="H103" s="5">
        <f>SQRT(SUM('r-pi-14'!$D$3:D103)/COUNTIF($A$3:A103,"&lt;&gt;0"))</f>
        <v>89.691771425176668</v>
      </c>
    </row>
    <row r="104" spans="1:8">
      <c r="A104">
        <v>102</v>
      </c>
      <c r="B104">
        <v>14</v>
      </c>
      <c r="C104">
        <v>9500</v>
      </c>
      <c r="D104">
        <v>9438</v>
      </c>
      <c r="E104" s="4">
        <f t="shared" si="3"/>
        <v>1</v>
      </c>
      <c r="F104" s="4">
        <f t="shared" si="4"/>
        <v>62</v>
      </c>
      <c r="G104" s="4">
        <f t="shared" si="5"/>
        <v>3844</v>
      </c>
      <c r="H104" s="5">
        <f>SQRT(SUM('r-pi-14'!$D$3:D104)/COUNTIF($A$3:A104,"&lt;&gt;0"))</f>
        <v>89.767892421532991</v>
      </c>
    </row>
    <row r="105" spans="1:8">
      <c r="A105">
        <v>103</v>
      </c>
      <c r="B105">
        <v>14</v>
      </c>
      <c r="C105">
        <v>9500</v>
      </c>
      <c r="D105">
        <v>9278</v>
      </c>
      <c r="E105" s="4">
        <f t="shared" si="3"/>
        <v>1</v>
      </c>
      <c r="F105" s="4">
        <f t="shared" si="4"/>
        <v>222</v>
      </c>
      <c r="G105" s="4">
        <f t="shared" si="5"/>
        <v>49284</v>
      </c>
      <c r="H105" s="5">
        <f>SQRT(SUM('r-pi-14'!$D$3:D105)/COUNTIF($A$3:A105,"&lt;&gt;0"))</f>
        <v>89.83382717470279</v>
      </c>
    </row>
    <row r="106" spans="1:8">
      <c r="A106">
        <v>104</v>
      </c>
      <c r="B106">
        <v>14</v>
      </c>
      <c r="C106">
        <v>9500</v>
      </c>
      <c r="D106">
        <v>9422</v>
      </c>
      <c r="E106" s="4">
        <f t="shared" si="3"/>
        <v>1</v>
      </c>
      <c r="F106" s="4">
        <f t="shared" si="4"/>
        <v>78</v>
      </c>
      <c r="G106" s="4">
        <f t="shared" si="5"/>
        <v>6084</v>
      </c>
      <c r="H106" s="5">
        <f>SQRT(SUM('r-pi-14'!$D$3:D106)/COUNTIF($A$3:A106,"&lt;&gt;0"))</f>
        <v>89.906147646395041</v>
      </c>
    </row>
    <row r="107" spans="1:8">
      <c r="A107">
        <v>105</v>
      </c>
      <c r="B107">
        <v>14</v>
      </c>
      <c r="C107">
        <v>9500</v>
      </c>
      <c r="D107">
        <v>9157</v>
      </c>
      <c r="E107" s="4">
        <f t="shared" si="3"/>
        <v>1</v>
      </c>
      <c r="F107" s="4">
        <f t="shared" si="4"/>
        <v>343</v>
      </c>
      <c r="G107" s="4">
        <f t="shared" si="5"/>
        <v>117649</v>
      </c>
      <c r="H107" s="5">
        <f>SQRT(SUM('r-pi-14'!$D$3:D107)/COUNTIF($A$3:A107,"&lt;&gt;0"))</f>
        <v>89.963008270860172</v>
      </c>
    </row>
    <row r="108" spans="1:8">
      <c r="A108">
        <v>106</v>
      </c>
      <c r="B108">
        <v>14</v>
      </c>
      <c r="C108">
        <v>9500</v>
      </c>
      <c r="D108">
        <v>9385</v>
      </c>
      <c r="E108" s="4">
        <f t="shared" si="3"/>
        <v>1</v>
      </c>
      <c r="F108" s="4">
        <f t="shared" si="4"/>
        <v>115</v>
      </c>
      <c r="G108" s="4">
        <f t="shared" si="5"/>
        <v>13225</v>
      </c>
      <c r="H108" s="5">
        <f>SQRT(SUM('r-pi-14'!$D$3:D108)/COUNTIF($A$3:A108,"&lt;&gt;0"))</f>
        <v>90.030707549628829</v>
      </c>
    </row>
    <row r="109" spans="1:8">
      <c r="A109">
        <v>107</v>
      </c>
      <c r="B109">
        <v>14</v>
      </c>
      <c r="C109">
        <v>9500</v>
      </c>
      <c r="D109">
        <v>9281</v>
      </c>
      <c r="E109" s="4">
        <f t="shared" si="3"/>
        <v>1</v>
      </c>
      <c r="F109" s="4">
        <f t="shared" si="4"/>
        <v>219</v>
      </c>
      <c r="G109" s="4">
        <f t="shared" si="5"/>
        <v>47961</v>
      </c>
      <c r="H109" s="5">
        <f>SQRT(SUM('r-pi-14'!$D$3:D109)/COUNTIF($A$3:A109,"&lt;&gt;0"))</f>
        <v>90.091697834437497</v>
      </c>
    </row>
    <row r="110" spans="1:8">
      <c r="A110">
        <v>108</v>
      </c>
      <c r="B110">
        <v>14</v>
      </c>
      <c r="C110">
        <v>9500</v>
      </c>
      <c r="D110">
        <v>9327</v>
      </c>
      <c r="E110" s="4">
        <f t="shared" si="3"/>
        <v>1</v>
      </c>
      <c r="F110" s="4">
        <f t="shared" si="4"/>
        <v>173</v>
      </c>
      <c r="G110" s="4">
        <f t="shared" si="5"/>
        <v>29929</v>
      </c>
      <c r="H110" s="5">
        <f>SQRT(SUM('r-pi-14'!$D$3:D110)/COUNTIF($A$3:A110,"&lt;&gt;0"))</f>
        <v>90.153880794019187</v>
      </c>
    </row>
    <row r="111" spans="1:8">
      <c r="A111">
        <v>109</v>
      </c>
      <c r="B111">
        <v>14</v>
      </c>
      <c r="C111">
        <v>9500</v>
      </c>
      <c r="D111">
        <v>9369</v>
      </c>
      <c r="E111" s="4">
        <f t="shared" si="3"/>
        <v>1</v>
      </c>
      <c r="F111" s="4">
        <f t="shared" si="4"/>
        <v>131</v>
      </c>
      <c r="G111" s="4">
        <f t="shared" si="5"/>
        <v>17161</v>
      </c>
      <c r="H111" s="5">
        <f>SQRT(SUM('r-pi-14'!$D$3:D111)/COUNTIF($A$3:A111,"&lt;&gt;0"))</f>
        <v>90.217016641779495</v>
      </c>
    </row>
    <row r="112" spans="1:8">
      <c r="A112">
        <v>110</v>
      </c>
      <c r="B112">
        <v>14</v>
      </c>
      <c r="C112">
        <v>9500</v>
      </c>
      <c r="D112">
        <v>9425</v>
      </c>
      <c r="E112" s="4">
        <f t="shared" si="3"/>
        <v>1</v>
      </c>
      <c r="F112" s="4">
        <f t="shared" si="4"/>
        <v>75</v>
      </c>
      <c r="G112" s="4">
        <f t="shared" si="5"/>
        <v>5625</v>
      </c>
      <c r="H112" s="5">
        <f>SQRT(SUM('r-pi-14'!$D$3:D112)/COUNTIF($A$3:A112,"&lt;&gt;0"))</f>
        <v>90.281781107818205</v>
      </c>
    </row>
    <row r="113" spans="1:8">
      <c r="A113">
        <v>111</v>
      </c>
      <c r="B113">
        <v>14</v>
      </c>
      <c r="C113">
        <v>9500</v>
      </c>
      <c r="D113">
        <v>9415</v>
      </c>
      <c r="E113" s="4">
        <f t="shared" si="3"/>
        <v>1</v>
      </c>
      <c r="F113" s="4">
        <f t="shared" si="4"/>
        <v>85</v>
      </c>
      <c r="G113" s="4">
        <f t="shared" si="5"/>
        <v>7225</v>
      </c>
      <c r="H113" s="5">
        <f>SQRT(SUM('r-pi-14'!$D$3:D113)/COUNTIF($A$3:A113,"&lt;&gt;0"))</f>
        <v>90.344834878310493</v>
      </c>
    </row>
    <row r="114" spans="1:8">
      <c r="A114">
        <v>112</v>
      </c>
      <c r="B114">
        <v>14</v>
      </c>
      <c r="C114">
        <v>9500</v>
      </c>
      <c r="D114">
        <v>8209</v>
      </c>
      <c r="E114" s="4">
        <f t="shared" si="3"/>
        <v>1</v>
      </c>
      <c r="F114" s="4">
        <f t="shared" si="4"/>
        <v>1291</v>
      </c>
      <c r="G114" s="4">
        <f t="shared" si="5"/>
        <v>1666681</v>
      </c>
      <c r="H114" s="5">
        <f>SQRT(SUM('r-pi-14'!$D$3:D114)/COUNTIF($A$3:A114,"&lt;&gt;0"))</f>
        <v>90.347147950874145</v>
      </c>
    </row>
    <row r="115" spans="1:8">
      <c r="A115">
        <v>113</v>
      </c>
      <c r="B115">
        <v>15</v>
      </c>
      <c r="C115">
        <v>9500</v>
      </c>
      <c r="D115">
        <v>9084</v>
      </c>
      <c r="E115" s="4">
        <f t="shared" si="3"/>
        <v>1</v>
      </c>
      <c r="F115" s="4">
        <f t="shared" si="4"/>
        <v>416</v>
      </c>
      <c r="G115" s="4">
        <f t="shared" si="5"/>
        <v>173056</v>
      </c>
      <c r="H115" s="5">
        <f>SQRT(SUM('r-pi-14'!$D$3:D115)/COUNTIF($A$3:A115,"&lt;&gt;0"))</f>
        <v>90.392262179607513</v>
      </c>
    </row>
    <row r="116" spans="1:8">
      <c r="A116">
        <v>114</v>
      </c>
      <c r="B116">
        <v>15</v>
      </c>
      <c r="C116">
        <v>9500</v>
      </c>
      <c r="D116">
        <v>9896</v>
      </c>
      <c r="E116" s="4">
        <f t="shared" si="3"/>
        <v>1</v>
      </c>
      <c r="F116" s="4">
        <f t="shared" si="4"/>
        <v>396</v>
      </c>
      <c r="G116" s="4">
        <f t="shared" si="5"/>
        <v>156816</v>
      </c>
      <c r="H116" s="5">
        <f>SQRT(SUM('r-pi-14'!$D$3:D116)/COUNTIF($A$3:A116,"&lt;&gt;0"))</f>
        <v>90.475934572913388</v>
      </c>
    </row>
    <row r="117" spans="1:8">
      <c r="A117">
        <v>115</v>
      </c>
      <c r="B117">
        <v>14</v>
      </c>
      <c r="C117">
        <v>9500</v>
      </c>
      <c r="D117">
        <v>9409</v>
      </c>
      <c r="E117" s="4">
        <f t="shared" si="3"/>
        <v>1</v>
      </c>
      <c r="F117" s="4">
        <f t="shared" si="4"/>
        <v>91</v>
      </c>
      <c r="G117" s="4">
        <f t="shared" si="5"/>
        <v>8281</v>
      </c>
      <c r="H117" s="5">
        <f>SQRT(SUM('r-pi-14'!$D$3:D117)/COUNTIF($A$3:A117,"&lt;&gt;0"))</f>
        <v>90.5346918853906</v>
      </c>
    </row>
    <row r="118" spans="1:8">
      <c r="A118">
        <v>116</v>
      </c>
      <c r="B118">
        <v>15</v>
      </c>
      <c r="C118">
        <v>9500</v>
      </c>
      <c r="D118">
        <v>9765</v>
      </c>
      <c r="E118" s="4">
        <f t="shared" si="3"/>
        <v>1</v>
      </c>
      <c r="F118" s="4">
        <f t="shared" si="4"/>
        <v>265</v>
      </c>
      <c r="G118" s="4">
        <f t="shared" si="5"/>
        <v>70225</v>
      </c>
      <c r="H118" s="5">
        <f>SQRT(SUM('r-pi-14'!$D$3:D118)/COUNTIF($A$3:A118,"&lt;&gt;0"))</f>
        <v>90.609335744932665</v>
      </c>
    </row>
    <row r="119" spans="1:8">
      <c r="A119">
        <v>117</v>
      </c>
      <c r="B119">
        <v>14</v>
      </c>
      <c r="C119">
        <v>9500</v>
      </c>
      <c r="D119">
        <v>9325</v>
      </c>
      <c r="E119" s="4">
        <f t="shared" si="3"/>
        <v>1</v>
      </c>
      <c r="F119" s="4">
        <f t="shared" si="4"/>
        <v>175</v>
      </c>
      <c r="G119" s="4">
        <f t="shared" si="5"/>
        <v>30625</v>
      </c>
      <c r="H119" s="5">
        <f>SQRT(SUM('r-pi-14'!$D$3:D119)/COUNTIF($A$3:A119,"&lt;&gt;0"))</f>
        <v>90.661905983611419</v>
      </c>
    </row>
    <row r="120" spans="1:8">
      <c r="A120">
        <v>118</v>
      </c>
      <c r="B120">
        <v>15</v>
      </c>
      <c r="C120">
        <v>9500</v>
      </c>
      <c r="D120">
        <v>9635</v>
      </c>
      <c r="E120" s="4">
        <f t="shared" si="3"/>
        <v>1</v>
      </c>
      <c r="F120" s="4">
        <f t="shared" si="4"/>
        <v>135</v>
      </c>
      <c r="G120" s="4">
        <f t="shared" si="5"/>
        <v>18225</v>
      </c>
      <c r="H120" s="5">
        <f>SQRT(SUM('r-pi-14'!$D$3:D120)/COUNTIF($A$3:A120,"&lt;&gt;0"))</f>
        <v>90.72803464853871</v>
      </c>
    </row>
    <row r="121" spans="1:8">
      <c r="A121">
        <v>119</v>
      </c>
      <c r="B121">
        <v>14</v>
      </c>
      <c r="C121">
        <v>9500</v>
      </c>
      <c r="D121">
        <v>9413</v>
      </c>
      <c r="E121" s="4">
        <f t="shared" si="3"/>
        <v>1</v>
      </c>
      <c r="F121" s="4">
        <f t="shared" si="4"/>
        <v>87</v>
      </c>
      <c r="G121" s="4">
        <f t="shared" si="5"/>
        <v>7569</v>
      </c>
      <c r="H121" s="5">
        <f>SQRT(SUM('r-pi-14'!$D$3:D121)/COUNTIF($A$3:A121,"&lt;&gt;0"))</f>
        <v>90.782730745889509</v>
      </c>
    </row>
    <row r="122" spans="1:8">
      <c r="A122">
        <v>120</v>
      </c>
      <c r="B122">
        <v>14</v>
      </c>
      <c r="C122">
        <v>9500</v>
      </c>
      <c r="D122">
        <v>9380</v>
      </c>
      <c r="E122" s="4">
        <f t="shared" si="3"/>
        <v>1</v>
      </c>
      <c r="F122" s="4">
        <f t="shared" si="4"/>
        <v>120</v>
      </c>
      <c r="G122" s="4">
        <f t="shared" si="5"/>
        <v>14400</v>
      </c>
      <c r="H122" s="5">
        <f>SQRT(SUM('r-pi-14'!$D$3:D122)/COUNTIF($A$3:A122,"&lt;&gt;0"))</f>
        <v>90.834969404225959</v>
      </c>
    </row>
    <row r="123" spans="1:8">
      <c r="A123">
        <v>121</v>
      </c>
      <c r="B123">
        <v>15</v>
      </c>
      <c r="C123">
        <v>9500</v>
      </c>
      <c r="D123">
        <v>9752</v>
      </c>
      <c r="E123" s="4">
        <f t="shared" si="3"/>
        <v>1</v>
      </c>
      <c r="F123" s="4">
        <f t="shared" si="4"/>
        <v>252</v>
      </c>
      <c r="G123" s="4">
        <f t="shared" si="5"/>
        <v>63504</v>
      </c>
      <c r="H123" s="5">
        <f>SQRT(SUM('r-pi-14'!$D$3:D123)/COUNTIF($A$3:A123,"&lt;&gt;0"))</f>
        <v>90.903227083612805</v>
      </c>
    </row>
    <row r="124" spans="1:8">
      <c r="A124">
        <v>122</v>
      </c>
      <c r="B124">
        <v>14</v>
      </c>
      <c r="C124">
        <v>9500</v>
      </c>
      <c r="D124">
        <v>9322</v>
      </c>
      <c r="E124" s="4">
        <f t="shared" si="3"/>
        <v>1</v>
      </c>
      <c r="F124" s="4">
        <f t="shared" si="4"/>
        <v>178</v>
      </c>
      <c r="G124" s="4">
        <f t="shared" si="5"/>
        <v>31684</v>
      </c>
      <c r="H124" s="5">
        <f>SQRT(SUM('r-pi-14'!$D$3:D124)/COUNTIF($A$3:A124,"&lt;&gt;0"))</f>
        <v>90.950941559127372</v>
      </c>
    </row>
    <row r="125" spans="1:8">
      <c r="A125">
        <v>123</v>
      </c>
      <c r="B125">
        <v>15</v>
      </c>
      <c r="C125">
        <v>9500</v>
      </c>
      <c r="D125">
        <v>9854</v>
      </c>
      <c r="E125" s="4">
        <f t="shared" si="3"/>
        <v>1</v>
      </c>
      <c r="F125" s="4">
        <f t="shared" si="4"/>
        <v>354</v>
      </c>
      <c r="G125" s="4">
        <f t="shared" si="5"/>
        <v>125316</v>
      </c>
      <c r="H125" s="5">
        <f>SQRT(SUM('r-pi-14'!$D$3:D125)/COUNTIF($A$3:A125,"&lt;&gt;0"))</f>
        <v>91.021618087955318</v>
      </c>
    </row>
    <row r="126" spans="1:8">
      <c r="A126">
        <v>124</v>
      </c>
      <c r="B126">
        <v>14</v>
      </c>
      <c r="C126">
        <v>9500</v>
      </c>
      <c r="D126">
        <v>9286</v>
      </c>
      <c r="E126" s="4">
        <f t="shared" si="3"/>
        <v>1</v>
      </c>
      <c r="F126" s="4">
        <f t="shared" si="4"/>
        <v>214</v>
      </c>
      <c r="G126" s="4">
        <f t="shared" si="5"/>
        <v>45796</v>
      </c>
      <c r="H126" s="5">
        <f>SQRT(SUM('r-pi-14'!$D$3:D126)/COUNTIF($A$3:A126,"&lt;&gt;0"))</f>
        <v>91.065954475402762</v>
      </c>
    </row>
    <row r="127" spans="1:8">
      <c r="A127">
        <v>125</v>
      </c>
      <c r="B127">
        <v>15</v>
      </c>
      <c r="C127">
        <v>9500</v>
      </c>
      <c r="D127">
        <v>9566</v>
      </c>
      <c r="E127" s="4">
        <f t="shared" si="3"/>
        <v>1</v>
      </c>
      <c r="F127" s="4">
        <f t="shared" si="4"/>
        <v>66</v>
      </c>
      <c r="G127" s="4">
        <f t="shared" si="5"/>
        <v>4356</v>
      </c>
      <c r="H127" s="5">
        <f>SQRT(SUM('r-pi-14'!$D$3:D127)/COUNTIF($A$3:A127,"&lt;&gt;0"))</f>
        <v>91.121852483364265</v>
      </c>
    </row>
    <row r="128" spans="1:8">
      <c r="A128">
        <v>126</v>
      </c>
      <c r="B128">
        <v>14</v>
      </c>
      <c r="C128">
        <v>9500</v>
      </c>
      <c r="D128">
        <v>9440</v>
      </c>
      <c r="E128" s="4">
        <f t="shared" si="3"/>
        <v>1</v>
      </c>
      <c r="F128" s="4">
        <f t="shared" si="4"/>
        <v>60</v>
      </c>
      <c r="G128" s="4">
        <f t="shared" si="5"/>
        <v>3600</v>
      </c>
      <c r="H128" s="5">
        <f>SQRT(SUM('r-pi-14'!$D$3:D128)/COUNTIF($A$3:A128,"&lt;&gt;0"))</f>
        <v>91.171345749167742</v>
      </c>
    </row>
    <row r="129" spans="1:8">
      <c r="A129">
        <v>127</v>
      </c>
      <c r="B129">
        <v>14</v>
      </c>
      <c r="C129">
        <v>9500</v>
      </c>
      <c r="D129">
        <v>9199</v>
      </c>
      <c r="E129" s="4">
        <f t="shared" si="3"/>
        <v>1</v>
      </c>
      <c r="F129" s="4">
        <f t="shared" si="4"/>
        <v>301</v>
      </c>
      <c r="G129" s="4">
        <f t="shared" si="5"/>
        <v>90601</v>
      </c>
      <c r="H129" s="5">
        <f>SQRT(SUM('r-pi-14'!$D$3:D129)/COUNTIF($A$3:A129,"&lt;&gt;0"))</f>
        <v>91.20963134666043</v>
      </c>
    </row>
    <row r="130" spans="1:8">
      <c r="A130">
        <v>128</v>
      </c>
      <c r="B130">
        <v>15</v>
      </c>
      <c r="C130">
        <v>9500</v>
      </c>
      <c r="D130">
        <v>9881</v>
      </c>
      <c r="E130" s="4">
        <f t="shared" si="3"/>
        <v>1</v>
      </c>
      <c r="F130" s="4">
        <f t="shared" si="4"/>
        <v>381</v>
      </c>
      <c r="G130" s="4">
        <f t="shared" si="5"/>
        <v>145161</v>
      </c>
      <c r="H130" s="5">
        <f>SQRT(SUM('r-pi-14'!$D$3:D130)/COUNTIF($A$3:A130,"&lt;&gt;0"))</f>
        <v>91.276494441340148</v>
      </c>
    </row>
    <row r="131" spans="1:8">
      <c r="A131">
        <v>129</v>
      </c>
      <c r="B131">
        <v>14</v>
      </c>
      <c r="C131">
        <v>9500</v>
      </c>
      <c r="D131">
        <v>9232</v>
      </c>
      <c r="E131" s="4">
        <f t="shared" si="3"/>
        <v>1</v>
      </c>
      <c r="F131" s="4">
        <f t="shared" si="4"/>
        <v>268</v>
      </c>
      <c r="G131" s="4">
        <f t="shared" si="5"/>
        <v>71824</v>
      </c>
      <c r="H131" s="5">
        <f>SQRT(SUM('r-pi-14'!$D$3:D131)/COUNTIF($A$3:A131,"&lt;&gt;0"))</f>
        <v>91.314729616646403</v>
      </c>
    </row>
    <row r="132" spans="1:8">
      <c r="A132">
        <v>130</v>
      </c>
      <c r="B132">
        <v>15</v>
      </c>
      <c r="C132">
        <v>9500</v>
      </c>
      <c r="D132">
        <v>9500</v>
      </c>
      <c r="E132" s="4">
        <f t="shared" ref="E132:E152" si="6">IF(AND(D132&lt;=C132*1.2,D132&gt;=C132*0.8),1,0)</f>
        <v>1</v>
      </c>
      <c r="F132" s="4">
        <f t="shared" ref="F132:F152" si="7">ABS(C132-D132)</f>
        <v>0</v>
      </c>
      <c r="G132" s="4">
        <f t="shared" ref="G132:G152" si="8">POWER(F132,2)</f>
        <v>0</v>
      </c>
      <c r="H132" s="5">
        <f>SQRT(SUM('r-pi-14'!$D$3:D132)/COUNTIF($A$3:A132,"&lt;&gt;0"))</f>
        <v>91.36364366976278</v>
      </c>
    </row>
    <row r="133" spans="1:8">
      <c r="A133">
        <v>131</v>
      </c>
      <c r="B133">
        <v>14</v>
      </c>
      <c r="C133">
        <v>9500</v>
      </c>
      <c r="D133">
        <v>9348</v>
      </c>
      <c r="E133" s="4">
        <f t="shared" si="6"/>
        <v>1</v>
      </c>
      <c r="F133" s="4">
        <f t="shared" si="7"/>
        <v>152</v>
      </c>
      <c r="G133" s="4">
        <f t="shared" si="8"/>
        <v>23104</v>
      </c>
      <c r="H133" s="5">
        <f>SQRT(SUM('r-pi-14'!$D$3:D133)/COUNTIF($A$3:A133,"&lt;&gt;0"))</f>
        <v>91.405438560696609</v>
      </c>
    </row>
    <row r="134" spans="1:8">
      <c r="A134">
        <v>132</v>
      </c>
      <c r="B134">
        <v>15</v>
      </c>
      <c r="C134">
        <v>9500</v>
      </c>
      <c r="D134">
        <v>9743</v>
      </c>
      <c r="E134" s="4">
        <f t="shared" si="6"/>
        <v>1</v>
      </c>
      <c r="F134" s="4">
        <f t="shared" si="7"/>
        <v>243</v>
      </c>
      <c r="G134" s="4">
        <f t="shared" si="8"/>
        <v>59049</v>
      </c>
      <c r="H134" s="5">
        <f>SQRT(SUM('r-pi-14'!$D$3:D134)/COUNTIF($A$3:A134,"&lt;&gt;0"))</f>
        <v>91.462941659284581</v>
      </c>
    </row>
    <row r="135" spans="1:8">
      <c r="A135">
        <v>133</v>
      </c>
      <c r="B135">
        <v>14</v>
      </c>
      <c r="C135">
        <v>9500</v>
      </c>
      <c r="D135">
        <v>9249</v>
      </c>
      <c r="E135" s="4">
        <f t="shared" si="6"/>
        <v>1</v>
      </c>
      <c r="F135" s="4">
        <f t="shared" si="7"/>
        <v>251</v>
      </c>
      <c r="G135" s="4">
        <f t="shared" si="8"/>
        <v>63001</v>
      </c>
      <c r="H135" s="5">
        <f>SQRT(SUM('r-pi-14'!$D$3:D135)/COUNTIF($A$3:A135,"&lt;&gt;0"))</f>
        <v>91.499250171544503</v>
      </c>
    </row>
    <row r="136" spans="1:8">
      <c r="A136">
        <v>134</v>
      </c>
      <c r="B136">
        <v>15</v>
      </c>
      <c r="C136">
        <v>9500</v>
      </c>
      <c r="D136">
        <v>9864</v>
      </c>
      <c r="E136" s="4">
        <f t="shared" si="6"/>
        <v>1</v>
      </c>
      <c r="F136" s="4">
        <f t="shared" si="7"/>
        <v>364</v>
      </c>
      <c r="G136" s="4">
        <f t="shared" si="8"/>
        <v>132496</v>
      </c>
      <c r="H136" s="5">
        <f>SQRT(SUM('r-pi-14'!$D$3:D136)/COUNTIF($A$3:A136,"&lt;&gt;0"))</f>
        <v>91.560069182240767</v>
      </c>
    </row>
    <row r="137" spans="1:8">
      <c r="A137">
        <v>135</v>
      </c>
      <c r="B137">
        <v>14</v>
      </c>
      <c r="C137">
        <v>9500</v>
      </c>
      <c r="D137">
        <v>9491</v>
      </c>
      <c r="E137" s="4">
        <f t="shared" si="6"/>
        <v>1</v>
      </c>
      <c r="F137" s="4">
        <f t="shared" si="7"/>
        <v>9</v>
      </c>
      <c r="G137" s="4">
        <f t="shared" si="8"/>
        <v>81</v>
      </c>
      <c r="H137" s="5">
        <f>SQRT(SUM('r-pi-14'!$D$3:D137)/COUNTIF($A$3:A137,"&lt;&gt;0"))</f>
        <v>91.604868057608442</v>
      </c>
    </row>
    <row r="138" spans="1:8">
      <c r="A138">
        <v>136</v>
      </c>
      <c r="B138">
        <v>14</v>
      </c>
      <c r="C138">
        <v>9500</v>
      </c>
      <c r="D138">
        <v>9421</v>
      </c>
      <c r="E138" s="4">
        <f t="shared" si="6"/>
        <v>1</v>
      </c>
      <c r="F138" s="4">
        <f t="shared" si="7"/>
        <v>79</v>
      </c>
      <c r="G138" s="4">
        <f t="shared" si="8"/>
        <v>6241</v>
      </c>
      <c r="H138" s="5">
        <f>SQRT(SUM('r-pi-14'!$D$3:D138)/COUNTIF($A$3:A138,"&lt;&gt;0"))</f>
        <v>91.646178637319792</v>
      </c>
    </row>
    <row r="139" spans="1:8">
      <c r="A139">
        <v>137</v>
      </c>
      <c r="B139">
        <v>14</v>
      </c>
      <c r="C139">
        <v>9500</v>
      </c>
      <c r="D139">
        <v>9249</v>
      </c>
      <c r="E139" s="4">
        <f t="shared" si="6"/>
        <v>1</v>
      </c>
      <c r="F139" s="4">
        <f t="shared" si="7"/>
        <v>251</v>
      </c>
      <c r="G139" s="4">
        <f t="shared" si="8"/>
        <v>63001</v>
      </c>
      <c r="H139" s="5">
        <f>SQRT(SUM('r-pi-14'!$D$3:D139)/COUNTIF($A$3:A139,"&lt;&gt;0"))</f>
        <v>91.680021146225002</v>
      </c>
    </row>
    <row r="140" spans="1:8">
      <c r="A140">
        <v>138</v>
      </c>
      <c r="B140">
        <v>15</v>
      </c>
      <c r="C140">
        <v>9500</v>
      </c>
      <c r="D140">
        <v>9711</v>
      </c>
      <c r="E140" s="4">
        <f t="shared" si="6"/>
        <v>1</v>
      </c>
      <c r="F140" s="4">
        <f t="shared" si="7"/>
        <v>211</v>
      </c>
      <c r="G140" s="4">
        <f t="shared" si="8"/>
        <v>44521</v>
      </c>
      <c r="H140" s="5">
        <f>SQRT(SUM('r-pi-14'!$D$3:D140)/COUNTIF($A$3:A140,"&lt;&gt;0"))</f>
        <v>91.731610722787934</v>
      </c>
    </row>
    <row r="141" spans="1:8">
      <c r="A141">
        <v>139</v>
      </c>
      <c r="B141">
        <v>14</v>
      </c>
      <c r="C141">
        <v>9500</v>
      </c>
      <c r="D141">
        <v>9320</v>
      </c>
      <c r="E141" s="4">
        <f t="shared" si="6"/>
        <v>1</v>
      </c>
      <c r="F141" s="4">
        <f t="shared" si="7"/>
        <v>180</v>
      </c>
      <c r="G141" s="4">
        <f t="shared" si="8"/>
        <v>32400</v>
      </c>
      <c r="H141" s="5">
        <f>SQRT(SUM('r-pi-14'!$D$3:D141)/COUNTIF($A$3:A141,"&lt;&gt;0"))</f>
        <v>91.767104339457717</v>
      </c>
    </row>
    <row r="142" spans="1:8">
      <c r="A142">
        <v>140</v>
      </c>
      <c r="B142">
        <v>15</v>
      </c>
      <c r="C142">
        <v>9500</v>
      </c>
      <c r="D142">
        <v>9753</v>
      </c>
      <c r="E142" s="4">
        <f t="shared" si="6"/>
        <v>1</v>
      </c>
      <c r="F142" s="4">
        <f t="shared" si="7"/>
        <v>253</v>
      </c>
      <c r="G142" s="4">
        <f t="shared" si="8"/>
        <v>64009</v>
      </c>
      <c r="H142" s="5">
        <f>SQRT(SUM('r-pi-14'!$D$3:D142)/COUNTIF($A$3:A142,"&lt;&gt;0"))</f>
        <v>91.818921174855276</v>
      </c>
    </row>
    <row r="143" spans="1:8">
      <c r="A143">
        <v>141</v>
      </c>
      <c r="B143">
        <v>14</v>
      </c>
      <c r="C143">
        <v>9500</v>
      </c>
      <c r="D143">
        <v>9238</v>
      </c>
      <c r="E143" s="4">
        <f t="shared" si="6"/>
        <v>1</v>
      </c>
      <c r="F143" s="4">
        <f t="shared" si="7"/>
        <v>262</v>
      </c>
      <c r="G143" s="4">
        <f t="shared" si="8"/>
        <v>68644</v>
      </c>
      <c r="H143" s="5">
        <f>SQRT(SUM('r-pi-14'!$D$3:D143)/COUNTIF($A$3:A143,"&lt;&gt;0"))</f>
        <v>91.850093719669431</v>
      </c>
    </row>
    <row r="144" spans="1:8">
      <c r="A144">
        <v>142</v>
      </c>
      <c r="B144">
        <v>15</v>
      </c>
      <c r="C144">
        <v>9500</v>
      </c>
      <c r="D144">
        <v>9667</v>
      </c>
      <c r="E144" s="4">
        <f t="shared" si="6"/>
        <v>1</v>
      </c>
      <c r="F144" s="4">
        <f t="shared" si="7"/>
        <v>167</v>
      </c>
      <c r="G144" s="4">
        <f t="shared" si="8"/>
        <v>27889</v>
      </c>
      <c r="H144" s="5">
        <f>SQRT(SUM('r-pi-14'!$D$3:D144)/COUNTIF($A$3:A144,"&lt;&gt;0"))</f>
        <v>91.897255855671872</v>
      </c>
    </row>
    <row r="145" spans="1:8">
      <c r="A145">
        <v>143</v>
      </c>
      <c r="B145">
        <v>14</v>
      </c>
      <c r="C145">
        <v>9500</v>
      </c>
      <c r="D145">
        <v>9404</v>
      </c>
      <c r="E145" s="4">
        <f t="shared" si="6"/>
        <v>1</v>
      </c>
      <c r="F145" s="4">
        <f t="shared" si="7"/>
        <v>96</v>
      </c>
      <c r="G145" s="4">
        <f t="shared" si="8"/>
        <v>9216</v>
      </c>
      <c r="H145" s="5">
        <f>SQRT(SUM('r-pi-14'!$D$3:D145)/COUNTIF($A$3:A145,"&lt;&gt;0"))</f>
        <v>91.933732594794549</v>
      </c>
    </row>
    <row r="146" spans="1:8">
      <c r="A146">
        <v>144</v>
      </c>
      <c r="B146">
        <v>15</v>
      </c>
      <c r="C146">
        <v>9500</v>
      </c>
      <c r="D146">
        <v>9780</v>
      </c>
      <c r="E146" s="4">
        <f t="shared" si="6"/>
        <v>1</v>
      </c>
      <c r="F146" s="4">
        <f t="shared" si="7"/>
        <v>280</v>
      </c>
      <c r="G146" s="4">
        <f t="shared" si="8"/>
        <v>78400</v>
      </c>
      <c r="H146" s="5">
        <f>SQRT(SUM('r-pi-14'!$D$3:D146)/COUNTIF($A$3:A146,"&lt;&gt;0"))</f>
        <v>91.983882948167732</v>
      </c>
    </row>
    <row r="147" spans="1:8">
      <c r="A147">
        <v>145</v>
      </c>
      <c r="B147">
        <v>14</v>
      </c>
      <c r="C147">
        <v>9500</v>
      </c>
      <c r="D147">
        <v>9444</v>
      </c>
      <c r="E147" s="4">
        <f t="shared" si="6"/>
        <v>1</v>
      </c>
      <c r="F147" s="4">
        <f t="shared" si="7"/>
        <v>56</v>
      </c>
      <c r="G147" s="4">
        <f t="shared" si="8"/>
        <v>3136</v>
      </c>
      <c r="H147" s="5">
        <f>SQRT(SUM('r-pi-14'!$D$3:D147)/COUNTIF($A$3:A147,"&lt;&gt;0"))</f>
        <v>92.020724802097973</v>
      </c>
    </row>
    <row r="148" spans="1:8">
      <c r="A148">
        <v>146</v>
      </c>
      <c r="B148">
        <v>14</v>
      </c>
      <c r="C148">
        <v>9500</v>
      </c>
      <c r="D148">
        <v>9200</v>
      </c>
      <c r="E148" s="4">
        <f t="shared" si="6"/>
        <v>1</v>
      </c>
      <c r="F148" s="4">
        <f t="shared" si="7"/>
        <v>300</v>
      </c>
      <c r="G148" s="4">
        <f t="shared" si="8"/>
        <v>90000</v>
      </c>
      <c r="H148" s="5">
        <f>SQRT(SUM('r-pi-14'!$D$3:D148)/COUNTIF($A$3:A148,"&lt;&gt;0"))</f>
        <v>92.047969923965667</v>
      </c>
    </row>
    <row r="149" spans="1:8">
      <c r="A149">
        <v>147</v>
      </c>
      <c r="B149">
        <v>15</v>
      </c>
      <c r="C149">
        <v>9500</v>
      </c>
      <c r="D149">
        <v>9744</v>
      </c>
      <c r="E149" s="4">
        <f t="shared" si="6"/>
        <v>1</v>
      </c>
      <c r="F149" s="4">
        <f t="shared" si="7"/>
        <v>244</v>
      </c>
      <c r="G149" s="4">
        <f t="shared" si="8"/>
        <v>59536</v>
      </c>
      <c r="H149" s="5">
        <f>SQRT(SUM('r-pi-14'!$D$3:D149)/COUNTIF($A$3:A149,"&lt;&gt;0"))</f>
        <v>92.09493031907995</v>
      </c>
    </row>
    <row r="150" spans="1:8">
      <c r="A150">
        <v>148</v>
      </c>
      <c r="B150">
        <v>14</v>
      </c>
      <c r="C150">
        <v>9500</v>
      </c>
      <c r="D150">
        <v>9310</v>
      </c>
      <c r="E150" s="4">
        <f t="shared" si="6"/>
        <v>1</v>
      </c>
      <c r="F150" s="4">
        <f t="shared" si="7"/>
        <v>190</v>
      </c>
      <c r="G150" s="4">
        <f t="shared" si="8"/>
        <v>36100</v>
      </c>
      <c r="H150" s="5">
        <f>SQRT(SUM('r-pi-14'!$D$3:D150)/COUNTIF($A$3:A150,"&lt;&gt;0"))</f>
        <v>92.125318584655787</v>
      </c>
    </row>
    <row r="151" spans="1:8">
      <c r="A151">
        <v>149</v>
      </c>
      <c r="B151">
        <v>15</v>
      </c>
      <c r="C151">
        <v>9500</v>
      </c>
      <c r="D151">
        <v>9550</v>
      </c>
      <c r="E151" s="4">
        <f t="shared" si="6"/>
        <v>1</v>
      </c>
      <c r="F151" s="4">
        <f t="shared" si="7"/>
        <v>50</v>
      </c>
      <c r="G151" s="4">
        <f t="shared" si="8"/>
        <v>2500</v>
      </c>
      <c r="H151" s="5">
        <f>SQRT(SUM('r-pi-14'!$D$3:D151)/COUNTIF($A$3:A151,"&lt;&gt;0"))</f>
        <v>92.164027981047326</v>
      </c>
    </row>
    <row r="152" spans="1:8">
      <c r="A152">
        <v>150</v>
      </c>
      <c r="B152">
        <v>14</v>
      </c>
      <c r="C152">
        <v>9500</v>
      </c>
      <c r="D152">
        <v>9286</v>
      </c>
      <c r="E152" s="4">
        <f t="shared" si="6"/>
        <v>1</v>
      </c>
      <c r="F152" s="4">
        <f t="shared" si="7"/>
        <v>214</v>
      </c>
      <c r="G152" s="4">
        <f t="shared" si="8"/>
        <v>45796</v>
      </c>
      <c r="H152" s="5">
        <f>SQRT(SUM('r-pi-14'!$D$3:D152)/COUNTIF($A$3:A152,"&lt;&gt;0"))</f>
        <v>92.192660590020211</v>
      </c>
    </row>
  </sheetData>
  <mergeCells count="7">
    <mergeCell ref="H1:H2"/>
    <mergeCell ref="A1:A2"/>
    <mergeCell ref="B1:B2"/>
    <mergeCell ref="C1:D1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02"/>
  <sheetViews>
    <sheetView topLeftCell="A46" workbookViewId="0">
      <selection activeCell="D59" sqref="D59"/>
    </sheetView>
  </sheetViews>
  <sheetFormatPr defaultRowHeight="14.5"/>
  <cols>
    <col min="1" max="1" width="8.7265625" style="4"/>
    <col min="2" max="2" width="9.7265625" style="4" bestFit="1" customWidth="1"/>
    <col min="3" max="3" width="7.90625" style="4" bestFit="1" customWidth="1"/>
    <col min="4" max="4" width="9.26953125" style="4" bestFit="1" customWidth="1"/>
    <col min="5" max="5" width="9.81640625" style="4" bestFit="1" customWidth="1"/>
    <col min="6" max="6" width="17.1796875" style="4" bestFit="1" customWidth="1"/>
    <col min="7" max="7" width="17.1796875" style="4" customWidth="1"/>
    <col min="8" max="8" width="8.81640625" style="4" bestFit="1" customWidth="1"/>
    <col min="9" max="9" width="17.08984375" style="4" bestFit="1" customWidth="1"/>
  </cols>
  <sheetData>
    <row r="1" spans="1:9">
      <c r="A1" s="42" t="s">
        <v>4</v>
      </c>
      <c r="B1" s="42" t="s">
        <v>5</v>
      </c>
      <c r="C1" s="44" t="s">
        <v>9</v>
      </c>
      <c r="D1" s="44"/>
      <c r="E1" s="42" t="s">
        <v>7</v>
      </c>
      <c r="F1" s="42" t="s">
        <v>10</v>
      </c>
      <c r="G1" s="42" t="s">
        <v>37</v>
      </c>
      <c r="H1" s="42" t="s">
        <v>11</v>
      </c>
      <c r="I1" s="42" t="s">
        <v>12</v>
      </c>
    </row>
    <row r="2" spans="1:9">
      <c r="A2" s="43"/>
      <c r="B2" s="43"/>
      <c r="C2" s="6" t="s">
        <v>6</v>
      </c>
      <c r="D2" s="6" t="s">
        <v>8</v>
      </c>
      <c r="E2" s="43"/>
      <c r="F2" s="43"/>
      <c r="G2" s="43"/>
      <c r="H2" s="43"/>
      <c r="I2" s="43"/>
    </row>
    <row r="3" spans="1:9">
      <c r="A3">
        <v>1</v>
      </c>
      <c r="B3">
        <v>1</v>
      </c>
      <c r="C3">
        <v>4600</v>
      </c>
      <c r="D3">
        <v>250</v>
      </c>
      <c r="E3" s="4">
        <f>IF(AND(D3&lt;=C3*1.2,D3&gt;=C3*0.8),1,0)</f>
        <v>0</v>
      </c>
      <c r="F3" s="4">
        <f>ABS(C3-D3)</f>
        <v>4350</v>
      </c>
      <c r="G3" s="4">
        <f>POWER(ABS(C3-D3)/C3,2)</f>
        <v>0.89425803402646498</v>
      </c>
      <c r="H3" s="4">
        <f>POWER(F3,2)</f>
        <v>18922500</v>
      </c>
      <c r="I3" s="5">
        <f>SQRT(SUM('r-pi-multi'!$D$3:D3)/COUNTIF($A$3:A3,"&lt;&gt;0"))</f>
        <v>15.811388300841896</v>
      </c>
    </row>
    <row r="4" spans="1:9">
      <c r="A4">
        <v>2</v>
      </c>
      <c r="B4">
        <v>1</v>
      </c>
      <c r="C4">
        <v>4600</v>
      </c>
      <c r="D4">
        <v>1483</v>
      </c>
      <c r="E4" s="4">
        <f t="shared" ref="E4:E67" si="0">IF(AND(D4&lt;=C4*1.2,D4&gt;=C4*0.8),1,0)</f>
        <v>0</v>
      </c>
      <c r="F4" s="4">
        <f t="shared" ref="F4:F67" si="1">ABS(C4-D4)</f>
        <v>3117</v>
      </c>
      <c r="G4" s="4">
        <f t="shared" ref="G4:G67" si="2">POWER(ABS(C4-D4)/C4,2)</f>
        <v>0.45915354442344053</v>
      </c>
      <c r="H4" s="4">
        <f t="shared" ref="H4:H67" si="3">POWER(F4,2)</f>
        <v>9715689</v>
      </c>
      <c r="I4" s="5">
        <f>SQRT(SUM('r-pi-multi'!$D$3:D4)/COUNTIF($A$3:A4,"&lt;&gt;0"))</f>
        <v>29.436372059070052</v>
      </c>
    </row>
    <row r="5" spans="1:9">
      <c r="A5">
        <v>3</v>
      </c>
      <c r="B5">
        <v>1</v>
      </c>
      <c r="C5">
        <v>4600</v>
      </c>
      <c r="D5">
        <v>1666</v>
      </c>
      <c r="E5" s="4">
        <f t="shared" si="0"/>
        <v>0</v>
      </c>
      <c r="F5" s="4">
        <f t="shared" si="1"/>
        <v>2934</v>
      </c>
      <c r="G5" s="4">
        <f t="shared" si="2"/>
        <v>0.40682211720226846</v>
      </c>
      <c r="H5" s="4">
        <f t="shared" si="3"/>
        <v>8608356</v>
      </c>
      <c r="I5" s="5">
        <f>SQRT(SUM('r-pi-multi'!$D$3:D5)/COUNTIF($A$3:A5,"&lt;&gt;0"))</f>
        <v>33.660065359413672</v>
      </c>
    </row>
    <row r="6" spans="1:9">
      <c r="A6">
        <v>4</v>
      </c>
      <c r="B6">
        <v>1</v>
      </c>
      <c r="C6">
        <v>4600</v>
      </c>
      <c r="D6">
        <v>1670</v>
      </c>
      <c r="E6" s="4">
        <f t="shared" si="0"/>
        <v>0</v>
      </c>
      <c r="F6" s="4">
        <f t="shared" si="1"/>
        <v>2930</v>
      </c>
      <c r="G6" s="4">
        <f t="shared" si="2"/>
        <v>0.4057136105860113</v>
      </c>
      <c r="H6" s="4">
        <f t="shared" si="3"/>
        <v>8584900</v>
      </c>
      <c r="I6" s="5">
        <f>SQRT(SUM('r-pi-multi'!$D$3:D6)/COUNTIF($A$3:A6,"&lt;&gt;0"))</f>
        <v>35.598455022655124</v>
      </c>
    </row>
    <row r="7" spans="1:9">
      <c r="A7">
        <v>5</v>
      </c>
      <c r="B7">
        <v>1</v>
      </c>
      <c r="C7">
        <v>4600</v>
      </c>
      <c r="D7">
        <v>1669</v>
      </c>
      <c r="E7" s="4">
        <f t="shared" si="0"/>
        <v>0</v>
      </c>
      <c r="F7" s="4">
        <f t="shared" si="1"/>
        <v>2931</v>
      </c>
      <c r="G7" s="4">
        <f t="shared" si="2"/>
        <v>0.40599059546313798</v>
      </c>
      <c r="H7" s="4">
        <f t="shared" si="3"/>
        <v>8590761</v>
      </c>
      <c r="I7" s="5">
        <f>SQRT(SUM('r-pi-multi'!$D$3:D7)/COUNTIF($A$3:A7,"&lt;&gt;0"))</f>
        <v>36.709671750098771</v>
      </c>
    </row>
    <row r="8" spans="1:9">
      <c r="A8">
        <v>6</v>
      </c>
      <c r="B8">
        <v>2</v>
      </c>
      <c r="C8">
        <v>4600</v>
      </c>
      <c r="D8">
        <v>2898</v>
      </c>
      <c r="E8" s="4">
        <f t="shared" si="0"/>
        <v>0</v>
      </c>
      <c r="F8" s="4">
        <f t="shared" si="1"/>
        <v>1702</v>
      </c>
      <c r="G8" s="4">
        <f t="shared" si="2"/>
        <v>0.13689999999999999</v>
      </c>
      <c r="H8" s="4">
        <f t="shared" si="3"/>
        <v>2896804</v>
      </c>
      <c r="I8" s="5">
        <f>SQRT(SUM('r-pi-multi'!$D$3:D8)/COUNTIF($A$3:A8,"&lt;&gt;0"))</f>
        <v>40.074929819027759</v>
      </c>
    </row>
    <row r="9" spans="1:9">
      <c r="A9">
        <v>7</v>
      </c>
      <c r="B9">
        <v>2</v>
      </c>
      <c r="C9">
        <v>4600</v>
      </c>
      <c r="D9">
        <v>2910</v>
      </c>
      <c r="E9" s="4">
        <f t="shared" si="0"/>
        <v>0</v>
      </c>
      <c r="F9" s="4">
        <f t="shared" si="1"/>
        <v>1690</v>
      </c>
      <c r="G9" s="4">
        <f t="shared" si="2"/>
        <v>0.13497637051039696</v>
      </c>
      <c r="H9" s="4">
        <f t="shared" si="3"/>
        <v>2856100</v>
      </c>
      <c r="I9" s="5">
        <f>SQRT(SUM('r-pi-multi'!$D$3:D9)/COUNTIF($A$3:A9,"&lt;&gt;0"))</f>
        <v>42.335395525325076</v>
      </c>
    </row>
    <row r="10" spans="1:9">
      <c r="A10">
        <v>8</v>
      </c>
      <c r="B10">
        <v>2</v>
      </c>
      <c r="C10">
        <v>4600</v>
      </c>
      <c r="D10">
        <v>2858</v>
      </c>
      <c r="E10" s="4">
        <f t="shared" si="0"/>
        <v>0</v>
      </c>
      <c r="F10" s="4">
        <f t="shared" si="1"/>
        <v>1742</v>
      </c>
      <c r="G10" s="4">
        <f t="shared" si="2"/>
        <v>0.14341039697542532</v>
      </c>
      <c r="H10" s="4">
        <f t="shared" si="3"/>
        <v>3034564</v>
      </c>
      <c r="I10" s="5">
        <f>SQRT(SUM('r-pi-multi'!$D$3:D10)/COUNTIF($A$3:A10,"&lt;&gt;0"))</f>
        <v>43.880519595829767</v>
      </c>
    </row>
    <row r="11" spans="1:9">
      <c r="A11">
        <v>9</v>
      </c>
      <c r="B11">
        <v>2</v>
      </c>
      <c r="C11">
        <v>4600</v>
      </c>
      <c r="D11">
        <v>2931</v>
      </c>
      <c r="E11" s="4">
        <f t="shared" si="0"/>
        <v>0</v>
      </c>
      <c r="F11" s="4">
        <f t="shared" si="1"/>
        <v>1669</v>
      </c>
      <c r="G11" s="4">
        <f t="shared" si="2"/>
        <v>0.13164276937618147</v>
      </c>
      <c r="H11" s="4">
        <f t="shared" si="3"/>
        <v>2785561</v>
      </c>
      <c r="I11" s="5">
        <f>SQRT(SUM('r-pi-multi'!$D$3:D11)/COUNTIF($A$3:A11,"&lt;&gt;0"))</f>
        <v>45.135598170648208</v>
      </c>
    </row>
    <row r="12" spans="1:9">
      <c r="A12">
        <v>10</v>
      </c>
      <c r="B12">
        <v>2</v>
      </c>
      <c r="C12">
        <v>4600</v>
      </c>
      <c r="D12">
        <v>2889</v>
      </c>
      <c r="E12" s="4">
        <f t="shared" si="0"/>
        <v>0</v>
      </c>
      <c r="F12" s="4">
        <f t="shared" si="1"/>
        <v>1711</v>
      </c>
      <c r="G12" s="4">
        <f t="shared" si="2"/>
        <v>0.13835165406427219</v>
      </c>
      <c r="H12" s="4">
        <f t="shared" si="3"/>
        <v>2927521</v>
      </c>
      <c r="I12" s="5">
        <f>SQRT(SUM('r-pi-multi'!$D$3:D12)/COUNTIF($A$3:A12,"&lt;&gt;0"))</f>
        <v>46.069512695490928</v>
      </c>
    </row>
    <row r="13" spans="1:9">
      <c r="A13">
        <v>11</v>
      </c>
      <c r="B13">
        <v>2</v>
      </c>
      <c r="C13">
        <v>4600</v>
      </c>
      <c r="D13">
        <v>2872</v>
      </c>
      <c r="E13" s="4">
        <f t="shared" si="0"/>
        <v>0</v>
      </c>
      <c r="F13" s="4">
        <f t="shared" si="1"/>
        <v>1728</v>
      </c>
      <c r="G13" s="4">
        <f t="shared" si="2"/>
        <v>0.14111455576559545</v>
      </c>
      <c r="H13" s="4">
        <f t="shared" si="3"/>
        <v>2985984</v>
      </c>
      <c r="I13" s="5">
        <f>SQRT(SUM('r-pi-multi'!$D$3:D13)/COUNTIF($A$3:A13,"&lt;&gt;0"))</f>
        <v>46.803263289491412</v>
      </c>
    </row>
    <row r="14" spans="1:9">
      <c r="A14">
        <v>12</v>
      </c>
      <c r="B14">
        <v>2</v>
      </c>
      <c r="C14">
        <v>4600</v>
      </c>
      <c r="D14">
        <v>2895</v>
      </c>
      <c r="E14" s="4">
        <f t="shared" si="0"/>
        <v>0</v>
      </c>
      <c r="F14" s="4">
        <f t="shared" si="1"/>
        <v>1705</v>
      </c>
      <c r="G14" s="4">
        <f t="shared" si="2"/>
        <v>0.13738303402646504</v>
      </c>
      <c r="H14" s="4">
        <f t="shared" si="3"/>
        <v>2907025</v>
      </c>
      <c r="I14" s="5">
        <f>SQRT(SUM('r-pi-multi'!$D$3:D14)/COUNTIF($A$3:A14,"&lt;&gt;0"))</f>
        <v>47.4262585494576</v>
      </c>
    </row>
    <row r="15" spans="1:9">
      <c r="A15">
        <v>13</v>
      </c>
      <c r="B15">
        <v>3</v>
      </c>
      <c r="C15">
        <v>4600</v>
      </c>
      <c r="D15">
        <v>2658</v>
      </c>
      <c r="E15" s="4">
        <f t="shared" si="0"/>
        <v>0</v>
      </c>
      <c r="F15" s="4">
        <f t="shared" si="1"/>
        <v>1942</v>
      </c>
      <c r="G15" s="4">
        <f t="shared" si="2"/>
        <v>0.17823081285444237</v>
      </c>
      <c r="H15" s="4">
        <f t="shared" si="3"/>
        <v>3771364</v>
      </c>
      <c r="I15" s="5">
        <f>SQRT(SUM('r-pi-multi'!$D$3:D15)/COUNTIF($A$3:A15,"&lt;&gt;0"))</f>
        <v>47.756594389595115</v>
      </c>
    </row>
    <row r="16" spans="1:9">
      <c r="A16">
        <v>14</v>
      </c>
      <c r="B16">
        <v>3</v>
      </c>
      <c r="C16">
        <v>4600</v>
      </c>
      <c r="D16">
        <v>2839</v>
      </c>
      <c r="E16" s="4">
        <f t="shared" si="0"/>
        <v>0</v>
      </c>
      <c r="F16" s="4">
        <f t="shared" si="1"/>
        <v>1761</v>
      </c>
      <c r="G16" s="4">
        <f t="shared" si="2"/>
        <v>0.14655581285444236</v>
      </c>
      <c r="H16" s="4">
        <f t="shared" si="3"/>
        <v>3101121</v>
      </c>
      <c r="I16" s="5">
        <f>SQRT(SUM('r-pi-multi'!$D$3:D16)/COUNTIF($A$3:A16,"&lt;&gt;0"))</f>
        <v>48.172309769943858</v>
      </c>
    </row>
    <row r="17" spans="1:9">
      <c r="A17">
        <v>15</v>
      </c>
      <c r="B17">
        <v>3</v>
      </c>
      <c r="C17">
        <v>4600</v>
      </c>
      <c r="D17">
        <v>2977</v>
      </c>
      <c r="E17" s="4">
        <f t="shared" si="0"/>
        <v>0</v>
      </c>
      <c r="F17" s="4">
        <f t="shared" si="1"/>
        <v>1623</v>
      </c>
      <c r="G17" s="4">
        <f t="shared" si="2"/>
        <v>0.12448624763705103</v>
      </c>
      <c r="H17" s="4">
        <f t="shared" si="3"/>
        <v>2634129</v>
      </c>
      <c r="I17" s="5">
        <f>SQRT(SUM('r-pi-multi'!$D$3:D17)/COUNTIF($A$3:A17,"&lt;&gt;0"))</f>
        <v>48.624410879036198</v>
      </c>
    </row>
    <row r="18" spans="1:9">
      <c r="A18">
        <v>16</v>
      </c>
      <c r="B18">
        <v>3</v>
      </c>
      <c r="C18">
        <v>4600</v>
      </c>
      <c r="D18">
        <v>2996</v>
      </c>
      <c r="E18" s="4">
        <f t="shared" si="0"/>
        <v>0</v>
      </c>
      <c r="F18" s="4">
        <f t="shared" si="1"/>
        <v>1604</v>
      </c>
      <c r="G18" s="4">
        <f t="shared" si="2"/>
        <v>0.12158865784499052</v>
      </c>
      <c r="H18" s="4">
        <f t="shared" si="3"/>
        <v>2572816</v>
      </c>
      <c r="I18" s="5">
        <f>SQRT(SUM('r-pi-multi'!$D$3:D18)/COUNTIF($A$3:A18,"&lt;&gt;0"))</f>
        <v>49.028690580108297</v>
      </c>
    </row>
    <row r="19" spans="1:9">
      <c r="A19">
        <v>17</v>
      </c>
      <c r="B19">
        <v>3</v>
      </c>
      <c r="C19">
        <v>4600</v>
      </c>
      <c r="D19">
        <v>2945</v>
      </c>
      <c r="E19" s="4">
        <f t="shared" si="0"/>
        <v>0</v>
      </c>
      <c r="F19" s="4">
        <f t="shared" si="1"/>
        <v>1655</v>
      </c>
      <c r="G19" s="4">
        <f t="shared" si="2"/>
        <v>0.12944352551984875</v>
      </c>
      <c r="H19" s="4">
        <f t="shared" si="3"/>
        <v>2739025</v>
      </c>
      <c r="I19" s="5">
        <f>SQRT(SUM('r-pi-multi'!$D$3:D19)/COUNTIF($A$3:A19,"&lt;&gt;0"))</f>
        <v>49.352275112942152</v>
      </c>
    </row>
    <row r="20" spans="1:9">
      <c r="A20">
        <v>18</v>
      </c>
      <c r="B20">
        <v>4</v>
      </c>
      <c r="C20">
        <v>4600</v>
      </c>
      <c r="D20">
        <v>4878</v>
      </c>
      <c r="E20" s="4">
        <f t="shared" si="0"/>
        <v>1</v>
      </c>
      <c r="F20" s="4">
        <f t="shared" si="1"/>
        <v>278</v>
      </c>
      <c r="G20" s="4">
        <f t="shared" si="2"/>
        <v>3.652362948960302E-3</v>
      </c>
      <c r="H20" s="4">
        <f t="shared" si="3"/>
        <v>77284</v>
      </c>
      <c r="I20" s="5">
        <f>SQRT(SUM('r-pi-multi'!$D$3:D20)/COUNTIF($A$3:A20,"&lt;&gt;0"))</f>
        <v>50.708316214732804</v>
      </c>
    </row>
    <row r="21" spans="1:9">
      <c r="A21">
        <v>19</v>
      </c>
      <c r="B21">
        <v>3</v>
      </c>
      <c r="C21">
        <v>4600</v>
      </c>
      <c r="D21">
        <v>2968</v>
      </c>
      <c r="E21" s="4">
        <f t="shared" si="0"/>
        <v>0</v>
      </c>
      <c r="F21" s="4">
        <f t="shared" si="1"/>
        <v>1632</v>
      </c>
      <c r="G21" s="4">
        <f t="shared" si="2"/>
        <v>0.12587069943289222</v>
      </c>
      <c r="H21" s="4">
        <f t="shared" si="3"/>
        <v>2663424</v>
      </c>
      <c r="I21" s="5">
        <f>SQRT(SUM('r-pi-multi'!$D$3:D21)/COUNTIF($A$3:A21,"&lt;&gt;0"))</f>
        <v>50.913755767138113</v>
      </c>
    </row>
    <row r="22" spans="1:9">
      <c r="A22">
        <v>20</v>
      </c>
      <c r="B22">
        <v>4</v>
      </c>
      <c r="C22">
        <v>4600</v>
      </c>
      <c r="D22">
        <v>4840</v>
      </c>
      <c r="E22" s="4">
        <f t="shared" si="0"/>
        <v>1</v>
      </c>
      <c r="F22" s="4">
        <f t="shared" si="1"/>
        <v>240</v>
      </c>
      <c r="G22" s="4">
        <f t="shared" si="2"/>
        <v>2.7221172022684308E-3</v>
      </c>
      <c r="H22" s="4">
        <f t="shared" si="3"/>
        <v>57600</v>
      </c>
      <c r="I22" s="5">
        <f>SQRT(SUM('r-pi-multi'!$D$3:D22)/COUNTIF($A$3:A22,"&lt;&gt;0"))</f>
        <v>52.005768910766044</v>
      </c>
    </row>
    <row r="23" spans="1:9">
      <c r="A23">
        <v>21</v>
      </c>
      <c r="B23">
        <v>3</v>
      </c>
      <c r="C23">
        <v>4600</v>
      </c>
      <c r="D23">
        <v>2638</v>
      </c>
      <c r="E23" s="4">
        <f t="shared" si="0"/>
        <v>0</v>
      </c>
      <c r="F23" s="4">
        <f t="shared" si="1"/>
        <v>1962</v>
      </c>
      <c r="G23" s="4">
        <f t="shared" si="2"/>
        <v>0.18192079395085067</v>
      </c>
      <c r="H23" s="4">
        <f t="shared" si="3"/>
        <v>3849444</v>
      </c>
      <c r="I23" s="5">
        <f>SQRT(SUM('r-pi-multi'!$D$3:D23)/COUNTIF($A$3:A23,"&lt;&gt;0"))</f>
        <v>51.975268844216394</v>
      </c>
    </row>
    <row r="24" spans="1:9">
      <c r="A24">
        <v>22</v>
      </c>
      <c r="B24">
        <v>4</v>
      </c>
      <c r="C24">
        <v>4600</v>
      </c>
      <c r="D24">
        <v>4786</v>
      </c>
      <c r="E24" s="4">
        <f t="shared" si="0"/>
        <v>1</v>
      </c>
      <c r="F24" s="4">
        <f t="shared" si="1"/>
        <v>186</v>
      </c>
      <c r="G24" s="4">
        <f t="shared" si="2"/>
        <v>1.6349716446124763E-3</v>
      </c>
      <c r="H24" s="4">
        <f t="shared" si="3"/>
        <v>34596</v>
      </c>
      <c r="I24" s="5">
        <f>SQRT(SUM('r-pi-multi'!$D$3:D24)/COUNTIF($A$3:A24,"&lt;&gt;0"))</f>
        <v>52.878935486465856</v>
      </c>
    </row>
    <row r="25" spans="1:9">
      <c r="A25">
        <v>23</v>
      </c>
      <c r="B25">
        <v>3</v>
      </c>
      <c r="C25">
        <v>4600</v>
      </c>
      <c r="D25">
        <v>2981</v>
      </c>
      <c r="E25" s="4">
        <f t="shared" si="0"/>
        <v>0</v>
      </c>
      <c r="F25" s="4">
        <f t="shared" si="1"/>
        <v>1619</v>
      </c>
      <c r="G25" s="4">
        <f t="shared" si="2"/>
        <v>0.123873393194707</v>
      </c>
      <c r="H25" s="4">
        <f t="shared" si="3"/>
        <v>2621161</v>
      </c>
      <c r="I25" s="5">
        <f>SQRT(SUM('r-pi-multi'!$D$3:D25)/COUNTIF($A$3:A25,"&lt;&gt;0"))</f>
        <v>52.954861828772131</v>
      </c>
    </row>
    <row r="26" spans="1:9">
      <c r="A26">
        <v>24</v>
      </c>
      <c r="B26">
        <v>4</v>
      </c>
      <c r="C26">
        <v>4600</v>
      </c>
      <c r="D26">
        <v>4806</v>
      </c>
      <c r="E26" s="4">
        <f t="shared" si="0"/>
        <v>1</v>
      </c>
      <c r="F26" s="4">
        <f t="shared" si="1"/>
        <v>206</v>
      </c>
      <c r="G26" s="4">
        <f t="shared" si="2"/>
        <v>2.0054820415879018E-3</v>
      </c>
      <c r="H26" s="4">
        <f t="shared" si="3"/>
        <v>42436</v>
      </c>
      <c r="I26" s="5">
        <f>SQRT(SUM('r-pi-multi'!$D$3:D26)/COUNTIF($A$3:A26,"&lt;&gt;0"))</f>
        <v>53.736626243187246</v>
      </c>
    </row>
    <row r="27" spans="1:9">
      <c r="A27">
        <v>25</v>
      </c>
      <c r="B27">
        <v>4</v>
      </c>
      <c r="C27">
        <v>4600</v>
      </c>
      <c r="D27">
        <v>4652</v>
      </c>
      <c r="E27" s="4">
        <f t="shared" si="0"/>
        <v>1</v>
      </c>
      <c r="F27" s="4">
        <f t="shared" si="1"/>
        <v>52</v>
      </c>
      <c r="G27" s="4">
        <f t="shared" si="2"/>
        <v>1.2778827977315692E-4</v>
      </c>
      <c r="H27" s="4">
        <f t="shared" si="3"/>
        <v>2704</v>
      </c>
      <c r="I27" s="5">
        <f>SQRT(SUM('r-pi-multi'!$D$3:D27)/COUNTIF($A$3:A27,"&lt;&gt;0"))</f>
        <v>54.389337190298612</v>
      </c>
    </row>
    <row r="28" spans="1:9">
      <c r="A28">
        <v>26</v>
      </c>
      <c r="B28">
        <v>4</v>
      </c>
      <c r="C28">
        <v>4600</v>
      </c>
      <c r="D28">
        <v>4638</v>
      </c>
      <c r="E28" s="4">
        <f t="shared" si="0"/>
        <v>1</v>
      </c>
      <c r="F28" s="4">
        <f t="shared" si="1"/>
        <v>38</v>
      </c>
      <c r="G28" s="4">
        <f t="shared" si="2"/>
        <v>6.8241965973534966E-5</v>
      </c>
      <c r="H28" s="4">
        <f t="shared" si="3"/>
        <v>1444</v>
      </c>
      <c r="I28" s="5">
        <f>SQRT(SUM('r-pi-multi'!$D$3:D28)/COUNTIF($A$3:A28,"&lt;&gt;0"))</f>
        <v>54.980066317781869</v>
      </c>
    </row>
    <row r="29" spans="1:9">
      <c r="A29">
        <v>27</v>
      </c>
      <c r="B29">
        <v>4</v>
      </c>
      <c r="C29">
        <v>4600</v>
      </c>
      <c r="D29">
        <v>4646</v>
      </c>
      <c r="E29" s="4">
        <f t="shared" si="0"/>
        <v>1</v>
      </c>
      <c r="F29" s="4">
        <f t="shared" si="1"/>
        <v>46</v>
      </c>
      <c r="G29" s="4">
        <f t="shared" si="2"/>
        <v>1E-4</v>
      </c>
      <c r="H29" s="4">
        <f t="shared" si="3"/>
        <v>2116</v>
      </c>
      <c r="I29" s="5">
        <f>SQRT(SUM('r-pi-multi'!$D$3:D29)/COUNTIF($A$3:A29,"&lt;&gt;0"))</f>
        <v>55.524102207293062</v>
      </c>
    </row>
    <row r="30" spans="1:9">
      <c r="A30">
        <v>28</v>
      </c>
      <c r="B30">
        <v>4</v>
      </c>
      <c r="C30">
        <v>4600</v>
      </c>
      <c r="D30">
        <v>4786</v>
      </c>
      <c r="E30" s="4">
        <f t="shared" si="0"/>
        <v>1</v>
      </c>
      <c r="F30" s="4">
        <f t="shared" si="1"/>
        <v>186</v>
      </c>
      <c r="G30" s="4">
        <f t="shared" si="2"/>
        <v>1.6349716446124763E-3</v>
      </c>
      <c r="H30" s="4">
        <f t="shared" si="3"/>
        <v>34596</v>
      </c>
      <c r="I30" s="5">
        <f>SQRT(SUM('r-pi-multi'!$D$3:D30)/COUNTIF($A$3:A30,"&lt;&gt;0"))</f>
        <v>56.069153730014513</v>
      </c>
    </row>
    <row r="31" spans="1:9">
      <c r="A31">
        <v>29</v>
      </c>
      <c r="B31">
        <v>4</v>
      </c>
      <c r="C31">
        <v>4600</v>
      </c>
      <c r="D31">
        <v>4818</v>
      </c>
      <c r="E31" s="4">
        <f t="shared" si="0"/>
        <v>1</v>
      </c>
      <c r="F31" s="4">
        <f t="shared" si="1"/>
        <v>218</v>
      </c>
      <c r="G31" s="4">
        <f t="shared" si="2"/>
        <v>2.2459357277882798E-3</v>
      </c>
      <c r="H31" s="4">
        <f t="shared" si="3"/>
        <v>47524</v>
      </c>
      <c r="I31" s="5">
        <f>SQRT(SUM('r-pi-multi'!$D$3:D31)/COUNTIF($A$3:A31,"&lt;&gt;0"))</f>
        <v>56.581646835530421</v>
      </c>
    </row>
    <row r="32" spans="1:9">
      <c r="A32">
        <v>30</v>
      </c>
      <c r="B32">
        <v>4</v>
      </c>
      <c r="C32">
        <v>4600</v>
      </c>
      <c r="D32">
        <v>4768</v>
      </c>
      <c r="E32" s="4">
        <f t="shared" si="0"/>
        <v>1</v>
      </c>
      <c r="F32" s="4">
        <f t="shared" si="1"/>
        <v>168</v>
      </c>
      <c r="G32" s="4">
        <f t="shared" si="2"/>
        <v>1.3338374291115315E-3</v>
      </c>
      <c r="H32" s="4">
        <f t="shared" si="3"/>
        <v>28224</v>
      </c>
      <c r="I32" s="5">
        <f>SQRT(SUM('r-pi-multi'!$D$3:D32)/COUNTIF($A$3:A32,"&lt;&gt;0"))</f>
        <v>57.041213170829387</v>
      </c>
    </row>
    <row r="33" spans="1:9">
      <c r="A33">
        <v>31</v>
      </c>
      <c r="B33">
        <v>4</v>
      </c>
      <c r="C33">
        <v>4600</v>
      </c>
      <c r="D33">
        <v>4612</v>
      </c>
      <c r="E33" s="4">
        <f t="shared" si="0"/>
        <v>1</v>
      </c>
      <c r="F33" s="4">
        <f t="shared" si="1"/>
        <v>12</v>
      </c>
      <c r="G33" s="4">
        <f t="shared" si="2"/>
        <v>6.8052930056710786E-6</v>
      </c>
      <c r="H33" s="4">
        <f t="shared" si="3"/>
        <v>144</v>
      </c>
      <c r="I33" s="5">
        <f>SQRT(SUM('r-pi-multi'!$D$3:D33)/COUNTIF($A$3:A33,"&lt;&gt;0"))</f>
        <v>57.424003073908544</v>
      </c>
    </row>
    <row r="34" spans="1:9">
      <c r="A34">
        <v>32</v>
      </c>
      <c r="B34">
        <v>4</v>
      </c>
      <c r="C34">
        <v>4600</v>
      </c>
      <c r="D34">
        <v>4768</v>
      </c>
      <c r="E34" s="4">
        <f t="shared" si="0"/>
        <v>1</v>
      </c>
      <c r="F34" s="4">
        <f t="shared" si="1"/>
        <v>168</v>
      </c>
      <c r="G34" s="4">
        <f t="shared" si="2"/>
        <v>1.3338374291115315E-3</v>
      </c>
      <c r="H34" s="4">
        <f t="shared" si="3"/>
        <v>28224</v>
      </c>
      <c r="I34" s="5">
        <f>SQRT(SUM('r-pi-multi'!$D$3:D34)/COUNTIF($A$3:A34,"&lt;&gt;0"))</f>
        <v>57.822735580392596</v>
      </c>
    </row>
    <row r="35" spans="1:9">
      <c r="A35">
        <v>33</v>
      </c>
      <c r="B35">
        <v>3</v>
      </c>
      <c r="C35">
        <v>4600</v>
      </c>
      <c r="D35">
        <v>2948</v>
      </c>
      <c r="E35" s="4">
        <f t="shared" si="0"/>
        <v>0</v>
      </c>
      <c r="F35" s="4">
        <f t="shared" si="1"/>
        <v>1652</v>
      </c>
      <c r="G35" s="4">
        <f t="shared" si="2"/>
        <v>0.12897466918714556</v>
      </c>
      <c r="H35" s="4">
        <f t="shared" si="3"/>
        <v>2729104</v>
      </c>
      <c r="I35" s="5">
        <f>SQRT(SUM('r-pi-multi'!$D$3:D35)/COUNTIF($A$3:A35,"&lt;&gt;0"))</f>
        <v>57.71901635063481</v>
      </c>
    </row>
    <row r="36" spans="1:9">
      <c r="A36">
        <v>34</v>
      </c>
      <c r="B36">
        <v>4</v>
      </c>
      <c r="C36">
        <v>4600</v>
      </c>
      <c r="D36">
        <v>4781</v>
      </c>
      <c r="E36" s="4">
        <f t="shared" si="0"/>
        <v>1</v>
      </c>
      <c r="F36" s="4">
        <f t="shared" si="1"/>
        <v>181</v>
      </c>
      <c r="G36" s="4">
        <f t="shared" si="2"/>
        <v>1.548251417769376E-3</v>
      </c>
      <c r="H36" s="4">
        <f t="shared" si="3"/>
        <v>32761</v>
      </c>
      <c r="I36" s="5">
        <f>SQRT(SUM('r-pi-multi'!$D$3:D36)/COUNTIF($A$3:A36,"&lt;&gt;0"))</f>
        <v>58.087155611708376</v>
      </c>
    </row>
    <row r="37" spans="1:9">
      <c r="A37">
        <v>35</v>
      </c>
      <c r="B37">
        <v>4</v>
      </c>
      <c r="C37">
        <v>4600</v>
      </c>
      <c r="D37">
        <v>4718</v>
      </c>
      <c r="E37" s="4">
        <f t="shared" si="0"/>
        <v>1</v>
      </c>
      <c r="F37" s="4">
        <f t="shared" si="1"/>
        <v>118</v>
      </c>
      <c r="G37" s="4">
        <f t="shared" si="2"/>
        <v>6.5803402646502835E-4</v>
      </c>
      <c r="H37" s="4">
        <f t="shared" si="3"/>
        <v>13924</v>
      </c>
      <c r="I37" s="5">
        <f>SQRT(SUM('r-pi-multi'!$D$3:D37)/COUNTIF($A$3:A37,"&lt;&gt;0"))</f>
        <v>58.416729502038073</v>
      </c>
    </row>
    <row r="38" spans="1:9">
      <c r="A38">
        <v>36</v>
      </c>
      <c r="B38">
        <v>4</v>
      </c>
      <c r="C38">
        <v>4600</v>
      </c>
      <c r="D38">
        <v>4688</v>
      </c>
      <c r="E38" s="4">
        <f t="shared" si="0"/>
        <v>1</v>
      </c>
      <c r="F38" s="4">
        <f t="shared" si="1"/>
        <v>88</v>
      </c>
      <c r="G38" s="4">
        <f t="shared" si="2"/>
        <v>3.6597353497164458E-4</v>
      </c>
      <c r="H38" s="4">
        <f t="shared" si="3"/>
        <v>7744</v>
      </c>
      <c r="I38" s="5">
        <f>SQRT(SUM('r-pi-multi'!$D$3:D38)/COUNTIF($A$3:A38,"&lt;&gt;0"))</f>
        <v>58.719199964274416</v>
      </c>
    </row>
    <row r="39" spans="1:9">
      <c r="A39">
        <v>37</v>
      </c>
      <c r="B39">
        <v>4</v>
      </c>
      <c r="C39">
        <v>4600</v>
      </c>
      <c r="D39">
        <v>4707</v>
      </c>
      <c r="E39" s="4">
        <f t="shared" si="0"/>
        <v>1</v>
      </c>
      <c r="F39" s="4">
        <f t="shared" si="1"/>
        <v>107</v>
      </c>
      <c r="G39" s="4">
        <f t="shared" si="2"/>
        <v>5.4106805293005662E-4</v>
      </c>
      <c r="H39" s="4">
        <f t="shared" si="3"/>
        <v>11449</v>
      </c>
      <c r="I39" s="5">
        <f>SQRT(SUM('r-pi-multi'!$D$3:D39)/COUNTIF($A$3:A39,"&lt;&gt;0"))</f>
        <v>59.008244957573282</v>
      </c>
    </row>
    <row r="40" spans="1:9">
      <c r="A40">
        <v>38</v>
      </c>
      <c r="B40">
        <v>4</v>
      </c>
      <c r="C40">
        <v>4600</v>
      </c>
      <c r="D40">
        <v>4705</v>
      </c>
      <c r="E40" s="4">
        <f t="shared" si="0"/>
        <v>1</v>
      </c>
      <c r="F40" s="4">
        <f t="shared" si="1"/>
        <v>105</v>
      </c>
      <c r="G40" s="4">
        <f t="shared" si="2"/>
        <v>5.2103024574669189E-4</v>
      </c>
      <c r="H40" s="4">
        <f t="shared" si="3"/>
        <v>11025</v>
      </c>
      <c r="I40" s="5">
        <f>SQRT(SUM('r-pi-multi'!$D$3:D40)/COUNTIF($A$3:A40,"&lt;&gt;0"))</f>
        <v>59.280333119314051</v>
      </c>
    </row>
    <row r="41" spans="1:9">
      <c r="A41">
        <v>39</v>
      </c>
      <c r="B41">
        <v>4</v>
      </c>
      <c r="C41">
        <v>4600</v>
      </c>
      <c r="D41">
        <v>4841</v>
      </c>
      <c r="E41" s="4">
        <f t="shared" si="0"/>
        <v>1</v>
      </c>
      <c r="F41" s="4">
        <f t="shared" si="1"/>
        <v>241</v>
      </c>
      <c r="G41" s="4">
        <f t="shared" si="2"/>
        <v>2.7448487712665405E-3</v>
      </c>
      <c r="H41" s="4">
        <f t="shared" si="3"/>
        <v>58081</v>
      </c>
      <c r="I41" s="5">
        <f>SQRT(SUM('r-pi-multi'!$D$3:D41)/COUNTIF($A$3:A41,"&lt;&gt;0"))</f>
        <v>59.566597075705836</v>
      </c>
    </row>
    <row r="42" spans="1:9">
      <c r="A42">
        <v>40</v>
      </c>
      <c r="B42">
        <v>4</v>
      </c>
      <c r="C42">
        <v>4600</v>
      </c>
      <c r="D42">
        <v>4729</v>
      </c>
      <c r="E42" s="4">
        <f t="shared" si="0"/>
        <v>1</v>
      </c>
      <c r="F42" s="4">
        <f t="shared" si="1"/>
        <v>129</v>
      </c>
      <c r="G42" s="4">
        <f t="shared" si="2"/>
        <v>7.8643667296786389E-4</v>
      </c>
      <c r="H42" s="4">
        <f t="shared" si="3"/>
        <v>16641</v>
      </c>
      <c r="I42" s="5">
        <f>SQRT(SUM('r-pi-multi'!$D$3:D42)/COUNTIF($A$3:A42,"&lt;&gt;0"))</f>
        <v>59.813877988306359</v>
      </c>
    </row>
    <row r="43" spans="1:9">
      <c r="A43">
        <v>41</v>
      </c>
      <c r="B43">
        <v>4</v>
      </c>
      <c r="C43">
        <v>4600</v>
      </c>
      <c r="D43">
        <v>4764</v>
      </c>
      <c r="E43" s="4">
        <f t="shared" si="0"/>
        <v>1</v>
      </c>
      <c r="F43" s="4">
        <f t="shared" si="1"/>
        <v>164</v>
      </c>
      <c r="G43" s="4">
        <f t="shared" si="2"/>
        <v>1.2710775047258978E-3</v>
      </c>
      <c r="H43" s="4">
        <f t="shared" si="3"/>
        <v>26896</v>
      </c>
      <c r="I43" s="5">
        <f>SQRT(SUM('r-pi-multi'!$D$3:D43)/COUNTIF($A$3:A43,"&lt;&gt;0"))</f>
        <v>60.055259106438491</v>
      </c>
    </row>
    <row r="44" spans="1:9">
      <c r="A44">
        <v>42</v>
      </c>
      <c r="B44">
        <v>4</v>
      </c>
      <c r="C44">
        <v>4600</v>
      </c>
      <c r="D44">
        <v>4809</v>
      </c>
      <c r="E44" s="4">
        <f t="shared" si="0"/>
        <v>1</v>
      </c>
      <c r="F44" s="4">
        <f t="shared" si="1"/>
        <v>209</v>
      </c>
      <c r="G44" s="4">
        <f t="shared" si="2"/>
        <v>2.0643194706994328E-3</v>
      </c>
      <c r="H44" s="4">
        <f t="shared" si="3"/>
        <v>43681</v>
      </c>
      <c r="I44" s="5">
        <f>SQRT(SUM('r-pi-multi'!$D$3:D44)/COUNTIF($A$3:A44,"&lt;&gt;0"))</f>
        <v>60.29313314766371</v>
      </c>
    </row>
    <row r="45" spans="1:9">
      <c r="A45">
        <v>43</v>
      </c>
      <c r="B45">
        <v>4</v>
      </c>
      <c r="C45">
        <v>4600</v>
      </c>
      <c r="D45">
        <v>4764</v>
      </c>
      <c r="E45" s="4">
        <f t="shared" si="0"/>
        <v>1</v>
      </c>
      <c r="F45" s="4">
        <f t="shared" si="1"/>
        <v>164</v>
      </c>
      <c r="G45" s="4">
        <f t="shared" si="2"/>
        <v>1.2710775047258978E-3</v>
      </c>
      <c r="H45" s="4">
        <f t="shared" si="3"/>
        <v>26896</v>
      </c>
      <c r="I45" s="5">
        <f>SQRT(SUM('r-pi-multi'!$D$3:D45)/COUNTIF($A$3:A45,"&lt;&gt;0"))</f>
        <v>60.510425778596009</v>
      </c>
    </row>
    <row r="46" spans="1:9">
      <c r="A46">
        <v>44</v>
      </c>
      <c r="B46">
        <v>4</v>
      </c>
      <c r="C46">
        <v>4600</v>
      </c>
      <c r="D46">
        <v>4735</v>
      </c>
      <c r="E46" s="4">
        <f t="shared" si="0"/>
        <v>1</v>
      </c>
      <c r="F46" s="4">
        <f t="shared" si="1"/>
        <v>135</v>
      </c>
      <c r="G46" s="4">
        <f t="shared" si="2"/>
        <v>8.6129489603024574E-4</v>
      </c>
      <c r="H46" s="4">
        <f t="shared" si="3"/>
        <v>18225</v>
      </c>
      <c r="I46" s="5">
        <f>SQRT(SUM('r-pi-multi'!$D$3:D46)/COUNTIF($A$3:A46,"&lt;&gt;0"))</f>
        <v>60.711688256126521</v>
      </c>
    </row>
    <row r="47" spans="1:9">
      <c r="A47">
        <v>45</v>
      </c>
      <c r="B47">
        <v>3</v>
      </c>
      <c r="C47">
        <v>4600</v>
      </c>
      <c r="D47">
        <v>2917</v>
      </c>
      <c r="E47" s="4">
        <f t="shared" si="0"/>
        <v>0</v>
      </c>
      <c r="F47" s="4">
        <f t="shared" si="1"/>
        <v>1683</v>
      </c>
      <c r="G47" s="4">
        <f t="shared" si="2"/>
        <v>0.13386053875236292</v>
      </c>
      <c r="H47" s="4">
        <f t="shared" si="3"/>
        <v>2832489</v>
      </c>
      <c r="I47" s="5">
        <f>SQRT(SUM('r-pi-multi'!$D$3:D47)/COUNTIF($A$3:A47,"&lt;&gt;0"))</f>
        <v>60.570803381020319</v>
      </c>
    </row>
    <row r="48" spans="1:9">
      <c r="A48">
        <v>46</v>
      </c>
      <c r="B48">
        <v>4</v>
      </c>
      <c r="C48">
        <v>4600</v>
      </c>
      <c r="D48">
        <v>4789</v>
      </c>
      <c r="E48" s="4">
        <f t="shared" si="0"/>
        <v>1</v>
      </c>
      <c r="F48" s="4">
        <f t="shared" si="1"/>
        <v>189</v>
      </c>
      <c r="G48" s="4">
        <f t="shared" si="2"/>
        <v>1.6881379962192817E-3</v>
      </c>
      <c r="H48" s="4">
        <f t="shared" si="3"/>
        <v>35721</v>
      </c>
      <c r="I48" s="5">
        <f>SQRT(SUM('r-pi-multi'!$D$3:D48)/COUNTIF($A$3:A48,"&lt;&gt;0"))</f>
        <v>60.771489310724306</v>
      </c>
    </row>
    <row r="49" spans="1:9">
      <c r="A49">
        <v>47</v>
      </c>
      <c r="B49">
        <v>4</v>
      </c>
      <c r="C49">
        <v>4600</v>
      </c>
      <c r="D49">
        <v>4628</v>
      </c>
      <c r="E49" s="4">
        <f t="shared" si="0"/>
        <v>1</v>
      </c>
      <c r="F49" s="4">
        <f t="shared" si="1"/>
        <v>28</v>
      </c>
      <c r="G49" s="4">
        <f t="shared" si="2"/>
        <v>3.705103969754253E-5</v>
      </c>
      <c r="H49" s="4">
        <f t="shared" si="3"/>
        <v>784</v>
      </c>
      <c r="I49" s="5">
        <f>SQRT(SUM('r-pi-multi'!$D$3:D49)/COUNTIF($A$3:A49,"&lt;&gt;0"))</f>
        <v>60.934914702387452</v>
      </c>
    </row>
    <row r="50" spans="1:9">
      <c r="A50">
        <v>48</v>
      </c>
      <c r="B50">
        <v>4</v>
      </c>
      <c r="C50">
        <v>4600</v>
      </c>
      <c r="D50">
        <v>4625</v>
      </c>
      <c r="E50" s="4">
        <f t="shared" si="0"/>
        <v>1</v>
      </c>
      <c r="F50" s="4">
        <f t="shared" si="1"/>
        <v>25</v>
      </c>
      <c r="G50" s="4">
        <f t="shared" si="2"/>
        <v>2.9536862003780716E-5</v>
      </c>
      <c r="H50" s="4">
        <f t="shared" si="3"/>
        <v>625</v>
      </c>
      <c r="I50" s="5">
        <f>SQRT(SUM('r-pi-multi'!$D$3:D50)/COUNTIF($A$3:A50,"&lt;&gt;0"))</f>
        <v>61.090608934598123</v>
      </c>
    </row>
    <row r="51" spans="1:9">
      <c r="A51">
        <v>49</v>
      </c>
      <c r="B51">
        <v>4</v>
      </c>
      <c r="C51">
        <v>4600</v>
      </c>
      <c r="D51">
        <v>4480</v>
      </c>
      <c r="E51" s="4">
        <f t="shared" si="0"/>
        <v>1</v>
      </c>
      <c r="F51" s="4">
        <f t="shared" si="1"/>
        <v>120</v>
      </c>
      <c r="G51" s="4">
        <f t="shared" si="2"/>
        <v>6.8052930056710769E-4</v>
      </c>
      <c r="H51" s="4">
        <f t="shared" si="3"/>
        <v>14400</v>
      </c>
      <c r="I51" s="5">
        <f>SQRT(SUM('r-pi-multi'!$D$3:D51)/COUNTIF($A$3:A51,"&lt;&gt;0"))</f>
        <v>61.215410891476054</v>
      </c>
    </row>
    <row r="52" spans="1:9">
      <c r="A52">
        <v>50</v>
      </c>
      <c r="B52">
        <v>4</v>
      </c>
      <c r="C52">
        <v>4600</v>
      </c>
      <c r="D52">
        <v>4374</v>
      </c>
      <c r="E52" s="4">
        <f t="shared" si="0"/>
        <v>1</v>
      </c>
      <c r="F52" s="4">
        <f t="shared" si="1"/>
        <v>226</v>
      </c>
      <c r="G52" s="4">
        <f t="shared" si="2"/>
        <v>2.413799621928166E-3</v>
      </c>
      <c r="H52" s="4">
        <f t="shared" si="3"/>
        <v>51076</v>
      </c>
      <c r="I52" s="5">
        <f>SQRT(SUM('r-pi-multi'!$D$3:D52)/COUNTIF($A$3:A52,"&lt;&gt;0"))</f>
        <v>61.317697282269172</v>
      </c>
    </row>
    <row r="53" spans="1:9">
      <c r="A53">
        <v>51</v>
      </c>
      <c r="B53">
        <v>4</v>
      </c>
      <c r="C53">
        <v>4600</v>
      </c>
      <c r="D53">
        <v>4390</v>
      </c>
      <c r="E53" s="4">
        <f t="shared" si="0"/>
        <v>1</v>
      </c>
      <c r="F53" s="4">
        <f t="shared" si="1"/>
        <v>210</v>
      </c>
      <c r="G53" s="4">
        <f t="shared" si="2"/>
        <v>2.0841209829867676E-3</v>
      </c>
      <c r="H53" s="4">
        <f t="shared" si="3"/>
        <v>44100</v>
      </c>
      <c r="I53" s="5">
        <f>SQRT(SUM('r-pi-multi'!$D$3:D53)/COUNTIF($A$3:A53,"&lt;&gt;0"))</f>
        <v>61.418366033903162</v>
      </c>
    </row>
    <row r="54" spans="1:9">
      <c r="A54">
        <v>52</v>
      </c>
      <c r="B54">
        <v>4</v>
      </c>
      <c r="C54">
        <v>4600</v>
      </c>
      <c r="D54">
        <v>3855</v>
      </c>
      <c r="E54" s="4">
        <f t="shared" si="0"/>
        <v>1</v>
      </c>
      <c r="F54" s="4">
        <f t="shared" si="1"/>
        <v>745</v>
      </c>
      <c r="G54" s="4">
        <f t="shared" si="2"/>
        <v>2.6229914933837431E-2</v>
      </c>
      <c r="H54" s="4">
        <f t="shared" si="3"/>
        <v>555025</v>
      </c>
      <c r="I54" s="5">
        <f>SQRT(SUM('r-pi-multi'!$D$3:D54)/COUNTIF($A$3:A54,"&lt;&gt;0"))</f>
        <v>61.431325008562958</v>
      </c>
    </row>
    <row r="55" spans="1:9">
      <c r="A55">
        <v>53</v>
      </c>
      <c r="B55">
        <v>4</v>
      </c>
      <c r="C55">
        <v>4600</v>
      </c>
      <c r="D55">
        <v>4310</v>
      </c>
      <c r="E55" s="4">
        <f t="shared" si="0"/>
        <v>1</v>
      </c>
      <c r="F55" s="4">
        <f t="shared" si="1"/>
        <v>290</v>
      </c>
      <c r="G55" s="4">
        <f t="shared" si="2"/>
        <v>3.9744801512287334E-3</v>
      </c>
      <c r="H55" s="4">
        <f t="shared" si="3"/>
        <v>84100</v>
      </c>
      <c r="I55" s="5">
        <f>SQRT(SUM('r-pi-multi'!$D$3:D55)/COUNTIF($A$3:A55,"&lt;&gt;0"))</f>
        <v>61.513612544719621</v>
      </c>
    </row>
    <row r="56" spans="1:9">
      <c r="A56">
        <v>54</v>
      </c>
      <c r="B56">
        <v>4</v>
      </c>
      <c r="C56">
        <v>4600</v>
      </c>
      <c r="D56">
        <v>3593</v>
      </c>
      <c r="E56" s="4">
        <f t="shared" si="0"/>
        <v>0</v>
      </c>
      <c r="F56" s="4">
        <f t="shared" si="1"/>
        <v>1007</v>
      </c>
      <c r="G56" s="4">
        <f t="shared" si="2"/>
        <v>4.7922920604914938E-2</v>
      </c>
      <c r="H56" s="4">
        <f t="shared" si="3"/>
        <v>1014049</v>
      </c>
      <c r="I56" s="5">
        <f>SQRT(SUM('r-pi-multi'!$D$3:D56)/COUNTIF($A$3:A56,"&lt;&gt;0"))</f>
        <v>61.484867153543469</v>
      </c>
    </row>
    <row r="57" spans="1:9">
      <c r="A57">
        <v>55</v>
      </c>
      <c r="B57">
        <v>4</v>
      </c>
      <c r="C57">
        <v>4600</v>
      </c>
      <c r="D57">
        <v>4283</v>
      </c>
      <c r="E57" s="4">
        <f t="shared" si="0"/>
        <v>1</v>
      </c>
      <c r="F57" s="4">
        <f t="shared" si="1"/>
        <v>317</v>
      </c>
      <c r="G57" s="4">
        <f t="shared" si="2"/>
        <v>4.7490075614366727E-3</v>
      </c>
      <c r="H57" s="4">
        <f t="shared" si="3"/>
        <v>100489</v>
      </c>
      <c r="I57" s="5">
        <f>SQRT(SUM('r-pi-multi'!$D$3:D57)/COUNTIF($A$3:A57,"&lt;&gt;0"))</f>
        <v>61.559136387113753</v>
      </c>
    </row>
    <row r="58" spans="1:9">
      <c r="A58">
        <v>56</v>
      </c>
      <c r="B58">
        <v>4</v>
      </c>
      <c r="C58">
        <v>4600</v>
      </c>
      <c r="D58">
        <v>4286</v>
      </c>
      <c r="E58" s="4">
        <f t="shared" si="0"/>
        <v>1</v>
      </c>
      <c r="F58" s="4">
        <f t="shared" si="1"/>
        <v>314</v>
      </c>
      <c r="G58" s="4">
        <f t="shared" si="2"/>
        <v>4.6595463137996214E-3</v>
      </c>
      <c r="H58" s="4">
        <f t="shared" si="3"/>
        <v>98596</v>
      </c>
      <c r="I58" s="5">
        <f>SQRT(SUM('r-pi-multi'!$D$3:D58)/COUNTIF($A$3:A58,"&lt;&gt;0"))</f>
        <v>61.631103001186482</v>
      </c>
    </row>
    <row r="59" spans="1:9">
      <c r="A59">
        <v>57</v>
      </c>
      <c r="B59">
        <v>4</v>
      </c>
      <c r="C59">
        <v>4600</v>
      </c>
      <c r="D59">
        <v>4291</v>
      </c>
      <c r="E59" s="4">
        <f t="shared" si="0"/>
        <v>1</v>
      </c>
      <c r="F59" s="4">
        <f t="shared" si="1"/>
        <v>309</v>
      </c>
      <c r="G59" s="4">
        <f t="shared" si="2"/>
        <v>4.5123345935727793E-3</v>
      </c>
      <c r="H59" s="4">
        <f t="shared" si="3"/>
        <v>95481</v>
      </c>
      <c r="I59" s="5">
        <f>SQRT(SUM('r-pi-multi'!$D$3:D59)/COUNTIF($A$3:A59,"&lt;&gt;0"))</f>
        <v>61.701175740169639</v>
      </c>
    </row>
    <row r="60" spans="1:9">
      <c r="A60">
        <v>58</v>
      </c>
      <c r="B60">
        <v>4</v>
      </c>
      <c r="C60">
        <v>4600</v>
      </c>
      <c r="D60">
        <v>4271</v>
      </c>
      <c r="E60" s="4">
        <f t="shared" si="0"/>
        <v>1</v>
      </c>
      <c r="F60" s="4">
        <f t="shared" si="1"/>
        <v>329</v>
      </c>
      <c r="G60" s="4">
        <f t="shared" si="2"/>
        <v>5.1153591682419671E-3</v>
      </c>
      <c r="H60" s="4">
        <f t="shared" si="3"/>
        <v>108241</v>
      </c>
      <c r="I60" s="5">
        <f>SQRT(SUM('r-pi-multi'!$D$3:D60)/COUNTIF($A$3:A60,"&lt;&gt;0"))</f>
        <v>61.765965407808693</v>
      </c>
    </row>
    <row r="61" spans="1:9">
      <c r="A61">
        <v>59</v>
      </c>
      <c r="B61">
        <v>4</v>
      </c>
      <c r="C61">
        <v>4600</v>
      </c>
      <c r="D61">
        <v>4297</v>
      </c>
      <c r="E61" s="4">
        <f t="shared" si="0"/>
        <v>1</v>
      </c>
      <c r="F61" s="4">
        <f t="shared" si="1"/>
        <v>303</v>
      </c>
      <c r="G61" s="4">
        <f t="shared" si="2"/>
        <v>4.338799621928166E-3</v>
      </c>
      <c r="H61" s="4">
        <f t="shared" si="3"/>
        <v>91809</v>
      </c>
      <c r="I61" s="5">
        <f>SQRT(SUM('r-pi-multi'!$D$3:D61)/COUNTIF($A$3:A61,"&lt;&gt;0"))</f>
        <v>61.832057945943447</v>
      </c>
    </row>
    <row r="62" spans="1:9">
      <c r="A62">
        <v>60</v>
      </c>
      <c r="B62">
        <v>4</v>
      </c>
      <c r="C62">
        <v>4600</v>
      </c>
      <c r="D62">
        <v>4291</v>
      </c>
      <c r="E62" s="4">
        <f t="shared" si="0"/>
        <v>1</v>
      </c>
      <c r="F62" s="4">
        <f t="shared" si="1"/>
        <v>309</v>
      </c>
      <c r="G62" s="4">
        <f t="shared" si="2"/>
        <v>4.5123345935727793E-3</v>
      </c>
      <c r="H62" s="4">
        <f t="shared" si="3"/>
        <v>95481</v>
      </c>
      <c r="I62" s="5">
        <f>SQRT(SUM('r-pi-multi'!$D$3:D62)/COUNTIF($A$3:A62,"&lt;&gt;0"))</f>
        <v>61.895072501775132</v>
      </c>
    </row>
    <row r="63" spans="1:9">
      <c r="A63">
        <v>61</v>
      </c>
      <c r="B63">
        <v>4</v>
      </c>
      <c r="C63">
        <v>4600</v>
      </c>
      <c r="D63">
        <v>4137</v>
      </c>
      <c r="E63" s="4">
        <f t="shared" si="0"/>
        <v>1</v>
      </c>
      <c r="F63" s="4">
        <f t="shared" si="1"/>
        <v>463</v>
      </c>
      <c r="G63" s="4">
        <f t="shared" si="2"/>
        <v>1.0130860113421548E-2</v>
      </c>
      <c r="H63" s="4">
        <f t="shared" si="3"/>
        <v>214369</v>
      </c>
      <c r="I63" s="5">
        <f>SQRT(SUM('r-pi-multi'!$D$3:D63)/COUNTIF($A$3:A63,"&lt;&gt;0"))</f>
        <v>61.935582611634672</v>
      </c>
    </row>
    <row r="64" spans="1:9">
      <c r="A64">
        <v>62</v>
      </c>
      <c r="B64">
        <v>4</v>
      </c>
      <c r="C64">
        <v>4600</v>
      </c>
      <c r="D64">
        <v>4170</v>
      </c>
      <c r="E64" s="4">
        <f t="shared" si="0"/>
        <v>1</v>
      </c>
      <c r="F64" s="4">
        <f t="shared" si="1"/>
        <v>430</v>
      </c>
      <c r="G64" s="4">
        <f t="shared" si="2"/>
        <v>8.7381852551984881E-3</v>
      </c>
      <c r="H64" s="4">
        <f t="shared" si="3"/>
        <v>184900</v>
      </c>
      <c r="I64" s="5">
        <f>SQRT(SUM('r-pi-multi'!$D$3:D64)/COUNTIF($A$3:A64,"&lt;&gt;0"))</f>
        <v>61.979054734696071</v>
      </c>
    </row>
    <row r="65" spans="1:9">
      <c r="A65">
        <v>63</v>
      </c>
      <c r="B65">
        <v>4</v>
      </c>
      <c r="C65">
        <v>4600</v>
      </c>
      <c r="D65">
        <v>4278</v>
      </c>
      <c r="E65" s="4">
        <f t="shared" si="0"/>
        <v>1</v>
      </c>
      <c r="F65" s="4">
        <f t="shared" si="1"/>
        <v>322</v>
      </c>
      <c r="G65" s="4">
        <f t="shared" si="2"/>
        <v>4.9000000000000007E-3</v>
      </c>
      <c r="H65" s="4">
        <f t="shared" si="3"/>
        <v>103684</v>
      </c>
      <c r="I65" s="5">
        <f>SQRT(SUM('r-pi-multi'!$D$3:D65)/COUNTIF($A$3:A65,"&lt;&gt;0"))</f>
        <v>62.034936393401203</v>
      </c>
    </row>
    <row r="66" spans="1:9">
      <c r="A66">
        <v>64</v>
      </c>
      <c r="B66">
        <v>4</v>
      </c>
      <c r="C66">
        <v>4600</v>
      </c>
      <c r="D66">
        <v>4276</v>
      </c>
      <c r="E66" s="4">
        <f t="shared" si="0"/>
        <v>1</v>
      </c>
      <c r="F66" s="4">
        <f t="shared" si="1"/>
        <v>324</v>
      </c>
      <c r="G66" s="4">
        <f t="shared" si="2"/>
        <v>4.9610586011342153E-3</v>
      </c>
      <c r="H66" s="4">
        <f t="shared" si="3"/>
        <v>104976</v>
      </c>
      <c r="I66" s="5">
        <f>SQRT(SUM('r-pi-multi'!$D$3:D66)/COUNTIF($A$3:A66,"&lt;&gt;0"))</f>
        <v>62.088772133132089</v>
      </c>
    </row>
    <row r="67" spans="1:9">
      <c r="A67">
        <v>65</v>
      </c>
      <c r="B67">
        <v>4</v>
      </c>
      <c r="C67">
        <v>4600</v>
      </c>
      <c r="D67">
        <v>4333</v>
      </c>
      <c r="E67" s="4">
        <f t="shared" si="0"/>
        <v>1</v>
      </c>
      <c r="F67" s="4">
        <f t="shared" si="1"/>
        <v>267</v>
      </c>
      <c r="G67" s="4">
        <f t="shared" si="2"/>
        <v>3.3690453686200379E-3</v>
      </c>
      <c r="H67" s="4">
        <f t="shared" si="3"/>
        <v>71289</v>
      </c>
      <c r="I67" s="5">
        <f>SQRT(SUM('r-pi-multi'!$D$3:D67)/COUNTIF($A$3:A67,"&lt;&gt;0"))</f>
        <v>62.147962402392814</v>
      </c>
    </row>
    <row r="68" spans="1:9">
      <c r="A68">
        <v>66</v>
      </c>
      <c r="B68">
        <v>4</v>
      </c>
      <c r="C68">
        <v>4600</v>
      </c>
      <c r="D68">
        <v>3771</v>
      </c>
      <c r="E68" s="4">
        <f t="shared" ref="E68:E131" si="4">IF(AND(D68&lt;=C68*1.2,D68&gt;=C68*0.8),1,0)</f>
        <v>1</v>
      </c>
      <c r="F68" s="4">
        <f t="shared" ref="F68:F131" si="5">ABS(C68-D68)</f>
        <v>829</v>
      </c>
      <c r="G68" s="4">
        <f t="shared" ref="G68:G131" si="6">POWER(ABS(C68-D68)/C68,2)</f>
        <v>3.2478308128544423E-2</v>
      </c>
      <c r="H68" s="4">
        <f t="shared" ref="H68:H131" si="7">POWER(F68,2)</f>
        <v>687241</v>
      </c>
      <c r="I68" s="5">
        <f>SQRT(SUM('r-pi-multi'!$D$3:D68)/COUNTIF($A$3:A68,"&lt;&gt;0"))</f>
        <v>62.136823611163521</v>
      </c>
    </row>
    <row r="69" spans="1:9">
      <c r="A69">
        <v>67</v>
      </c>
      <c r="B69">
        <v>5</v>
      </c>
      <c r="C69">
        <v>4600</v>
      </c>
      <c r="D69">
        <v>4430</v>
      </c>
      <c r="E69" s="4">
        <f t="shared" si="4"/>
        <v>1</v>
      </c>
      <c r="F69" s="4">
        <f t="shared" si="5"/>
        <v>170</v>
      </c>
      <c r="G69" s="4">
        <f t="shared" si="6"/>
        <v>1.3657844990548206E-3</v>
      </c>
      <c r="H69" s="4">
        <f t="shared" si="7"/>
        <v>28900</v>
      </c>
      <c r="I69" s="5">
        <f>SQRT(SUM('r-pi-multi'!$D$3:D69)/COUNTIF($A$3:A69,"&lt;&gt;0"))</f>
        <v>62.205125286750274</v>
      </c>
    </row>
    <row r="70" spans="1:9">
      <c r="A70">
        <v>68</v>
      </c>
      <c r="B70">
        <v>4</v>
      </c>
      <c r="C70">
        <v>4600</v>
      </c>
      <c r="D70">
        <v>4254</v>
      </c>
      <c r="E70" s="4">
        <f t="shared" si="4"/>
        <v>1</v>
      </c>
      <c r="F70" s="4">
        <f t="shared" si="5"/>
        <v>346</v>
      </c>
      <c r="G70" s="4">
        <f t="shared" si="6"/>
        <v>5.6576559546313793E-3</v>
      </c>
      <c r="H70" s="4">
        <f t="shared" si="7"/>
        <v>119716</v>
      </c>
      <c r="I70" s="5">
        <f>SQRT(SUM('r-pi-multi'!$D$3:D70)/COUNTIF($A$3:A70,"&lt;&gt;0"))</f>
        <v>62.250561065272144</v>
      </c>
    </row>
    <row r="71" spans="1:9">
      <c r="A71">
        <v>69</v>
      </c>
      <c r="B71">
        <v>4</v>
      </c>
      <c r="C71">
        <v>4600</v>
      </c>
      <c r="D71">
        <v>4333</v>
      </c>
      <c r="E71" s="4">
        <f t="shared" si="4"/>
        <v>1</v>
      </c>
      <c r="F71" s="4">
        <f t="shared" si="5"/>
        <v>267</v>
      </c>
      <c r="G71" s="4">
        <f t="shared" si="6"/>
        <v>3.3690453686200379E-3</v>
      </c>
      <c r="H71" s="4">
        <f t="shared" si="7"/>
        <v>71289</v>
      </c>
      <c r="I71" s="5">
        <f>SQRT(SUM('r-pi-multi'!$D$3:D71)/COUNTIF($A$3:A71,"&lt;&gt;0"))</f>
        <v>62.303837088433234</v>
      </c>
    </row>
    <row r="72" spans="1:9">
      <c r="A72">
        <v>70</v>
      </c>
      <c r="B72">
        <v>5</v>
      </c>
      <c r="C72">
        <v>4600</v>
      </c>
      <c r="D72">
        <v>4518</v>
      </c>
      <c r="E72" s="4">
        <f t="shared" si="4"/>
        <v>1</v>
      </c>
      <c r="F72" s="4">
        <f t="shared" si="5"/>
        <v>82</v>
      </c>
      <c r="G72" s="4">
        <f t="shared" si="6"/>
        <v>3.1776937618147445E-4</v>
      </c>
      <c r="H72" s="4">
        <f t="shared" si="7"/>
        <v>6724</v>
      </c>
      <c r="I72" s="5">
        <f>SQRT(SUM('r-pi-multi'!$D$3:D72)/COUNTIF($A$3:A72,"&lt;&gt;0"))</f>
        <v>62.376735589938839</v>
      </c>
    </row>
    <row r="73" spans="1:9">
      <c r="A73">
        <v>71</v>
      </c>
      <c r="B73">
        <v>4</v>
      </c>
      <c r="C73">
        <v>4600</v>
      </c>
      <c r="D73">
        <v>4286</v>
      </c>
      <c r="E73" s="4">
        <f t="shared" si="4"/>
        <v>1</v>
      </c>
      <c r="F73" s="4">
        <f t="shared" si="5"/>
        <v>314</v>
      </c>
      <c r="G73" s="4">
        <f t="shared" si="6"/>
        <v>4.6595463137996214E-3</v>
      </c>
      <c r="H73" s="4">
        <f t="shared" si="7"/>
        <v>98596</v>
      </c>
      <c r="I73" s="5">
        <f>SQRT(SUM('r-pi-multi'!$D$3:D73)/COUNTIF($A$3:A73,"&lt;&gt;0"))</f>
        <v>62.421330770909293</v>
      </c>
    </row>
    <row r="74" spans="1:9">
      <c r="A74">
        <v>72</v>
      </c>
      <c r="B74">
        <v>5</v>
      </c>
      <c r="C74">
        <v>4600</v>
      </c>
      <c r="D74">
        <v>4546</v>
      </c>
      <c r="E74" s="4">
        <f t="shared" si="4"/>
        <v>1</v>
      </c>
      <c r="F74" s="4">
        <f t="shared" si="5"/>
        <v>54</v>
      </c>
      <c r="G74" s="4">
        <f t="shared" si="6"/>
        <v>1.3780718336483931E-4</v>
      </c>
      <c r="H74" s="4">
        <f t="shared" si="7"/>
        <v>2916</v>
      </c>
      <c r="I74" s="5">
        <f>SQRT(SUM('r-pi-multi'!$D$3:D74)/COUNTIF($A$3:A74,"&lt;&gt;0"))</f>
        <v>62.493555223274377</v>
      </c>
    </row>
    <row r="75" spans="1:9">
      <c r="A75">
        <v>73</v>
      </c>
      <c r="B75">
        <v>5</v>
      </c>
      <c r="C75">
        <v>4600</v>
      </c>
      <c r="D75">
        <v>3864</v>
      </c>
      <c r="E75" s="4">
        <f t="shared" si="4"/>
        <v>1</v>
      </c>
      <c r="F75" s="4">
        <f t="shared" si="5"/>
        <v>736</v>
      </c>
      <c r="G75" s="4">
        <f t="shared" si="6"/>
        <v>2.5600000000000001E-2</v>
      </c>
      <c r="H75" s="4">
        <f t="shared" si="7"/>
        <v>541696</v>
      </c>
      <c r="I75" s="5">
        <f>SQRT(SUM('r-pi-multi'!$D$3:D75)/COUNTIF($A$3:A75,"&lt;&gt;0"))</f>
        <v>62.489012732869824</v>
      </c>
    </row>
    <row r="76" spans="1:9">
      <c r="A76">
        <v>74</v>
      </c>
      <c r="B76">
        <v>5</v>
      </c>
      <c r="C76">
        <v>4600</v>
      </c>
      <c r="D76">
        <v>4706</v>
      </c>
      <c r="E76" s="4">
        <f t="shared" si="4"/>
        <v>1</v>
      </c>
      <c r="F76" s="4">
        <f t="shared" si="5"/>
        <v>106</v>
      </c>
      <c r="G76" s="4">
        <f t="shared" si="6"/>
        <v>5.3100189035916825E-4</v>
      </c>
      <c r="H76" s="4">
        <f t="shared" si="7"/>
        <v>11236</v>
      </c>
      <c r="I76" s="5">
        <f>SQRT(SUM('r-pi-multi'!$D$3:D76)/COUNTIF($A$3:A76,"&lt;&gt;0"))</f>
        <v>62.575575927854651</v>
      </c>
    </row>
    <row r="77" spans="1:9">
      <c r="A77">
        <v>75</v>
      </c>
      <c r="B77">
        <v>5</v>
      </c>
      <c r="C77">
        <v>4600</v>
      </c>
      <c r="D77">
        <v>4440</v>
      </c>
      <c r="E77" s="4">
        <f t="shared" si="4"/>
        <v>1</v>
      </c>
      <c r="F77" s="4">
        <f t="shared" si="5"/>
        <v>160</v>
      </c>
      <c r="G77" s="4">
        <f t="shared" si="6"/>
        <v>1.2098298676748583E-3</v>
      </c>
      <c r="H77" s="4">
        <f t="shared" si="7"/>
        <v>25600</v>
      </c>
      <c r="I77" s="5">
        <f>SQRT(SUM('r-pi-multi'!$D$3:D77)/COUNTIF($A$3:A77,"&lt;&gt;0"))</f>
        <v>62.631408521071386</v>
      </c>
    </row>
    <row r="78" spans="1:9">
      <c r="A78">
        <v>76</v>
      </c>
      <c r="B78">
        <v>5</v>
      </c>
      <c r="C78">
        <v>4600</v>
      </c>
      <c r="D78">
        <v>3665</v>
      </c>
      <c r="E78" s="4">
        <f t="shared" si="4"/>
        <v>0</v>
      </c>
      <c r="F78" s="4">
        <f t="shared" si="5"/>
        <v>935</v>
      </c>
      <c r="G78" s="4">
        <f t="shared" si="6"/>
        <v>4.1314981096408313E-2</v>
      </c>
      <c r="H78" s="4">
        <f t="shared" si="7"/>
        <v>874225</v>
      </c>
      <c r="I78" s="5">
        <f>SQRT(SUM('r-pi-multi'!$D$3:D78)/COUNTIF($A$3:A78,"&lt;&gt;0"))</f>
        <v>62.604333968016526</v>
      </c>
    </row>
    <row r="79" spans="1:9">
      <c r="A79">
        <v>77</v>
      </c>
      <c r="B79">
        <v>5</v>
      </c>
      <c r="C79">
        <v>4600</v>
      </c>
      <c r="D79">
        <v>4475</v>
      </c>
      <c r="E79" s="4">
        <f t="shared" si="4"/>
        <v>1</v>
      </c>
      <c r="F79" s="4">
        <f t="shared" si="5"/>
        <v>125</v>
      </c>
      <c r="G79" s="4">
        <f t="shared" si="6"/>
        <v>7.3842155009451796E-4</v>
      </c>
      <c r="H79" s="4">
        <f t="shared" si="7"/>
        <v>15625</v>
      </c>
      <c r="I79" s="5">
        <f>SQRT(SUM('r-pi-multi'!$D$3:D79)/COUNTIF($A$3:A79,"&lt;&gt;0"))</f>
        <v>62.661946032017553</v>
      </c>
    </row>
    <row r="80" spans="1:9">
      <c r="A80">
        <v>78</v>
      </c>
      <c r="B80">
        <v>5</v>
      </c>
      <c r="C80">
        <v>4600</v>
      </c>
      <c r="D80">
        <v>4632</v>
      </c>
      <c r="E80" s="4">
        <f t="shared" si="4"/>
        <v>1</v>
      </c>
      <c r="F80" s="4">
        <f t="shared" si="5"/>
        <v>32</v>
      </c>
      <c r="G80" s="4">
        <f t="shared" si="6"/>
        <v>4.8393194706994331E-5</v>
      </c>
      <c r="H80" s="4">
        <f t="shared" si="7"/>
        <v>1024</v>
      </c>
      <c r="I80" s="5">
        <f>SQRT(SUM('r-pi-multi'!$D$3:D80)/COUNTIF($A$3:A80,"&lt;&gt;0"))</f>
        <v>62.73407449356452</v>
      </c>
    </row>
    <row r="81" spans="1:9">
      <c r="A81">
        <v>79</v>
      </c>
      <c r="B81">
        <v>5</v>
      </c>
      <c r="C81">
        <v>4600</v>
      </c>
      <c r="D81">
        <v>4638</v>
      </c>
      <c r="E81" s="4">
        <f t="shared" si="4"/>
        <v>1</v>
      </c>
      <c r="F81" s="4">
        <f t="shared" si="5"/>
        <v>38</v>
      </c>
      <c r="G81" s="4">
        <f t="shared" si="6"/>
        <v>6.8241965973534966E-5</v>
      </c>
      <c r="H81" s="4">
        <f t="shared" si="7"/>
        <v>1444</v>
      </c>
      <c r="I81" s="5">
        <f>SQRT(SUM('r-pi-multi'!$D$3:D81)/COUNTIF($A$3:A81,"&lt;&gt;0"))</f>
        <v>62.804901848522398</v>
      </c>
    </row>
    <row r="82" spans="1:9">
      <c r="A82">
        <v>80</v>
      </c>
      <c r="B82">
        <v>5</v>
      </c>
      <c r="C82">
        <v>4600</v>
      </c>
      <c r="D82">
        <v>4593</v>
      </c>
      <c r="E82" s="4">
        <f t="shared" si="4"/>
        <v>1</v>
      </c>
      <c r="F82" s="4">
        <f t="shared" si="5"/>
        <v>7</v>
      </c>
      <c r="G82" s="4">
        <f t="shared" si="6"/>
        <v>2.3156899810964081E-6</v>
      </c>
      <c r="H82" s="4">
        <f t="shared" si="7"/>
        <v>49</v>
      </c>
      <c r="I82" s="5">
        <f>SQRT(SUM('r-pi-multi'!$D$3:D82)/COUNTIF($A$3:A82,"&lt;&gt;0"))</f>
        <v>62.869408300062759</v>
      </c>
    </row>
    <row r="83" spans="1:9">
      <c r="A83">
        <v>81</v>
      </c>
      <c r="B83">
        <v>5</v>
      </c>
      <c r="C83">
        <v>4600</v>
      </c>
      <c r="D83">
        <v>4602</v>
      </c>
      <c r="E83" s="4">
        <f t="shared" si="4"/>
        <v>1</v>
      </c>
      <c r="F83" s="4">
        <f t="shared" si="5"/>
        <v>2</v>
      </c>
      <c r="G83" s="4">
        <f t="shared" si="6"/>
        <v>1.8903591682419661E-7</v>
      </c>
      <c r="H83" s="4">
        <f t="shared" si="7"/>
        <v>4</v>
      </c>
      <c r="I83" s="5">
        <f>SQRT(SUM('r-pi-multi'!$D$3:D83)/COUNTIF($A$3:A83,"&lt;&gt;0"))</f>
        <v>62.933141085707618</v>
      </c>
    </row>
    <row r="84" spans="1:9">
      <c r="A84">
        <v>82</v>
      </c>
      <c r="B84">
        <v>5</v>
      </c>
      <c r="C84">
        <v>4600</v>
      </c>
      <c r="D84">
        <v>4482</v>
      </c>
      <c r="E84" s="4">
        <f t="shared" si="4"/>
        <v>1</v>
      </c>
      <c r="F84" s="4">
        <f t="shared" si="5"/>
        <v>118</v>
      </c>
      <c r="G84" s="4">
        <f t="shared" si="6"/>
        <v>6.5803402646502835E-4</v>
      </c>
      <c r="H84" s="4">
        <f t="shared" si="7"/>
        <v>13924</v>
      </c>
      <c r="I84" s="5">
        <f>SQRT(SUM('r-pi-multi'!$D$3:D84)/COUNTIF($A$3:A84,"&lt;&gt;0"))</f>
        <v>62.983640926753701</v>
      </c>
    </row>
    <row r="85" spans="1:9">
      <c r="A85">
        <v>83</v>
      </c>
      <c r="B85">
        <v>5</v>
      </c>
      <c r="C85">
        <v>4600</v>
      </c>
      <c r="D85">
        <v>4557</v>
      </c>
      <c r="E85" s="4">
        <f t="shared" si="4"/>
        <v>1</v>
      </c>
      <c r="F85" s="4">
        <f t="shared" si="5"/>
        <v>43</v>
      </c>
      <c r="G85" s="4">
        <f t="shared" si="6"/>
        <v>8.7381852551984883E-5</v>
      </c>
      <c r="H85" s="4">
        <f t="shared" si="7"/>
        <v>1849</v>
      </c>
      <c r="I85" s="5">
        <f>SQRT(SUM('r-pi-multi'!$D$3:D85)/COUNTIF($A$3:A85,"&lt;&gt;0"))</f>
        <v>63.040052290358105</v>
      </c>
    </row>
    <row r="86" spans="1:9">
      <c r="A86">
        <v>84</v>
      </c>
      <c r="B86">
        <v>5</v>
      </c>
      <c r="C86">
        <v>4600</v>
      </c>
      <c r="D86">
        <v>4600</v>
      </c>
      <c r="E86" s="4">
        <f t="shared" si="4"/>
        <v>1</v>
      </c>
      <c r="F86" s="4">
        <f t="shared" si="5"/>
        <v>0</v>
      </c>
      <c r="G86" s="4">
        <f t="shared" si="6"/>
        <v>0</v>
      </c>
      <c r="H86" s="4">
        <f t="shared" si="7"/>
        <v>0</v>
      </c>
      <c r="I86" s="5">
        <f>SQRT(SUM('r-pi-multi'!$D$3:D86)/COUNTIF($A$3:A86,"&lt;&gt;0"))</f>
        <v>63.099128361650131</v>
      </c>
    </row>
    <row r="87" spans="1:9">
      <c r="A87">
        <v>85</v>
      </c>
      <c r="B87">
        <v>5</v>
      </c>
      <c r="C87">
        <v>4600</v>
      </c>
      <c r="D87">
        <v>4458</v>
      </c>
      <c r="E87" s="4">
        <f t="shared" si="4"/>
        <v>1</v>
      </c>
      <c r="F87" s="4">
        <f t="shared" si="5"/>
        <v>142</v>
      </c>
      <c r="G87" s="4">
        <f t="shared" si="6"/>
        <v>9.5293005671077502E-4</v>
      </c>
      <c r="H87" s="4">
        <f t="shared" si="7"/>
        <v>20164</v>
      </c>
      <c r="I87" s="5">
        <f>SQRT(SUM('r-pi-multi'!$D$3:D87)/COUNTIF($A$3:A87,"&lt;&gt;0"))</f>
        <v>63.143533971048385</v>
      </c>
    </row>
    <row r="88" spans="1:9">
      <c r="A88">
        <v>86</v>
      </c>
      <c r="B88">
        <v>5</v>
      </c>
      <c r="C88">
        <v>4600</v>
      </c>
      <c r="D88">
        <v>4500</v>
      </c>
      <c r="E88" s="4">
        <f t="shared" si="4"/>
        <v>1</v>
      </c>
      <c r="F88" s="4">
        <f t="shared" si="5"/>
        <v>100</v>
      </c>
      <c r="G88" s="4">
        <f t="shared" si="6"/>
        <v>4.7258979206049145E-4</v>
      </c>
      <c r="H88" s="4">
        <f t="shared" si="7"/>
        <v>10000</v>
      </c>
      <c r="I88" s="5">
        <f>SQRT(SUM('r-pi-multi'!$D$3:D88)/COUNTIF($A$3:A88,"&lt;&gt;0"))</f>
        <v>63.190741152813366</v>
      </c>
    </row>
    <row r="89" spans="1:9">
      <c r="A89">
        <v>87</v>
      </c>
      <c r="B89">
        <v>5</v>
      </c>
      <c r="C89">
        <v>4600</v>
      </c>
      <c r="D89">
        <v>4636</v>
      </c>
      <c r="E89" s="4">
        <f t="shared" si="4"/>
        <v>1</v>
      </c>
      <c r="F89" s="4">
        <f t="shared" si="5"/>
        <v>36</v>
      </c>
      <c r="G89" s="4">
        <f t="shared" si="6"/>
        <v>6.1247637051039706E-5</v>
      </c>
      <c r="H89" s="4">
        <f t="shared" si="7"/>
        <v>1296</v>
      </c>
      <c r="I89" s="5">
        <f>SQRT(SUM('r-pi-multi'!$D$3:D89)/COUNTIF($A$3:A89,"&lt;&gt;0"))</f>
        <v>63.249187900833498</v>
      </c>
    </row>
    <row r="90" spans="1:9">
      <c r="A90">
        <v>88</v>
      </c>
      <c r="B90">
        <v>5</v>
      </c>
      <c r="C90">
        <v>4600</v>
      </c>
      <c r="D90">
        <v>4581</v>
      </c>
      <c r="E90" s="4">
        <f t="shared" si="4"/>
        <v>1</v>
      </c>
      <c r="F90" s="4">
        <f t="shared" si="5"/>
        <v>19</v>
      </c>
      <c r="G90" s="4">
        <f t="shared" si="6"/>
        <v>1.7060491493383741E-5</v>
      </c>
      <c r="H90" s="4">
        <f t="shared" si="7"/>
        <v>361</v>
      </c>
      <c r="I90" s="5">
        <f>SQRT(SUM('r-pi-multi'!$D$3:D90)/COUNTIF($A$3:A90,"&lt;&gt;0"))</f>
        <v>63.301317665446888</v>
      </c>
    </row>
    <row r="91" spans="1:9">
      <c r="A91">
        <v>89</v>
      </c>
      <c r="B91">
        <v>5</v>
      </c>
      <c r="C91">
        <v>4600</v>
      </c>
      <c r="D91">
        <v>4526</v>
      </c>
      <c r="E91" s="4">
        <f t="shared" si="4"/>
        <v>1</v>
      </c>
      <c r="F91" s="4">
        <f t="shared" si="5"/>
        <v>74</v>
      </c>
      <c r="G91" s="4">
        <f t="shared" si="6"/>
        <v>2.5879017013232512E-4</v>
      </c>
      <c r="H91" s="4">
        <f t="shared" si="7"/>
        <v>5476</v>
      </c>
      <c r="I91" s="5">
        <f>SQRT(SUM('r-pi-multi'!$D$3:D91)/COUNTIF($A$3:A91,"&lt;&gt;0"))</f>
        <v>63.347357012344546</v>
      </c>
    </row>
    <row r="92" spans="1:9">
      <c r="A92">
        <v>90</v>
      </c>
      <c r="B92">
        <v>5</v>
      </c>
      <c r="C92">
        <v>4600</v>
      </c>
      <c r="D92">
        <v>4579</v>
      </c>
      <c r="E92" s="4">
        <f t="shared" si="4"/>
        <v>1</v>
      </c>
      <c r="F92" s="4">
        <f t="shared" si="5"/>
        <v>21</v>
      </c>
      <c r="G92" s="4">
        <f t="shared" si="6"/>
        <v>2.084120982986768E-5</v>
      </c>
      <c r="H92" s="4">
        <f t="shared" si="7"/>
        <v>441</v>
      </c>
      <c r="I92" s="5">
        <f>SQRT(SUM('r-pi-multi'!$D$3:D92)/COUNTIF($A$3:A92,"&lt;&gt;0"))</f>
        <v>63.396985557499328</v>
      </c>
    </row>
    <row r="93" spans="1:9">
      <c r="A93">
        <v>91</v>
      </c>
      <c r="B93">
        <v>5</v>
      </c>
      <c r="C93">
        <v>4600</v>
      </c>
      <c r="D93">
        <v>4645</v>
      </c>
      <c r="E93" s="4">
        <f t="shared" si="4"/>
        <v>1</v>
      </c>
      <c r="F93" s="4">
        <f t="shared" si="5"/>
        <v>45</v>
      </c>
      <c r="G93" s="4">
        <f t="shared" si="6"/>
        <v>9.5699432892249546E-5</v>
      </c>
      <c r="H93" s="4">
        <f t="shared" si="7"/>
        <v>2025</v>
      </c>
      <c r="I93" s="5">
        <f>SQRT(SUM('r-pi-multi'!$D$3:D93)/COUNTIF($A$3:A93,"&lt;&gt;0"))</f>
        <v>63.451201289297472</v>
      </c>
    </row>
    <row r="94" spans="1:9">
      <c r="A94">
        <v>92</v>
      </c>
      <c r="B94">
        <v>5</v>
      </c>
      <c r="C94">
        <v>4600</v>
      </c>
      <c r="D94">
        <v>4582</v>
      </c>
      <c r="E94" s="4">
        <f t="shared" si="4"/>
        <v>1</v>
      </c>
      <c r="F94" s="4">
        <f t="shared" si="5"/>
        <v>18</v>
      </c>
      <c r="G94" s="4">
        <f t="shared" si="6"/>
        <v>1.5311909262759926E-5</v>
      </c>
      <c r="H94" s="4">
        <f t="shared" si="7"/>
        <v>324</v>
      </c>
      <c r="I94" s="5">
        <f>SQRT(SUM('r-pi-multi'!$D$3:D94)/COUNTIF($A$3:A94,"&lt;&gt;0"))</f>
        <v>63.498801768907079</v>
      </c>
    </row>
    <row r="95" spans="1:9">
      <c r="A95">
        <v>93</v>
      </c>
      <c r="B95">
        <v>5</v>
      </c>
      <c r="C95">
        <v>4600</v>
      </c>
      <c r="D95">
        <v>4358</v>
      </c>
      <c r="E95" s="4">
        <f t="shared" si="4"/>
        <v>1</v>
      </c>
      <c r="F95" s="4">
        <f t="shared" si="5"/>
        <v>242</v>
      </c>
      <c r="G95" s="4">
        <f t="shared" si="6"/>
        <v>2.7676748582230628E-3</v>
      </c>
      <c r="H95" s="4">
        <f t="shared" si="7"/>
        <v>58564</v>
      </c>
      <c r="I95" s="5">
        <f>SQRT(SUM('r-pi-multi'!$D$3:D95)/COUNTIF($A$3:A95,"&lt;&gt;0"))</f>
        <v>63.526389402654033</v>
      </c>
    </row>
    <row r="96" spans="1:9">
      <c r="A96">
        <v>94</v>
      </c>
      <c r="B96">
        <v>5</v>
      </c>
      <c r="C96">
        <v>4600</v>
      </c>
      <c r="D96">
        <v>4503</v>
      </c>
      <c r="E96" s="4">
        <f t="shared" si="4"/>
        <v>1</v>
      </c>
      <c r="F96" s="4">
        <f t="shared" si="5"/>
        <v>97</v>
      </c>
      <c r="G96" s="4">
        <f t="shared" si="6"/>
        <v>4.4465973534971647E-4</v>
      </c>
      <c r="H96" s="4">
        <f t="shared" si="7"/>
        <v>9409</v>
      </c>
      <c r="I96" s="5">
        <f>SQRT(SUM('r-pi-multi'!$D$3:D96)/COUNTIF($A$3:A96,"&lt;&gt;0"))</f>
        <v>63.56551319768532</v>
      </c>
    </row>
    <row r="97" spans="1:9">
      <c r="A97">
        <v>95</v>
      </c>
      <c r="B97">
        <v>5</v>
      </c>
      <c r="C97">
        <v>4600</v>
      </c>
      <c r="D97">
        <v>4544</v>
      </c>
      <c r="E97" s="4">
        <f t="shared" si="4"/>
        <v>1</v>
      </c>
      <c r="F97" s="4">
        <f t="shared" si="5"/>
        <v>56</v>
      </c>
      <c r="G97" s="4">
        <f t="shared" si="6"/>
        <v>1.4820415879017012E-4</v>
      </c>
      <c r="H97" s="4">
        <f t="shared" si="7"/>
        <v>3136</v>
      </c>
      <c r="I97" s="5">
        <f>SQRT(SUM('r-pi-multi'!$D$3:D97)/COUNTIF($A$3:A97,"&lt;&gt;0"))</f>
        <v>63.607182646384572</v>
      </c>
    </row>
    <row r="98" spans="1:9">
      <c r="A98">
        <v>96</v>
      </c>
      <c r="B98">
        <v>5</v>
      </c>
      <c r="C98">
        <v>4600</v>
      </c>
      <c r="D98">
        <v>4548</v>
      </c>
      <c r="E98" s="4">
        <f t="shared" si="4"/>
        <v>1</v>
      </c>
      <c r="F98" s="4">
        <f t="shared" si="5"/>
        <v>52</v>
      </c>
      <c r="G98" s="4">
        <f t="shared" si="6"/>
        <v>1.2778827977315692E-4</v>
      </c>
      <c r="H98" s="4">
        <f t="shared" si="7"/>
        <v>2704</v>
      </c>
      <c r="I98" s="5">
        <f>SQRT(SUM('r-pi-multi'!$D$3:D98)/COUNTIF($A$3:A98,"&lt;&gt;0"))</f>
        <v>63.648284868224586</v>
      </c>
    </row>
    <row r="99" spans="1:9">
      <c r="A99">
        <v>97</v>
      </c>
      <c r="B99">
        <v>5</v>
      </c>
      <c r="C99">
        <v>4600</v>
      </c>
      <c r="D99">
        <v>4291</v>
      </c>
      <c r="E99" s="4">
        <f t="shared" si="4"/>
        <v>1</v>
      </c>
      <c r="F99" s="4">
        <f t="shared" si="5"/>
        <v>309</v>
      </c>
      <c r="G99" s="4">
        <f t="shared" si="6"/>
        <v>4.5123345935727793E-3</v>
      </c>
      <c r="H99" s="4">
        <f t="shared" si="7"/>
        <v>95481</v>
      </c>
      <c r="I99" s="5">
        <f>SQRT(SUM('r-pi-multi'!$D$3:D99)/COUNTIF($A$3:A99,"&lt;&gt;0"))</f>
        <v>63.667710180181828</v>
      </c>
    </row>
    <row r="100" spans="1:9">
      <c r="A100">
        <v>98</v>
      </c>
      <c r="B100">
        <v>5</v>
      </c>
      <c r="C100">
        <v>4600</v>
      </c>
      <c r="D100">
        <v>4464</v>
      </c>
      <c r="E100" s="4">
        <f t="shared" si="4"/>
        <v>1</v>
      </c>
      <c r="F100" s="4">
        <f t="shared" si="5"/>
        <v>136</v>
      </c>
      <c r="G100" s="4">
        <f t="shared" si="6"/>
        <v>8.741020793950851E-4</v>
      </c>
      <c r="H100" s="4">
        <f t="shared" si="7"/>
        <v>18496</v>
      </c>
      <c r="I100" s="5">
        <f>SQRT(SUM('r-pi-multi'!$D$3:D100)/COUNTIF($A$3:A100,"&lt;&gt;0"))</f>
        <v>63.700591097119727</v>
      </c>
    </row>
    <row r="101" spans="1:9">
      <c r="A101">
        <v>99</v>
      </c>
      <c r="B101">
        <v>5</v>
      </c>
      <c r="C101">
        <v>4600</v>
      </c>
      <c r="D101">
        <v>4471</v>
      </c>
      <c r="E101" s="4">
        <f t="shared" si="4"/>
        <v>1</v>
      </c>
      <c r="F101" s="4">
        <f t="shared" si="5"/>
        <v>129</v>
      </c>
      <c r="G101" s="4">
        <f t="shared" si="6"/>
        <v>7.8643667296786389E-4</v>
      </c>
      <c r="H101" s="4">
        <f t="shared" si="7"/>
        <v>16641</v>
      </c>
      <c r="I101" s="5">
        <f>SQRT(SUM('r-pi-multi'!$D$3:D101)/COUNTIF($A$3:A101,"&lt;&gt;0"))</f>
        <v>63.733346012424249</v>
      </c>
    </row>
    <row r="102" spans="1:9">
      <c r="A102">
        <v>100</v>
      </c>
      <c r="B102">
        <v>5</v>
      </c>
      <c r="C102">
        <v>4600</v>
      </c>
      <c r="D102">
        <v>4470</v>
      </c>
      <c r="E102" s="4">
        <f t="shared" si="4"/>
        <v>1</v>
      </c>
      <c r="F102" s="4">
        <f t="shared" si="5"/>
        <v>130</v>
      </c>
      <c r="G102" s="4">
        <f t="shared" si="6"/>
        <v>7.9867674858223061E-4</v>
      </c>
      <c r="H102" s="4">
        <f t="shared" si="7"/>
        <v>16900</v>
      </c>
      <c r="I102" s="5">
        <f>SQRT(SUM('r-pi-multi'!$D$3:D102)/COUNTIF($A$3:A102,"&lt;&gt;0"))</f>
        <v>63.765351092893702</v>
      </c>
    </row>
    <row r="103" spans="1:9">
      <c r="A103">
        <v>101</v>
      </c>
      <c r="B103">
        <v>5</v>
      </c>
      <c r="C103">
        <v>4600</v>
      </c>
      <c r="D103">
        <v>4526</v>
      </c>
      <c r="E103" s="4">
        <f t="shared" si="4"/>
        <v>1</v>
      </c>
      <c r="F103" s="4">
        <f t="shared" si="5"/>
        <v>74</v>
      </c>
      <c r="G103" s="4">
        <f t="shared" si="6"/>
        <v>2.5879017013232512E-4</v>
      </c>
      <c r="H103" s="4">
        <f t="shared" si="7"/>
        <v>5476</v>
      </c>
      <c r="I103" s="5">
        <f>SQRT(SUM('r-pi-multi'!$D$3:D103)/COUNTIF($A$3:A103,"&lt;&gt;0"))</f>
        <v>63.801052165506974</v>
      </c>
    </row>
    <row r="104" spans="1:9">
      <c r="A104">
        <v>102</v>
      </c>
      <c r="B104">
        <v>5</v>
      </c>
      <c r="C104">
        <v>4600</v>
      </c>
      <c r="D104">
        <v>4554</v>
      </c>
      <c r="E104" s="4">
        <f t="shared" si="4"/>
        <v>1</v>
      </c>
      <c r="F104" s="4">
        <f t="shared" si="5"/>
        <v>46</v>
      </c>
      <c r="G104" s="4">
        <f t="shared" si="6"/>
        <v>1E-4</v>
      </c>
      <c r="H104" s="4">
        <f t="shared" si="7"/>
        <v>2116</v>
      </c>
      <c r="I104" s="5">
        <f>SQRT(SUM('r-pi-multi'!$D$3:D104)/COUNTIF($A$3:A104,"&lt;&gt;0"))</f>
        <v>63.83818391441126</v>
      </c>
    </row>
    <row r="105" spans="1:9">
      <c r="A105">
        <v>103</v>
      </c>
      <c r="B105">
        <v>5</v>
      </c>
      <c r="C105">
        <v>4600</v>
      </c>
      <c r="D105">
        <v>4468</v>
      </c>
      <c r="E105" s="4">
        <f t="shared" si="4"/>
        <v>1</v>
      </c>
      <c r="F105" s="4">
        <f t="shared" si="5"/>
        <v>132</v>
      </c>
      <c r="G105" s="4">
        <f t="shared" si="6"/>
        <v>8.2344045368620031E-4</v>
      </c>
      <c r="H105" s="4">
        <f t="shared" si="7"/>
        <v>17424</v>
      </c>
      <c r="I105" s="5">
        <f>SQRT(SUM('r-pi-multi'!$D$3:D105)/COUNTIF($A$3:A105,"&lt;&gt;0"))</f>
        <v>63.868037496013862</v>
      </c>
    </row>
    <row r="106" spans="1:9">
      <c r="A106">
        <v>104</v>
      </c>
      <c r="B106">
        <v>5</v>
      </c>
      <c r="C106">
        <v>4600</v>
      </c>
      <c r="D106">
        <v>4368</v>
      </c>
      <c r="E106" s="4">
        <f t="shared" si="4"/>
        <v>1</v>
      </c>
      <c r="F106" s="4">
        <f t="shared" si="5"/>
        <v>232</v>
      </c>
      <c r="G106" s="4">
        <f t="shared" si="6"/>
        <v>2.5436672967863896E-3</v>
      </c>
      <c r="H106" s="4">
        <f t="shared" si="7"/>
        <v>53824</v>
      </c>
      <c r="I106" s="5">
        <f>SQRT(SUM('r-pi-multi'!$D$3:D106)/COUNTIF($A$3:A106,"&lt;&gt;0"))</f>
        <v>63.889778886405971</v>
      </c>
    </row>
    <row r="107" spans="1:9">
      <c r="A107">
        <v>105</v>
      </c>
      <c r="B107">
        <v>5</v>
      </c>
      <c r="C107">
        <v>4600</v>
      </c>
      <c r="D107">
        <v>4378</v>
      </c>
      <c r="E107" s="4">
        <f t="shared" si="4"/>
        <v>1</v>
      </c>
      <c r="F107" s="4">
        <f t="shared" si="5"/>
        <v>222</v>
      </c>
      <c r="G107" s="4">
        <f t="shared" si="6"/>
        <v>2.3291115311909263E-3</v>
      </c>
      <c r="H107" s="4">
        <f t="shared" si="7"/>
        <v>49284</v>
      </c>
      <c r="I107" s="5">
        <f>SQRT(SUM('r-pi-multi'!$D$3:D107)/COUNTIF($A$3:A107,"&lt;&gt;0"))</f>
        <v>63.911844047279764</v>
      </c>
    </row>
    <row r="108" spans="1:9">
      <c r="A108">
        <v>106</v>
      </c>
      <c r="B108">
        <v>5</v>
      </c>
      <c r="C108">
        <v>4600</v>
      </c>
      <c r="D108">
        <v>4547</v>
      </c>
      <c r="E108" s="4">
        <f t="shared" si="4"/>
        <v>1</v>
      </c>
      <c r="F108" s="4">
        <f t="shared" si="5"/>
        <v>53</v>
      </c>
      <c r="G108" s="4">
        <f t="shared" si="6"/>
        <v>1.3275047258979206E-4</v>
      </c>
      <c r="H108" s="4">
        <f t="shared" si="7"/>
        <v>2809</v>
      </c>
      <c r="I108" s="5">
        <f>SQRT(SUM('r-pi-multi'!$D$3:D108)/COUNTIF($A$3:A108,"&lt;&gt;0"))</f>
        <v>63.945953004552038</v>
      </c>
    </row>
    <row r="109" spans="1:9">
      <c r="A109">
        <v>107</v>
      </c>
      <c r="B109">
        <v>5</v>
      </c>
      <c r="C109">
        <v>4600</v>
      </c>
      <c r="D109">
        <v>4534</v>
      </c>
      <c r="E109" s="4">
        <f t="shared" si="4"/>
        <v>1</v>
      </c>
      <c r="F109" s="4">
        <f t="shared" si="5"/>
        <v>66</v>
      </c>
      <c r="G109" s="4">
        <f t="shared" si="6"/>
        <v>2.0586011342155008E-4</v>
      </c>
      <c r="H109" s="4">
        <f t="shared" si="7"/>
        <v>4356</v>
      </c>
      <c r="I109" s="5">
        <f>SQRT(SUM('r-pi-multi'!$D$3:D109)/COUNTIF($A$3:A109,"&lt;&gt;0"))</f>
        <v>63.978457238778475</v>
      </c>
    </row>
    <row r="110" spans="1:9">
      <c r="A110">
        <v>108</v>
      </c>
      <c r="B110">
        <v>5</v>
      </c>
      <c r="C110">
        <v>4600</v>
      </c>
      <c r="D110">
        <v>4576</v>
      </c>
      <c r="E110" s="4">
        <f t="shared" si="4"/>
        <v>1</v>
      </c>
      <c r="F110" s="4">
        <f t="shared" si="5"/>
        <v>24</v>
      </c>
      <c r="G110" s="4">
        <f t="shared" si="6"/>
        <v>2.7221172022684314E-5</v>
      </c>
      <c r="H110" s="4">
        <f t="shared" si="7"/>
        <v>576</v>
      </c>
      <c r="I110" s="5">
        <f>SQRT(SUM('r-pi-multi'!$D$3:D110)/COUNTIF($A$3:A110,"&lt;&gt;0"))</f>
        <v>64.013381124284962</v>
      </c>
    </row>
    <row r="111" spans="1:9">
      <c r="A111">
        <v>109</v>
      </c>
      <c r="B111">
        <v>5</v>
      </c>
      <c r="C111">
        <v>4600</v>
      </c>
      <c r="D111">
        <v>4561</v>
      </c>
      <c r="E111" s="4">
        <f t="shared" si="4"/>
        <v>1</v>
      </c>
      <c r="F111" s="4">
        <f t="shared" si="5"/>
        <v>39</v>
      </c>
      <c r="G111" s="4">
        <f t="shared" si="6"/>
        <v>7.1880907372400763E-5</v>
      </c>
      <c r="H111" s="4">
        <f t="shared" si="7"/>
        <v>1521</v>
      </c>
      <c r="I111" s="5">
        <f>SQRT(SUM('r-pi-multi'!$D$3:D111)/COUNTIF($A$3:A111,"&lt;&gt;0"))</f>
        <v>64.046571358288134</v>
      </c>
    </row>
    <row r="112" spans="1:9">
      <c r="A112">
        <v>110</v>
      </c>
      <c r="B112">
        <v>5</v>
      </c>
      <c r="C112">
        <v>4600</v>
      </c>
      <c r="D112">
        <v>4427</v>
      </c>
      <c r="E112" s="4">
        <f t="shared" si="4"/>
        <v>1</v>
      </c>
      <c r="F112" s="4">
        <f t="shared" si="5"/>
        <v>173</v>
      </c>
      <c r="G112" s="4">
        <f t="shared" si="6"/>
        <v>1.4144139886578448E-3</v>
      </c>
      <c r="H112" s="4">
        <f t="shared" si="7"/>
        <v>29929</v>
      </c>
      <c r="I112" s="5">
        <f>SQRT(SUM('r-pi-multi'!$D$3:D112)/COUNTIF($A$3:A112,"&lt;&gt;0"))</f>
        <v>64.069635411934271</v>
      </c>
    </row>
    <row r="113" spans="1:9">
      <c r="A113">
        <v>111</v>
      </c>
      <c r="B113">
        <v>5</v>
      </c>
      <c r="C113">
        <v>4600</v>
      </c>
      <c r="D113">
        <v>4469</v>
      </c>
      <c r="E113" s="4">
        <f t="shared" si="4"/>
        <v>1</v>
      </c>
      <c r="F113" s="4">
        <f t="shared" si="5"/>
        <v>131</v>
      </c>
      <c r="G113" s="4">
        <f t="shared" si="6"/>
        <v>8.1101134215500945E-4</v>
      </c>
      <c r="H113" s="4">
        <f t="shared" si="7"/>
        <v>17161</v>
      </c>
      <c r="I113" s="5">
        <f>SQRT(SUM('r-pi-multi'!$D$3:D113)/COUNTIF($A$3:A113,"&lt;&gt;0"))</f>
        <v>64.095227577396102</v>
      </c>
    </row>
    <row r="114" spans="1:9">
      <c r="A114">
        <v>112</v>
      </c>
      <c r="B114">
        <v>5</v>
      </c>
      <c r="C114">
        <v>4600</v>
      </c>
      <c r="D114">
        <v>4555</v>
      </c>
      <c r="E114" s="4">
        <f t="shared" si="4"/>
        <v>1</v>
      </c>
      <c r="F114" s="4">
        <f t="shared" si="5"/>
        <v>45</v>
      </c>
      <c r="G114" s="4">
        <f t="shared" si="6"/>
        <v>9.5699432892249546E-5</v>
      </c>
      <c r="H114" s="4">
        <f t="shared" si="7"/>
        <v>2025</v>
      </c>
      <c r="I114" s="5">
        <f>SQRT(SUM('r-pi-multi'!$D$3:D114)/COUNTIF($A$3:A114,"&lt;&gt;0"))</f>
        <v>64.126340141941668</v>
      </c>
    </row>
    <row r="115" spans="1:9">
      <c r="A115">
        <v>113</v>
      </c>
      <c r="B115">
        <v>5</v>
      </c>
      <c r="C115">
        <v>4600</v>
      </c>
      <c r="D115">
        <v>4488</v>
      </c>
      <c r="E115" s="4">
        <f t="shared" si="4"/>
        <v>1</v>
      </c>
      <c r="F115" s="4">
        <f t="shared" si="5"/>
        <v>112</v>
      </c>
      <c r="G115" s="4">
        <f t="shared" si="6"/>
        <v>5.9281663516068048E-4</v>
      </c>
      <c r="H115" s="4">
        <f t="shared" si="7"/>
        <v>12544</v>
      </c>
      <c r="I115" s="5">
        <f>SQRT(SUM('r-pi-multi'!$D$3:D115)/COUNTIF($A$3:A115,"&lt;&gt;0"))</f>
        <v>64.152266322681712</v>
      </c>
    </row>
    <row r="116" spans="1:9">
      <c r="A116">
        <v>114</v>
      </c>
      <c r="B116">
        <v>5</v>
      </c>
      <c r="C116">
        <v>4600</v>
      </c>
      <c r="D116">
        <v>4501</v>
      </c>
      <c r="E116" s="4">
        <f t="shared" si="4"/>
        <v>1</v>
      </c>
      <c r="F116" s="4">
        <f t="shared" si="5"/>
        <v>99</v>
      </c>
      <c r="G116" s="4">
        <f t="shared" si="6"/>
        <v>4.6318525519848769E-4</v>
      </c>
      <c r="H116" s="4">
        <f t="shared" si="7"/>
        <v>9801</v>
      </c>
      <c r="I116" s="5">
        <f>SQRT(SUM('r-pi-multi'!$D$3:D116)/COUNTIF($A$3:A116,"&lt;&gt;0"))</f>
        <v>64.178615884436965</v>
      </c>
    </row>
    <row r="117" spans="1:9">
      <c r="A117">
        <v>115</v>
      </c>
      <c r="B117">
        <v>5</v>
      </c>
      <c r="C117">
        <v>4600</v>
      </c>
      <c r="D117">
        <v>4036</v>
      </c>
      <c r="E117" s="4">
        <f t="shared" si="4"/>
        <v>1</v>
      </c>
      <c r="F117" s="4">
        <f t="shared" si="5"/>
        <v>564</v>
      </c>
      <c r="G117" s="4">
        <f t="shared" si="6"/>
        <v>1.5032892249527412E-2</v>
      </c>
      <c r="H117" s="4">
        <f t="shared" si="7"/>
        <v>318096</v>
      </c>
      <c r="I117" s="5">
        <f>SQRT(SUM('r-pi-multi'!$D$3:D117)/COUNTIF($A$3:A117,"&lt;&gt;0"))</f>
        <v>64.172999875675742</v>
      </c>
    </row>
    <row r="118" spans="1:9">
      <c r="A118">
        <v>116</v>
      </c>
      <c r="B118">
        <v>5</v>
      </c>
      <c r="C118">
        <v>4600</v>
      </c>
      <c r="D118">
        <v>4357</v>
      </c>
      <c r="E118" s="4">
        <f t="shared" si="4"/>
        <v>1</v>
      </c>
      <c r="F118" s="4">
        <f t="shared" si="5"/>
        <v>243</v>
      </c>
      <c r="G118" s="4">
        <f t="shared" si="6"/>
        <v>2.7905954631379962E-3</v>
      </c>
      <c r="H118" s="4">
        <f t="shared" si="7"/>
        <v>59049</v>
      </c>
      <c r="I118" s="5">
        <f>SQRT(SUM('r-pi-multi'!$D$3:D118)/COUNTIF($A$3:A118,"&lt;&gt;0"))</f>
        <v>64.189039240517445</v>
      </c>
    </row>
    <row r="119" spans="1:9">
      <c r="A119">
        <v>117</v>
      </c>
      <c r="B119">
        <v>5</v>
      </c>
      <c r="C119">
        <v>4600</v>
      </c>
      <c r="D119">
        <v>4359</v>
      </c>
      <c r="E119" s="4">
        <f t="shared" si="4"/>
        <v>1</v>
      </c>
      <c r="F119" s="4">
        <f t="shared" si="5"/>
        <v>241</v>
      </c>
      <c r="G119" s="4">
        <f t="shared" si="6"/>
        <v>2.7448487712665405E-3</v>
      </c>
      <c r="H119" s="4">
        <f t="shared" si="7"/>
        <v>58081</v>
      </c>
      <c r="I119" s="5">
        <f>SQRT(SUM('r-pi-multi'!$D$3:D119)/COUNTIF($A$3:A119,"&lt;&gt;0"))</f>
        <v>64.204933644335341</v>
      </c>
    </row>
    <row r="120" spans="1:9">
      <c r="A120">
        <v>118</v>
      </c>
      <c r="B120">
        <v>5</v>
      </c>
      <c r="C120">
        <v>4600</v>
      </c>
      <c r="D120">
        <v>4437</v>
      </c>
      <c r="E120" s="4">
        <f t="shared" si="4"/>
        <v>1</v>
      </c>
      <c r="F120" s="4">
        <f t="shared" si="5"/>
        <v>163</v>
      </c>
      <c r="G120" s="4">
        <f t="shared" si="6"/>
        <v>1.2556238185255199E-3</v>
      </c>
      <c r="H120" s="4">
        <f t="shared" si="7"/>
        <v>26569</v>
      </c>
      <c r="I120" s="5">
        <f>SQRT(SUM('r-pi-multi'!$D$3:D120)/COUNTIF($A$3:A120,"&lt;&gt;0"))</f>
        <v>64.225701070257699</v>
      </c>
    </row>
    <row r="121" spans="1:9">
      <c r="A121">
        <v>119</v>
      </c>
      <c r="B121">
        <v>5</v>
      </c>
      <c r="C121">
        <v>4600</v>
      </c>
      <c r="D121">
        <v>4601</v>
      </c>
      <c r="E121" s="4">
        <f t="shared" si="4"/>
        <v>1</v>
      </c>
      <c r="F121" s="4">
        <f t="shared" si="5"/>
        <v>1</v>
      </c>
      <c r="G121" s="4">
        <f t="shared" si="6"/>
        <v>4.7258979206049152E-8</v>
      </c>
      <c r="H121" s="4">
        <f t="shared" si="7"/>
        <v>1</v>
      </c>
      <c r="I121" s="5">
        <f>SQRT(SUM('r-pi-multi'!$D$3:D121)/COUNTIF($A$3:A121,"&lt;&gt;0"))</f>
        <v>64.256837585354205</v>
      </c>
    </row>
    <row r="122" spans="1:9">
      <c r="A122">
        <v>120</v>
      </c>
      <c r="B122">
        <v>5</v>
      </c>
      <c r="C122">
        <v>4600</v>
      </c>
      <c r="D122">
        <v>4576</v>
      </c>
      <c r="E122" s="4">
        <f t="shared" si="4"/>
        <v>1</v>
      </c>
      <c r="F122" s="4">
        <f t="shared" si="5"/>
        <v>24</v>
      </c>
      <c r="G122" s="4">
        <f t="shared" si="6"/>
        <v>2.7221172022684314E-5</v>
      </c>
      <c r="H122" s="4">
        <f t="shared" si="7"/>
        <v>576</v>
      </c>
      <c r="I122" s="5">
        <f>SQRT(SUM('r-pi-multi'!$D$3:D122)/COUNTIF($A$3:A122,"&lt;&gt;0"))</f>
        <v>64.285820105733009</v>
      </c>
    </row>
    <row r="123" spans="1:9">
      <c r="A123">
        <v>121</v>
      </c>
      <c r="B123">
        <v>5</v>
      </c>
      <c r="C123">
        <v>4600</v>
      </c>
      <c r="D123">
        <v>4481</v>
      </c>
      <c r="E123" s="4">
        <f t="shared" si="4"/>
        <v>1</v>
      </c>
      <c r="F123" s="4">
        <f t="shared" si="5"/>
        <v>119</v>
      </c>
      <c r="G123" s="4">
        <f t="shared" si="6"/>
        <v>6.6923440453686201E-4</v>
      </c>
      <c r="H123" s="4">
        <f t="shared" si="7"/>
        <v>14161</v>
      </c>
      <c r="I123" s="5">
        <f>SQRT(SUM('r-pi-multi'!$D$3:D123)/COUNTIF($A$3:A123,"&lt;&gt;0"))</f>
        <v>64.30820674335007</v>
      </c>
    </row>
    <row r="124" spans="1:9">
      <c r="A124">
        <v>122</v>
      </c>
      <c r="B124">
        <v>5</v>
      </c>
      <c r="C124">
        <v>4600</v>
      </c>
      <c r="D124">
        <v>4428</v>
      </c>
      <c r="E124" s="4">
        <f t="shared" si="4"/>
        <v>1</v>
      </c>
      <c r="F124" s="4">
        <f t="shared" si="5"/>
        <v>172</v>
      </c>
      <c r="G124" s="4">
        <f t="shared" si="6"/>
        <v>1.3981096408317581E-3</v>
      </c>
      <c r="H124" s="4">
        <f t="shared" si="7"/>
        <v>29584</v>
      </c>
      <c r="I124" s="5">
        <f>SQRT(SUM('r-pi-multi'!$D$3:D124)/COUNTIF($A$3:A124,"&lt;&gt;0"))</f>
        <v>64.326842165233174</v>
      </c>
    </row>
    <row r="125" spans="1:9">
      <c r="A125">
        <v>123</v>
      </c>
      <c r="B125">
        <v>5</v>
      </c>
      <c r="C125">
        <v>4600</v>
      </c>
      <c r="D125">
        <v>4499</v>
      </c>
      <c r="E125" s="4">
        <f t="shared" si="4"/>
        <v>1</v>
      </c>
      <c r="F125" s="4">
        <f t="shared" si="5"/>
        <v>101</v>
      </c>
      <c r="G125" s="4">
        <f t="shared" si="6"/>
        <v>4.8208884688090734E-4</v>
      </c>
      <c r="H125" s="4">
        <f t="shared" si="7"/>
        <v>10201</v>
      </c>
      <c r="I125" s="5">
        <f>SQRT(SUM('r-pi-multi'!$D$3:D125)/COUNTIF($A$3:A125,"&lt;&gt;0"))</f>
        <v>64.349654612752104</v>
      </c>
    </row>
    <row r="126" spans="1:9">
      <c r="A126">
        <v>124</v>
      </c>
      <c r="B126">
        <v>5</v>
      </c>
      <c r="C126">
        <v>4600</v>
      </c>
      <c r="D126">
        <v>4532</v>
      </c>
      <c r="E126" s="4">
        <f t="shared" si="4"/>
        <v>1</v>
      </c>
      <c r="F126" s="4">
        <f t="shared" si="5"/>
        <v>68</v>
      </c>
      <c r="G126" s="4">
        <f t="shared" si="6"/>
        <v>2.1852551984877127E-4</v>
      </c>
      <c r="H126" s="4">
        <f t="shared" si="7"/>
        <v>4624</v>
      </c>
      <c r="I126" s="5">
        <f>SQRT(SUM('r-pi-multi'!$D$3:D126)/COUNTIF($A$3:A126,"&lt;&gt;0"))</f>
        <v>64.374158309561736</v>
      </c>
    </row>
    <row r="127" spans="1:9">
      <c r="A127">
        <v>125</v>
      </c>
      <c r="B127">
        <v>5</v>
      </c>
      <c r="C127">
        <v>4600</v>
      </c>
      <c r="D127">
        <v>4513</v>
      </c>
      <c r="E127" s="4">
        <f t="shared" si="4"/>
        <v>1</v>
      </c>
      <c r="F127" s="4">
        <f t="shared" si="5"/>
        <v>87</v>
      </c>
      <c r="G127" s="4">
        <f t="shared" si="6"/>
        <v>3.5770321361058599E-4</v>
      </c>
      <c r="H127" s="4">
        <f t="shared" si="7"/>
        <v>7569</v>
      </c>
      <c r="I127" s="5">
        <f>SQRT(SUM('r-pi-multi'!$D$3:D127)/COUNTIF($A$3:A127,"&lt;&gt;0"))</f>
        <v>64.397080679173655</v>
      </c>
    </row>
    <row r="128" spans="1:9">
      <c r="A128">
        <v>126</v>
      </c>
      <c r="B128">
        <v>5</v>
      </c>
      <c r="C128">
        <v>4600</v>
      </c>
      <c r="D128">
        <v>4467</v>
      </c>
      <c r="E128" s="4">
        <f t="shared" si="4"/>
        <v>1</v>
      </c>
      <c r="F128" s="4">
        <f t="shared" si="5"/>
        <v>133</v>
      </c>
      <c r="G128" s="4">
        <f t="shared" si="6"/>
        <v>8.3596408317580351E-4</v>
      </c>
      <c r="H128" s="4">
        <f t="shared" si="7"/>
        <v>17689</v>
      </c>
      <c r="I128" s="5">
        <f>SQRT(SUM('r-pi-multi'!$D$3:D128)/COUNTIF($A$3:A128,"&lt;&gt;0"))</f>
        <v>64.416797572712426</v>
      </c>
    </row>
    <row r="129" spans="1:9">
      <c r="A129">
        <v>127</v>
      </c>
      <c r="B129">
        <v>5</v>
      </c>
      <c r="C129">
        <v>4600</v>
      </c>
      <c r="D129">
        <v>4479</v>
      </c>
      <c r="E129" s="4">
        <f t="shared" si="4"/>
        <v>1</v>
      </c>
      <c r="F129" s="4">
        <f t="shared" si="5"/>
        <v>121</v>
      </c>
      <c r="G129" s="4">
        <f t="shared" si="6"/>
        <v>6.9191871455576571E-4</v>
      </c>
      <c r="H129" s="4">
        <f t="shared" si="7"/>
        <v>14641</v>
      </c>
      <c r="I129" s="5">
        <f>SQRT(SUM('r-pi-multi'!$D$3:D129)/COUNTIF($A$3:A129,"&lt;&gt;0"))</f>
        <v>64.436931260234772</v>
      </c>
    </row>
    <row r="130" spans="1:9">
      <c r="A130">
        <v>128</v>
      </c>
      <c r="B130">
        <v>5</v>
      </c>
      <c r="C130">
        <v>4600</v>
      </c>
      <c r="D130">
        <v>4513</v>
      </c>
      <c r="E130" s="4">
        <f t="shared" si="4"/>
        <v>1</v>
      </c>
      <c r="F130" s="4">
        <f t="shared" si="5"/>
        <v>87</v>
      </c>
      <c r="G130" s="4">
        <f t="shared" si="6"/>
        <v>3.5770321361058599E-4</v>
      </c>
      <c r="H130" s="4">
        <f t="shared" si="7"/>
        <v>7569</v>
      </c>
      <c r="I130" s="5">
        <f>SQRT(SUM('r-pi-multi'!$D$3:D130)/COUNTIF($A$3:A130,"&lt;&gt;0"))</f>
        <v>64.458804673993143</v>
      </c>
    </row>
    <row r="131" spans="1:9">
      <c r="A131">
        <v>129</v>
      </c>
      <c r="B131">
        <v>5</v>
      </c>
      <c r="C131">
        <v>4600</v>
      </c>
      <c r="D131">
        <v>4512</v>
      </c>
      <c r="E131" s="4">
        <f t="shared" si="4"/>
        <v>1</v>
      </c>
      <c r="F131" s="4">
        <f t="shared" si="5"/>
        <v>88</v>
      </c>
      <c r="G131" s="4">
        <f t="shared" si="6"/>
        <v>3.6597353497164458E-4</v>
      </c>
      <c r="H131" s="4">
        <f t="shared" si="7"/>
        <v>7744</v>
      </c>
      <c r="I131" s="5">
        <f>SQRT(SUM('r-pi-multi'!$D$3:D131)/COUNTIF($A$3:A131,"&lt;&gt;0"))</f>
        <v>64.480271605791089</v>
      </c>
    </row>
    <row r="132" spans="1:9">
      <c r="A132">
        <v>130</v>
      </c>
      <c r="B132">
        <v>5</v>
      </c>
      <c r="C132">
        <v>4600</v>
      </c>
      <c r="D132">
        <v>4529</v>
      </c>
      <c r="E132" s="4">
        <f t="shared" ref="E132:E152" si="8">IF(AND(D132&lt;=C132*1.2,D132&gt;=C132*0.8),1,0)</f>
        <v>1</v>
      </c>
      <c r="F132" s="4">
        <f t="shared" ref="F132:F195" si="9">ABS(C132-D132)</f>
        <v>71</v>
      </c>
      <c r="G132" s="4">
        <f t="shared" ref="G132:G195" si="10">POWER(ABS(C132-D132)/C132,2)</f>
        <v>2.3823251417769375E-4</v>
      </c>
      <c r="H132" s="4">
        <f t="shared" ref="H132:H195" si="11">POWER(F132,2)</f>
        <v>5041</v>
      </c>
      <c r="I132" s="5">
        <f>SQRT(SUM('r-pi-multi'!$D$3:D132)/COUNTIF($A$3:A132,"&lt;&gt;0"))</f>
        <v>64.502414981623275</v>
      </c>
    </row>
    <row r="133" spans="1:9">
      <c r="A133">
        <v>131</v>
      </c>
      <c r="B133">
        <v>5</v>
      </c>
      <c r="C133">
        <v>4600</v>
      </c>
      <c r="D133">
        <v>4510</v>
      </c>
      <c r="E133" s="4">
        <f t="shared" si="8"/>
        <v>1</v>
      </c>
      <c r="F133" s="4">
        <f t="shared" si="9"/>
        <v>90</v>
      </c>
      <c r="G133" s="4">
        <f t="shared" si="10"/>
        <v>3.8279773156899818E-4</v>
      </c>
      <c r="H133" s="4">
        <f t="shared" si="11"/>
        <v>8100</v>
      </c>
      <c r="I133" s="5">
        <f>SQRT(SUM('r-pi-multi'!$D$3:D133)/COUNTIF($A$3:A133,"&lt;&gt;0"))</f>
        <v>64.523088949875827</v>
      </c>
    </row>
    <row r="134" spans="1:9">
      <c r="A134">
        <v>132</v>
      </c>
      <c r="B134">
        <v>5</v>
      </c>
      <c r="C134">
        <v>4600</v>
      </c>
      <c r="D134">
        <v>4550</v>
      </c>
      <c r="E134" s="4">
        <f t="shared" si="8"/>
        <v>1</v>
      </c>
      <c r="F134" s="4">
        <f t="shared" si="9"/>
        <v>50</v>
      </c>
      <c r="G134" s="4">
        <f t="shared" si="10"/>
        <v>1.1814744801512286E-4</v>
      </c>
      <c r="H134" s="4">
        <f t="shared" si="11"/>
        <v>2500</v>
      </c>
      <c r="I134" s="5">
        <f>SQRT(SUM('r-pi-multi'!$D$3:D134)/COUNTIF($A$3:A134,"&lt;&gt;0"))</f>
        <v>64.54579065213386</v>
      </c>
    </row>
    <row r="135" spans="1:9">
      <c r="A135">
        <v>133</v>
      </c>
      <c r="B135">
        <v>5</v>
      </c>
      <c r="C135">
        <v>4600</v>
      </c>
      <c r="D135">
        <v>4392</v>
      </c>
      <c r="E135" s="4">
        <f t="shared" si="8"/>
        <v>1</v>
      </c>
      <c r="F135" s="4">
        <f t="shared" si="9"/>
        <v>208</v>
      </c>
      <c r="G135" s="4">
        <f t="shared" si="10"/>
        <v>2.0446124763705107E-3</v>
      </c>
      <c r="H135" s="4">
        <f t="shared" si="11"/>
        <v>43264</v>
      </c>
      <c r="I135" s="5">
        <f>SQRT(SUM('r-pi-multi'!$D$3:D135)/COUNTIF($A$3:A135,"&lt;&gt;0"))</f>
        <v>64.558943167133265</v>
      </c>
    </row>
    <row r="136" spans="1:9">
      <c r="A136">
        <v>134</v>
      </c>
      <c r="B136">
        <v>5</v>
      </c>
      <c r="C136">
        <v>4600</v>
      </c>
      <c r="D136">
        <v>4428</v>
      </c>
      <c r="E136" s="4">
        <f t="shared" si="8"/>
        <v>1</v>
      </c>
      <c r="F136" s="4">
        <f t="shared" si="9"/>
        <v>172</v>
      </c>
      <c r="G136" s="4">
        <f t="shared" si="10"/>
        <v>1.3981096408317581E-3</v>
      </c>
      <c r="H136" s="4">
        <f t="shared" si="11"/>
        <v>29584</v>
      </c>
      <c r="I136" s="5">
        <f>SQRT(SUM('r-pi-multi'!$D$3:D136)/COUNTIF($A$3:A136,"&lt;&gt;0"))</f>
        <v>64.573977014449767</v>
      </c>
    </row>
    <row r="137" spans="1:9">
      <c r="A137">
        <v>135</v>
      </c>
      <c r="B137">
        <v>5</v>
      </c>
      <c r="C137">
        <v>4600</v>
      </c>
      <c r="D137">
        <v>4562</v>
      </c>
      <c r="E137" s="4">
        <f t="shared" si="8"/>
        <v>1</v>
      </c>
      <c r="F137" s="4">
        <f t="shared" si="9"/>
        <v>38</v>
      </c>
      <c r="G137" s="4">
        <f t="shared" si="10"/>
        <v>6.8241965973534966E-5</v>
      </c>
      <c r="H137" s="4">
        <f t="shared" si="11"/>
        <v>1444</v>
      </c>
      <c r="I137" s="5">
        <f>SQRT(SUM('r-pi-multi'!$D$3:D137)/COUNTIF($A$3:A137,"&lt;&gt;0"))</f>
        <v>64.596468198375234</v>
      </c>
    </row>
    <row r="138" spans="1:9">
      <c r="A138">
        <v>136</v>
      </c>
      <c r="B138">
        <v>5</v>
      </c>
      <c r="C138">
        <v>4600</v>
      </c>
      <c r="D138">
        <v>4553</v>
      </c>
      <c r="E138" s="4">
        <f t="shared" si="8"/>
        <v>1</v>
      </c>
      <c r="F138" s="4">
        <f t="shared" si="9"/>
        <v>47</v>
      </c>
      <c r="G138" s="4">
        <f t="shared" si="10"/>
        <v>1.0439508506616256E-4</v>
      </c>
      <c r="H138" s="4">
        <f t="shared" si="11"/>
        <v>2209</v>
      </c>
      <c r="I138" s="5">
        <f>SQRT(SUM('r-pi-multi'!$D$3:D138)/COUNTIF($A$3:A138,"&lt;&gt;0"))</f>
        <v>64.618108916928236</v>
      </c>
    </row>
    <row r="139" spans="1:9">
      <c r="A139">
        <v>137</v>
      </c>
      <c r="B139">
        <v>5</v>
      </c>
      <c r="C139">
        <v>4600</v>
      </c>
      <c r="D139">
        <v>4489</v>
      </c>
      <c r="E139" s="4">
        <f t="shared" si="8"/>
        <v>1</v>
      </c>
      <c r="F139" s="4">
        <f t="shared" si="9"/>
        <v>111</v>
      </c>
      <c r="G139" s="4">
        <f t="shared" si="10"/>
        <v>5.8227788279773159E-4</v>
      </c>
      <c r="H139" s="4">
        <f t="shared" si="11"/>
        <v>12321</v>
      </c>
      <c r="I139" s="5">
        <f>SQRT(SUM('r-pi-multi'!$D$3:D139)/COUNTIF($A$3:A139,"&lt;&gt;0"))</f>
        <v>64.635812992240488</v>
      </c>
    </row>
    <row r="140" spans="1:9">
      <c r="A140">
        <v>138</v>
      </c>
      <c r="B140">
        <v>5</v>
      </c>
      <c r="C140">
        <v>4600</v>
      </c>
      <c r="D140">
        <v>4514</v>
      </c>
      <c r="E140" s="4">
        <f t="shared" si="8"/>
        <v>1</v>
      </c>
      <c r="F140" s="4">
        <f t="shared" si="9"/>
        <v>86</v>
      </c>
      <c r="G140" s="4">
        <f t="shared" si="10"/>
        <v>3.4952741020793953E-4</v>
      </c>
      <c r="H140" s="4">
        <f t="shared" si="11"/>
        <v>7396</v>
      </c>
      <c r="I140" s="5">
        <f>SQRT(SUM('r-pi-multi'!$D$3:D140)/COUNTIF($A$3:A140,"&lt;&gt;0"))</f>
        <v>64.654656736241037</v>
      </c>
    </row>
    <row r="141" spans="1:9">
      <c r="A141">
        <v>139</v>
      </c>
      <c r="B141">
        <v>5</v>
      </c>
      <c r="C141">
        <v>4600</v>
      </c>
      <c r="D141">
        <v>4525</v>
      </c>
      <c r="E141" s="4">
        <f t="shared" si="8"/>
        <v>1</v>
      </c>
      <c r="F141" s="4">
        <f t="shared" si="9"/>
        <v>75</v>
      </c>
      <c r="G141" s="4">
        <f t="shared" si="10"/>
        <v>2.6583175803402646E-4</v>
      </c>
      <c r="H141" s="4">
        <f t="shared" si="11"/>
        <v>5625</v>
      </c>
      <c r="I141" s="5">
        <f>SQRT(SUM('r-pi-multi'!$D$3:D141)/COUNTIF($A$3:A141,"&lt;&gt;0"))</f>
        <v>64.67383579138648</v>
      </c>
    </row>
    <row r="142" spans="1:9">
      <c r="A142">
        <v>140</v>
      </c>
      <c r="B142">
        <v>5</v>
      </c>
      <c r="C142">
        <v>4600</v>
      </c>
      <c r="D142">
        <v>4587</v>
      </c>
      <c r="E142" s="4">
        <f t="shared" si="8"/>
        <v>1</v>
      </c>
      <c r="F142" s="4">
        <f t="shared" si="9"/>
        <v>13</v>
      </c>
      <c r="G142" s="4">
        <f t="shared" si="10"/>
        <v>7.9867674858223072E-6</v>
      </c>
      <c r="H142" s="4">
        <f t="shared" si="11"/>
        <v>169</v>
      </c>
      <c r="I142" s="5">
        <f>SQRT(SUM('r-pi-multi'!$D$3:D142)/COUNTIF($A$3:A142,"&lt;&gt;0"))</f>
        <v>64.696157978220441</v>
      </c>
    </row>
    <row r="143" spans="1:9">
      <c r="A143">
        <v>141</v>
      </c>
      <c r="B143">
        <v>5</v>
      </c>
      <c r="C143">
        <v>4600</v>
      </c>
      <c r="D143">
        <v>4477</v>
      </c>
      <c r="E143" s="4">
        <f t="shared" si="8"/>
        <v>1</v>
      </c>
      <c r="F143" s="4">
        <f t="shared" si="9"/>
        <v>123</v>
      </c>
      <c r="G143" s="4">
        <f t="shared" si="10"/>
        <v>7.1498109640831759E-4</v>
      </c>
      <c r="H143" s="4">
        <f t="shared" si="11"/>
        <v>15129</v>
      </c>
      <c r="I143" s="5">
        <f>SQRT(SUM('r-pi-multi'!$D$3:D143)/COUNTIF($A$3:A143,"&lt;&gt;0"))</f>
        <v>64.712128495886191</v>
      </c>
    </row>
    <row r="144" spans="1:9">
      <c r="A144">
        <v>142</v>
      </c>
      <c r="B144">
        <v>5</v>
      </c>
      <c r="C144">
        <v>4600</v>
      </c>
      <c r="D144">
        <v>4509</v>
      </c>
      <c r="E144" s="4">
        <f t="shared" si="8"/>
        <v>1</v>
      </c>
      <c r="F144" s="4">
        <f t="shared" si="9"/>
        <v>91</v>
      </c>
      <c r="G144" s="4">
        <f t="shared" si="10"/>
        <v>3.9135160680529304E-4</v>
      </c>
      <c r="H144" s="4">
        <f t="shared" si="11"/>
        <v>8281</v>
      </c>
      <c r="I144" s="5">
        <f>SQRT(SUM('r-pi-multi'!$D$3:D144)/COUNTIF($A$3:A144,"&lt;&gt;0"))</f>
        <v>64.729610961377389</v>
      </c>
    </row>
    <row r="145" spans="1:9">
      <c r="A145">
        <v>143</v>
      </c>
      <c r="B145">
        <v>5</v>
      </c>
      <c r="C145">
        <v>4600</v>
      </c>
      <c r="D145">
        <v>4438</v>
      </c>
      <c r="E145" s="4">
        <f t="shared" si="8"/>
        <v>1</v>
      </c>
      <c r="F145" s="4">
        <f t="shared" si="9"/>
        <v>162</v>
      </c>
      <c r="G145" s="4">
        <f t="shared" si="10"/>
        <v>1.2402646502835538E-3</v>
      </c>
      <c r="H145" s="4">
        <f t="shared" si="11"/>
        <v>26244</v>
      </c>
      <c r="I145" s="5">
        <f>SQRT(SUM('r-pi-multi'!$D$3:D145)/COUNTIF($A$3:A145,"&lt;&gt;0"))</f>
        <v>64.743009990711286</v>
      </c>
    </row>
    <row r="146" spans="1:9">
      <c r="A146">
        <v>144</v>
      </c>
      <c r="B146">
        <v>5</v>
      </c>
      <c r="C146">
        <v>4600</v>
      </c>
      <c r="D146">
        <v>4501</v>
      </c>
      <c r="E146" s="4">
        <f t="shared" si="8"/>
        <v>1</v>
      </c>
      <c r="F146" s="4">
        <f t="shared" si="9"/>
        <v>99</v>
      </c>
      <c r="G146" s="4">
        <f t="shared" si="10"/>
        <v>4.6318525519848769E-4</v>
      </c>
      <c r="H146" s="4">
        <f t="shared" si="11"/>
        <v>9801</v>
      </c>
      <c r="I146" s="5">
        <f>SQRT(SUM('r-pi-multi'!$D$3:D146)/COUNTIF($A$3:A146,"&lt;&gt;0"))</f>
        <v>64.759598173209469</v>
      </c>
    </row>
    <row r="147" spans="1:9">
      <c r="A147">
        <v>145</v>
      </c>
      <c r="B147">
        <v>5</v>
      </c>
      <c r="C147">
        <v>4600</v>
      </c>
      <c r="D147">
        <v>4474</v>
      </c>
      <c r="E147" s="4">
        <f t="shared" si="8"/>
        <v>1</v>
      </c>
      <c r="F147" s="4">
        <f t="shared" si="9"/>
        <v>126</v>
      </c>
      <c r="G147" s="4">
        <f t="shared" si="10"/>
        <v>7.5028355387523617E-4</v>
      </c>
      <c r="H147" s="4">
        <f t="shared" si="11"/>
        <v>15876</v>
      </c>
      <c r="I147" s="5">
        <f>SQRT(SUM('r-pi-multi'!$D$3:D147)/COUNTIF($A$3:A147,"&lt;&gt;0"))</f>
        <v>64.77451606175444</v>
      </c>
    </row>
    <row r="148" spans="1:9">
      <c r="A148">
        <v>146</v>
      </c>
      <c r="B148">
        <v>5</v>
      </c>
      <c r="C148">
        <v>4600</v>
      </c>
      <c r="D148">
        <v>4392</v>
      </c>
      <c r="E148" s="4">
        <f t="shared" si="8"/>
        <v>1</v>
      </c>
      <c r="F148" s="4">
        <f t="shared" si="9"/>
        <v>208</v>
      </c>
      <c r="G148" s="4">
        <f t="shared" si="10"/>
        <v>2.0446124763705107E-3</v>
      </c>
      <c r="H148" s="4">
        <f t="shared" si="11"/>
        <v>43264</v>
      </c>
      <c r="I148" s="5">
        <f>SQRT(SUM('r-pi-multi'!$D$3:D148)/COUNTIF($A$3:A148,"&lt;&gt;0"))</f>
        <v>64.784891693826438</v>
      </c>
    </row>
    <row r="149" spans="1:9">
      <c r="A149">
        <v>147</v>
      </c>
      <c r="B149">
        <v>5</v>
      </c>
      <c r="C149">
        <v>4600</v>
      </c>
      <c r="D149">
        <v>4497</v>
      </c>
      <c r="E149" s="4">
        <f t="shared" si="8"/>
        <v>1</v>
      </c>
      <c r="F149" s="4">
        <f t="shared" si="9"/>
        <v>103</v>
      </c>
      <c r="G149" s="4">
        <f t="shared" si="10"/>
        <v>5.0137051039697545E-4</v>
      </c>
      <c r="H149" s="4">
        <f t="shared" si="11"/>
        <v>10609</v>
      </c>
      <c r="I149" s="5">
        <f>SQRT(SUM('r-pi-multi'!$D$3:D149)/COUNTIF($A$3:A149,"&lt;&gt;0"))</f>
        <v>64.800636177275237</v>
      </c>
    </row>
    <row r="150" spans="1:9">
      <c r="A150">
        <v>148</v>
      </c>
      <c r="B150">
        <v>5</v>
      </c>
      <c r="C150">
        <v>4600</v>
      </c>
      <c r="D150">
        <v>4512</v>
      </c>
      <c r="E150" s="4">
        <f t="shared" si="8"/>
        <v>1</v>
      </c>
      <c r="F150" s="4">
        <f t="shared" si="9"/>
        <v>88</v>
      </c>
      <c r="G150" s="4">
        <f t="shared" si="10"/>
        <v>3.6597353497164458E-4</v>
      </c>
      <c r="H150" s="4">
        <f t="shared" si="11"/>
        <v>7744</v>
      </c>
      <c r="I150" s="5">
        <f>SQRT(SUM('r-pi-multi'!$D$3:D150)/COUNTIF($A$3:A150,"&lt;&gt;0"))</f>
        <v>64.816945982408697</v>
      </c>
    </row>
    <row r="151" spans="1:9">
      <c r="A151">
        <v>149</v>
      </c>
      <c r="B151">
        <v>5</v>
      </c>
      <c r="C151">
        <v>4600</v>
      </c>
      <c r="D151">
        <v>4475</v>
      </c>
      <c r="E151" s="4">
        <f t="shared" si="8"/>
        <v>1</v>
      </c>
      <c r="F151" s="4">
        <f t="shared" si="9"/>
        <v>125</v>
      </c>
      <c r="G151" s="4">
        <f t="shared" si="10"/>
        <v>7.3842155009451796E-4</v>
      </c>
      <c r="H151" s="4">
        <f t="shared" si="11"/>
        <v>15625</v>
      </c>
      <c r="I151" s="5">
        <f>SQRT(SUM('r-pi-multi'!$D$3:D151)/COUNTIF($A$3:A151,"&lt;&gt;0"))</f>
        <v>64.831117725235586</v>
      </c>
    </row>
    <row r="152" spans="1:9">
      <c r="A152">
        <v>150</v>
      </c>
      <c r="B152">
        <v>5</v>
      </c>
      <c r="C152">
        <v>4600</v>
      </c>
      <c r="D152">
        <v>4518</v>
      </c>
      <c r="E152" s="4">
        <f t="shared" si="8"/>
        <v>1</v>
      </c>
      <c r="F152" s="4">
        <f t="shared" si="9"/>
        <v>82</v>
      </c>
      <c r="G152" s="4">
        <f t="shared" si="10"/>
        <v>3.1776937618147445E-4</v>
      </c>
      <c r="H152" s="4">
        <f t="shared" si="11"/>
        <v>6724</v>
      </c>
      <c r="I152" s="5">
        <f>SQRT(SUM('r-pi-multi'!$D$3:D152)/COUNTIF($A$3:A152,"&lt;&gt;0"))</f>
        <v>64.847307834121636</v>
      </c>
    </row>
    <row r="153" spans="1:9">
      <c r="A153">
        <v>151</v>
      </c>
      <c r="B153">
        <v>5</v>
      </c>
      <c r="C153">
        <v>9500</v>
      </c>
      <c r="D153">
        <v>4462</v>
      </c>
      <c r="E153" s="4">
        <f t="shared" ref="E153:E216" si="12">IF(AND(D153&lt;=C153*1.2,D153&gt;=C153*0.8),1,0)</f>
        <v>0</v>
      </c>
      <c r="F153" s="4">
        <f t="shared" si="9"/>
        <v>5038</v>
      </c>
      <c r="G153" s="4">
        <f t="shared" si="10"/>
        <v>0.2812348365650969</v>
      </c>
      <c r="H153" s="4">
        <f t="shared" si="11"/>
        <v>25381444</v>
      </c>
      <c r="I153" s="5">
        <f>SQRT(SUM('r-pi-multi'!$D$3:D153)/COUNTIF($A$3:A153,"&lt;&gt;0"))</f>
        <v>64.860420690783613</v>
      </c>
    </row>
    <row r="154" spans="1:9">
      <c r="A154">
        <v>152</v>
      </c>
      <c r="B154">
        <v>7</v>
      </c>
      <c r="C154">
        <v>9500</v>
      </c>
      <c r="D154">
        <v>5729</v>
      </c>
      <c r="E154" s="4">
        <f t="shared" si="12"/>
        <v>0</v>
      </c>
      <c r="F154" s="4">
        <f t="shared" si="9"/>
        <v>3771</v>
      </c>
      <c r="G154" s="4">
        <f t="shared" si="10"/>
        <v>0.15756721329639886</v>
      </c>
      <c r="H154" s="4">
        <f t="shared" si="11"/>
        <v>14220441</v>
      </c>
      <c r="I154" s="5">
        <f>SQRT(SUM('r-pi-multi'!$D$3:D154)/COUNTIF($A$3:A154,"&lt;&gt;0"))</f>
        <v>64.937571234954092</v>
      </c>
    </row>
    <row r="155" spans="1:9">
      <c r="A155">
        <v>153</v>
      </c>
      <c r="B155">
        <v>7</v>
      </c>
      <c r="C155">
        <v>9500</v>
      </c>
      <c r="D155">
        <v>5736</v>
      </c>
      <c r="E155" s="4">
        <f t="shared" si="12"/>
        <v>0</v>
      </c>
      <c r="F155" s="4">
        <f t="shared" si="9"/>
        <v>3764</v>
      </c>
      <c r="G155" s="4">
        <f t="shared" si="10"/>
        <v>0.15698278116343489</v>
      </c>
      <c r="H155" s="4">
        <f t="shared" si="11"/>
        <v>14167696</v>
      </c>
      <c r="I155" s="5">
        <f>SQRT(SUM('r-pi-multi'!$D$3:D155)/COUNTIF($A$3:A155,"&lt;&gt;0"))</f>
        <v>65.013975370408261</v>
      </c>
    </row>
    <row r="156" spans="1:9">
      <c r="A156">
        <v>154</v>
      </c>
      <c r="B156">
        <v>7</v>
      </c>
      <c r="C156">
        <v>9500</v>
      </c>
      <c r="D156">
        <v>5805</v>
      </c>
      <c r="E156" s="4">
        <f t="shared" si="12"/>
        <v>0</v>
      </c>
      <c r="F156" s="4">
        <f t="shared" si="9"/>
        <v>3695</v>
      </c>
      <c r="G156" s="4">
        <f t="shared" si="10"/>
        <v>0.15128005540166206</v>
      </c>
      <c r="H156" s="4">
        <f t="shared" si="11"/>
        <v>13653025</v>
      </c>
      <c r="I156" s="5">
        <f>SQRT(SUM('r-pi-multi'!$D$3:D156)/COUNTIF($A$3:A156,"&lt;&gt;0"))</f>
        <v>65.092741032045453</v>
      </c>
    </row>
    <row r="157" spans="1:9">
      <c r="A157">
        <v>155</v>
      </c>
      <c r="B157">
        <v>8</v>
      </c>
      <c r="C157">
        <v>9500</v>
      </c>
      <c r="D157">
        <v>6571</v>
      </c>
      <c r="E157" s="4">
        <f t="shared" si="12"/>
        <v>0</v>
      </c>
      <c r="F157" s="4">
        <f t="shared" si="9"/>
        <v>2929</v>
      </c>
      <c r="G157" s="4">
        <f t="shared" si="10"/>
        <v>9.5058626038781166E-2</v>
      </c>
      <c r="H157" s="4">
        <f t="shared" si="11"/>
        <v>8579041</v>
      </c>
      <c r="I157" s="5">
        <f>SQRT(SUM('r-pi-multi'!$D$3:D157)/COUNTIF($A$3:A157,"&lt;&gt;0"))</f>
        <v>65.208301470327854</v>
      </c>
    </row>
    <row r="158" spans="1:9">
      <c r="A158">
        <v>156</v>
      </c>
      <c r="B158">
        <v>8</v>
      </c>
      <c r="C158">
        <v>9500</v>
      </c>
      <c r="D158">
        <v>6615</v>
      </c>
      <c r="E158" s="4">
        <f t="shared" si="12"/>
        <v>0</v>
      </c>
      <c r="F158" s="4">
        <f t="shared" si="9"/>
        <v>2885</v>
      </c>
      <c r="G158" s="4">
        <f t="shared" si="10"/>
        <v>9.2224099722991684E-2</v>
      </c>
      <c r="H158" s="4">
        <f t="shared" si="11"/>
        <v>8323225</v>
      </c>
      <c r="I158" s="5">
        <f>SQRT(SUM('r-pi-multi'!$D$3:D158)/COUNTIF($A$3:A158,"&lt;&gt;0"))</f>
        <v>65.32433873197057</v>
      </c>
    </row>
    <row r="159" spans="1:9">
      <c r="A159">
        <v>157</v>
      </c>
      <c r="B159">
        <v>8</v>
      </c>
      <c r="C159">
        <v>9500</v>
      </c>
      <c r="D159">
        <v>6549</v>
      </c>
      <c r="E159" s="4">
        <f t="shared" si="12"/>
        <v>0</v>
      </c>
      <c r="F159" s="4">
        <f t="shared" si="9"/>
        <v>2951</v>
      </c>
      <c r="G159" s="4">
        <f t="shared" si="10"/>
        <v>9.6491977839335177E-2</v>
      </c>
      <c r="H159" s="4">
        <f t="shared" si="11"/>
        <v>8708401</v>
      </c>
      <c r="I159" s="5">
        <f>SQRT(SUM('r-pi-multi'!$D$3:D159)/COUNTIF($A$3:A159,"&lt;&gt;0"))</f>
        <v>65.435483858306583</v>
      </c>
    </row>
    <row r="160" spans="1:9">
      <c r="A160">
        <v>158</v>
      </c>
      <c r="B160">
        <v>9</v>
      </c>
      <c r="C160">
        <v>9500</v>
      </c>
      <c r="D160">
        <v>6859</v>
      </c>
      <c r="E160" s="4">
        <f t="shared" si="12"/>
        <v>0</v>
      </c>
      <c r="F160" s="4">
        <f t="shared" si="9"/>
        <v>2641</v>
      </c>
      <c r="G160" s="4">
        <f t="shared" si="10"/>
        <v>7.7284000000000019E-2</v>
      </c>
      <c r="H160" s="4">
        <f t="shared" si="11"/>
        <v>6974881</v>
      </c>
      <c r="I160" s="5">
        <f>SQRT(SUM('r-pi-multi'!$D$3:D160)/COUNTIF($A$3:A160,"&lt;&gt;0"))</f>
        <v>65.560002471405028</v>
      </c>
    </row>
    <row r="161" spans="1:9">
      <c r="A161">
        <v>159</v>
      </c>
      <c r="B161">
        <v>9</v>
      </c>
      <c r="C161">
        <v>9500</v>
      </c>
      <c r="D161">
        <v>7011</v>
      </c>
      <c r="E161" s="4">
        <f t="shared" si="12"/>
        <v>0</v>
      </c>
      <c r="F161" s="4">
        <f t="shared" si="9"/>
        <v>2489</v>
      </c>
      <c r="G161" s="4">
        <f t="shared" si="10"/>
        <v>6.8644000000000011E-2</v>
      </c>
      <c r="H161" s="4">
        <f t="shared" si="11"/>
        <v>6195121</v>
      </c>
      <c r="I161" s="5">
        <f>SQRT(SUM('r-pi-multi'!$D$3:D161)/COUNTIF($A$3:A161,"&lt;&gt;0"))</f>
        <v>65.690000004787109</v>
      </c>
    </row>
    <row r="162" spans="1:9">
      <c r="A162">
        <v>160</v>
      </c>
      <c r="B162">
        <v>9</v>
      </c>
      <c r="C162">
        <v>9500</v>
      </c>
      <c r="D162">
        <v>7007</v>
      </c>
      <c r="E162" s="4">
        <f t="shared" si="12"/>
        <v>0</v>
      </c>
      <c r="F162" s="4">
        <f t="shared" si="9"/>
        <v>2493</v>
      </c>
      <c r="G162" s="4">
        <f t="shared" si="10"/>
        <v>6.8864808864265922E-2</v>
      </c>
      <c r="H162" s="4">
        <f t="shared" si="11"/>
        <v>6215049</v>
      </c>
      <c r="I162" s="5">
        <f>SQRT(SUM('r-pi-multi'!$D$3:D162)/COUNTIF($A$3:A162,"&lt;&gt;0"))</f>
        <v>65.817930687617334</v>
      </c>
    </row>
    <row r="163" spans="1:9">
      <c r="A163">
        <v>161</v>
      </c>
      <c r="B163">
        <v>9</v>
      </c>
      <c r="C163">
        <v>9500</v>
      </c>
      <c r="D163">
        <v>7117</v>
      </c>
      <c r="E163" s="4">
        <f t="shared" si="12"/>
        <v>0</v>
      </c>
      <c r="F163" s="4">
        <f t="shared" si="9"/>
        <v>2383</v>
      </c>
      <c r="G163" s="4">
        <f t="shared" si="10"/>
        <v>6.2921761772853205E-2</v>
      </c>
      <c r="H163" s="4">
        <f t="shared" si="11"/>
        <v>5678689</v>
      </c>
      <c r="I163" s="5">
        <f>SQRT(SUM('r-pi-multi'!$D$3:D163)/COUNTIF($A$3:A163,"&lt;&gt;0"))</f>
        <v>65.949208764366247</v>
      </c>
    </row>
    <row r="164" spans="1:9">
      <c r="A164">
        <v>162</v>
      </c>
      <c r="B164">
        <v>9</v>
      </c>
      <c r="C164">
        <v>9500</v>
      </c>
      <c r="D164">
        <v>7083</v>
      </c>
      <c r="E164" s="4">
        <f t="shared" si="12"/>
        <v>0</v>
      </c>
      <c r="F164" s="4">
        <f t="shared" si="9"/>
        <v>2417</v>
      </c>
      <c r="G164" s="4">
        <f t="shared" si="10"/>
        <v>6.4730072022160662E-2</v>
      </c>
      <c r="H164" s="4">
        <f t="shared" si="11"/>
        <v>5841889</v>
      </c>
      <c r="I164" s="5">
        <f>SQRT(SUM('r-pi-multi'!$D$3:D164)/COUNTIF($A$3:A164,"&lt;&gt;0"))</f>
        <v>66.077022023591326</v>
      </c>
    </row>
    <row r="165" spans="1:9">
      <c r="A165">
        <v>163</v>
      </c>
      <c r="B165">
        <v>10</v>
      </c>
      <c r="C165">
        <v>9500</v>
      </c>
      <c r="D165">
        <v>7768</v>
      </c>
      <c r="E165" s="4">
        <f t="shared" si="12"/>
        <v>1</v>
      </c>
      <c r="F165" s="4">
        <f t="shared" si="9"/>
        <v>1732</v>
      </c>
      <c r="G165" s="4">
        <f t="shared" si="10"/>
        <v>3.3239047091412739E-2</v>
      </c>
      <c r="H165" s="4">
        <f t="shared" si="11"/>
        <v>2999824</v>
      </c>
      <c r="I165" s="5">
        <f>SQRT(SUM('r-pi-multi'!$D$3:D165)/COUNTIF($A$3:A165,"&lt;&gt;0"))</f>
        <v>66.234756320116972</v>
      </c>
    </row>
    <row r="166" spans="1:9">
      <c r="A166">
        <v>164</v>
      </c>
      <c r="B166">
        <v>10</v>
      </c>
      <c r="C166">
        <v>9500</v>
      </c>
      <c r="D166">
        <v>7482</v>
      </c>
      <c r="E166" s="4">
        <f t="shared" si="12"/>
        <v>0</v>
      </c>
      <c r="F166" s="4">
        <f t="shared" si="9"/>
        <v>2018</v>
      </c>
      <c r="G166" s="4">
        <f t="shared" si="10"/>
        <v>4.5122703601108038E-2</v>
      </c>
      <c r="H166" s="4">
        <f t="shared" si="11"/>
        <v>4072324</v>
      </c>
      <c r="I166" s="5">
        <f>SQRT(SUM('r-pi-multi'!$D$3:D166)/COUNTIF($A$3:A166,"&lt;&gt;0"))</f>
        <v>66.377064066937621</v>
      </c>
    </row>
    <row r="167" spans="1:9">
      <c r="A167">
        <v>165</v>
      </c>
      <c r="B167">
        <v>10</v>
      </c>
      <c r="C167">
        <v>9500</v>
      </c>
      <c r="D167">
        <v>7627</v>
      </c>
      <c r="E167" s="4">
        <f t="shared" si="12"/>
        <v>1</v>
      </c>
      <c r="F167" s="4">
        <f t="shared" si="9"/>
        <v>1873</v>
      </c>
      <c r="G167" s="4">
        <f t="shared" si="10"/>
        <v>3.8871235457063717E-2</v>
      </c>
      <c r="H167" s="4">
        <f t="shared" si="11"/>
        <v>3508129</v>
      </c>
      <c r="I167" s="5">
        <f>SQRT(SUM('r-pi-multi'!$D$3:D167)/COUNTIF($A$3:A167,"&lt;&gt;0"))</f>
        <v>66.523953307334068</v>
      </c>
    </row>
    <row r="168" spans="1:9">
      <c r="A168">
        <v>166</v>
      </c>
      <c r="B168">
        <v>10</v>
      </c>
      <c r="C168">
        <v>9500</v>
      </c>
      <c r="D168">
        <v>7525</v>
      </c>
      <c r="E168" s="4">
        <f t="shared" si="12"/>
        <v>0</v>
      </c>
      <c r="F168" s="4">
        <f t="shared" si="9"/>
        <v>1975</v>
      </c>
      <c r="G168" s="4">
        <f t="shared" si="10"/>
        <v>4.32202216066482E-2</v>
      </c>
      <c r="H168" s="4">
        <f t="shared" si="11"/>
        <v>3900625</v>
      </c>
      <c r="I168" s="5">
        <f>SQRT(SUM('r-pi-multi'!$D$3:D168)/COUNTIF($A$3:A168,"&lt;&gt;0"))</f>
        <v>66.664146538712544</v>
      </c>
    </row>
    <row r="169" spans="1:9">
      <c r="A169">
        <v>167</v>
      </c>
      <c r="B169">
        <v>10</v>
      </c>
      <c r="C169">
        <v>9500</v>
      </c>
      <c r="D169">
        <v>7488</v>
      </c>
      <c r="E169" s="4">
        <f t="shared" si="12"/>
        <v>0</v>
      </c>
      <c r="F169" s="4">
        <f t="shared" si="9"/>
        <v>2012</v>
      </c>
      <c r="G169" s="4">
        <f t="shared" si="10"/>
        <v>4.4854781163434901E-2</v>
      </c>
      <c r="H169" s="4">
        <f t="shared" si="11"/>
        <v>4048144</v>
      </c>
      <c r="I169" s="5">
        <f>SQRT(SUM('r-pi-multi'!$D$3:D169)/COUNTIF($A$3:A169,"&lt;&gt;0"))</f>
        <v>66.800713539163013</v>
      </c>
    </row>
    <row r="170" spans="1:9">
      <c r="A170">
        <v>168</v>
      </c>
      <c r="B170">
        <v>11</v>
      </c>
      <c r="C170">
        <v>9500</v>
      </c>
      <c r="D170">
        <v>7860</v>
      </c>
      <c r="E170" s="4">
        <f t="shared" si="12"/>
        <v>1</v>
      </c>
      <c r="F170" s="4">
        <f t="shared" si="9"/>
        <v>1640</v>
      </c>
      <c r="G170" s="4">
        <f t="shared" si="10"/>
        <v>2.9801662049861493E-2</v>
      </c>
      <c r="H170" s="4">
        <f t="shared" si="11"/>
        <v>2689600</v>
      </c>
      <c r="I170" s="5">
        <f>SQRT(SUM('r-pi-multi'!$D$3:D170)/COUNTIF($A$3:A170,"&lt;&gt;0"))</f>
        <v>66.95191949309239</v>
      </c>
    </row>
    <row r="171" spans="1:9">
      <c r="A171">
        <v>169</v>
      </c>
      <c r="B171">
        <v>11</v>
      </c>
      <c r="C171">
        <v>9500</v>
      </c>
      <c r="D171">
        <v>7806</v>
      </c>
      <c r="E171" s="4">
        <f t="shared" si="12"/>
        <v>1</v>
      </c>
      <c r="F171" s="4">
        <f t="shared" si="9"/>
        <v>1694</v>
      </c>
      <c r="G171" s="4">
        <f t="shared" si="10"/>
        <v>3.1796520775623269E-2</v>
      </c>
      <c r="H171" s="4">
        <f t="shared" si="11"/>
        <v>2869636</v>
      </c>
      <c r="I171" s="5">
        <f>SQRT(SUM('r-pi-multi'!$D$3:D171)/COUNTIF($A$3:A171,"&lt;&gt;0"))</f>
        <v>67.098620344020532</v>
      </c>
    </row>
    <row r="172" spans="1:9">
      <c r="A172">
        <v>170</v>
      </c>
      <c r="B172">
        <v>11</v>
      </c>
      <c r="C172">
        <v>9500</v>
      </c>
      <c r="D172">
        <v>7661</v>
      </c>
      <c r="E172" s="4">
        <f t="shared" si="12"/>
        <v>1</v>
      </c>
      <c r="F172" s="4">
        <f t="shared" si="9"/>
        <v>1839</v>
      </c>
      <c r="G172" s="4">
        <f t="shared" si="10"/>
        <v>3.7472808864265926E-2</v>
      </c>
      <c r="H172" s="4">
        <f t="shared" si="11"/>
        <v>3381921</v>
      </c>
      <c r="I172" s="5">
        <f>SQRT(SUM('r-pi-multi'!$D$3:D172)/COUNTIF($A$3:A172,"&lt;&gt;0"))</f>
        <v>67.236938377300774</v>
      </c>
    </row>
    <row r="173" spans="1:9">
      <c r="A173">
        <v>171</v>
      </c>
      <c r="B173">
        <v>11</v>
      </c>
      <c r="C173">
        <v>9500</v>
      </c>
      <c r="D173">
        <v>7894</v>
      </c>
      <c r="E173" s="4">
        <f t="shared" si="12"/>
        <v>1</v>
      </c>
      <c r="F173" s="4">
        <f t="shared" si="9"/>
        <v>1606</v>
      </c>
      <c r="G173" s="4">
        <f t="shared" si="10"/>
        <v>2.8578792243767314E-2</v>
      </c>
      <c r="H173" s="4">
        <f t="shared" si="11"/>
        <v>2579236</v>
      </c>
      <c r="I173" s="5">
        <f>SQRT(SUM('r-pi-multi'!$D$3:D173)/COUNTIF($A$3:A173,"&lt;&gt;0"))</f>
        <v>67.383470998032521</v>
      </c>
    </row>
    <row r="174" spans="1:9">
      <c r="A174">
        <v>172</v>
      </c>
      <c r="B174">
        <v>11</v>
      </c>
      <c r="C174">
        <v>9500</v>
      </c>
      <c r="D174">
        <v>7890</v>
      </c>
      <c r="E174" s="4">
        <f t="shared" si="12"/>
        <v>1</v>
      </c>
      <c r="F174" s="4">
        <f t="shared" si="9"/>
        <v>1610</v>
      </c>
      <c r="G174" s="4">
        <f t="shared" si="10"/>
        <v>2.8721329639889194E-2</v>
      </c>
      <c r="H174" s="4">
        <f t="shared" si="11"/>
        <v>2592100</v>
      </c>
      <c r="I174" s="5">
        <f>SQRT(SUM('r-pi-multi'!$D$3:D174)/COUNTIF($A$3:A174,"&lt;&gt;0"))</f>
        <v>67.527815113133116</v>
      </c>
    </row>
    <row r="175" spans="1:9">
      <c r="A175">
        <v>173</v>
      </c>
      <c r="B175">
        <v>11</v>
      </c>
      <c r="C175">
        <v>9500</v>
      </c>
      <c r="D175">
        <v>7949</v>
      </c>
      <c r="E175" s="4">
        <f t="shared" si="12"/>
        <v>1</v>
      </c>
      <c r="F175" s="4">
        <f t="shared" si="9"/>
        <v>1551</v>
      </c>
      <c r="G175" s="4">
        <f t="shared" si="10"/>
        <v>2.665485872576177E-2</v>
      </c>
      <c r="H175" s="4">
        <f t="shared" si="11"/>
        <v>2405601</v>
      </c>
      <c r="I175" s="5">
        <f>SQRT(SUM('r-pi-multi'!$D$3:D175)/COUNTIF($A$3:A175,"&lt;&gt;0"))</f>
        <v>67.672707761124371</v>
      </c>
    </row>
    <row r="176" spans="1:9">
      <c r="A176">
        <v>174</v>
      </c>
      <c r="B176">
        <v>11</v>
      </c>
      <c r="C176">
        <v>9500</v>
      </c>
      <c r="D176">
        <v>7928</v>
      </c>
      <c r="E176" s="4">
        <f t="shared" si="12"/>
        <v>1</v>
      </c>
      <c r="F176" s="4">
        <f t="shared" si="9"/>
        <v>1572</v>
      </c>
      <c r="G176" s="4">
        <f t="shared" si="10"/>
        <v>2.738154016620499E-2</v>
      </c>
      <c r="H176" s="4">
        <f t="shared" si="11"/>
        <v>2471184</v>
      </c>
      <c r="I176" s="5">
        <f>SQRT(SUM('r-pi-multi'!$D$3:D176)/COUNTIF($A$3:A176,"&lt;&gt;0"))</f>
        <v>67.814740878807243</v>
      </c>
    </row>
    <row r="177" spans="1:9">
      <c r="A177">
        <v>175</v>
      </c>
      <c r="B177">
        <v>12</v>
      </c>
      <c r="C177">
        <v>9500</v>
      </c>
      <c r="D177">
        <v>8426</v>
      </c>
      <c r="E177" s="4">
        <f t="shared" si="12"/>
        <v>1</v>
      </c>
      <c r="F177" s="4">
        <f t="shared" si="9"/>
        <v>1074</v>
      </c>
      <c r="G177" s="4">
        <f t="shared" si="10"/>
        <v>1.2780897506925206E-2</v>
      </c>
      <c r="H177" s="4">
        <f t="shared" si="11"/>
        <v>1153476</v>
      </c>
      <c r="I177" s="5">
        <f>SQRT(SUM('r-pi-multi'!$D$3:D177)/COUNTIF($A$3:A177,"&lt;&gt;0"))</f>
        <v>67.97579401101963</v>
      </c>
    </row>
    <row r="178" spans="1:9">
      <c r="A178">
        <v>176</v>
      </c>
      <c r="B178">
        <v>12</v>
      </c>
      <c r="C178">
        <v>9500</v>
      </c>
      <c r="D178">
        <v>8572</v>
      </c>
      <c r="E178" s="4">
        <f t="shared" si="12"/>
        <v>1</v>
      </c>
      <c r="F178" s="4">
        <f t="shared" si="9"/>
        <v>928</v>
      </c>
      <c r="G178" s="4">
        <f t="shared" si="10"/>
        <v>9.5422049861495842E-3</v>
      </c>
      <c r="H178" s="4">
        <f t="shared" si="11"/>
        <v>861184</v>
      </c>
      <c r="I178" s="5">
        <f>SQRT(SUM('r-pi-multi'!$D$3:D178)/COUNTIF($A$3:A178,"&lt;&gt;0"))</f>
        <v>68.140730043851832</v>
      </c>
    </row>
    <row r="179" spans="1:9">
      <c r="A179">
        <v>177</v>
      </c>
      <c r="B179">
        <v>12</v>
      </c>
      <c r="C179">
        <v>9500</v>
      </c>
      <c r="D179">
        <v>8388</v>
      </c>
      <c r="E179" s="4">
        <f t="shared" si="12"/>
        <v>1</v>
      </c>
      <c r="F179" s="4">
        <f t="shared" si="9"/>
        <v>1112</v>
      </c>
      <c r="G179" s="4">
        <f t="shared" si="10"/>
        <v>1.3701318559556787E-2</v>
      </c>
      <c r="H179" s="4">
        <f t="shared" si="11"/>
        <v>1236544</v>
      </c>
      <c r="I179" s="5">
        <f>SQRT(SUM('r-pi-multi'!$D$3:D179)/COUNTIF($A$3:A179,"&lt;&gt;0"))</f>
        <v>68.295800633573293</v>
      </c>
    </row>
    <row r="180" spans="1:9">
      <c r="A180">
        <v>178</v>
      </c>
      <c r="B180">
        <v>12</v>
      </c>
      <c r="C180">
        <v>9500</v>
      </c>
      <c r="D180">
        <v>8447</v>
      </c>
      <c r="E180" s="4">
        <f t="shared" si="12"/>
        <v>1</v>
      </c>
      <c r="F180" s="4">
        <f t="shared" si="9"/>
        <v>1053</v>
      </c>
      <c r="G180" s="4">
        <f t="shared" si="10"/>
        <v>1.2285972299168975E-2</v>
      </c>
      <c r="H180" s="4">
        <f t="shared" si="11"/>
        <v>1108809</v>
      </c>
      <c r="I180" s="5">
        <f>SQRT(SUM('r-pi-multi'!$D$3:D180)/COUNTIF($A$3:A180,"&lt;&gt;0"))</f>
        <v>68.451204633157019</v>
      </c>
    </row>
    <row r="181" spans="1:9">
      <c r="A181">
        <v>179</v>
      </c>
      <c r="B181">
        <v>12</v>
      </c>
      <c r="C181">
        <v>9500</v>
      </c>
      <c r="D181">
        <v>8480</v>
      </c>
      <c r="E181" s="4">
        <f t="shared" si="12"/>
        <v>1</v>
      </c>
      <c r="F181" s="4">
        <f t="shared" si="9"/>
        <v>1020</v>
      </c>
      <c r="G181" s="4">
        <f t="shared" si="10"/>
        <v>1.1527977839335181E-2</v>
      </c>
      <c r="H181" s="4">
        <f t="shared" si="11"/>
        <v>1040400</v>
      </c>
      <c r="I181" s="5">
        <f>SQRT(SUM('r-pi-multi'!$D$3:D181)/COUNTIF($A$3:A181,"&lt;&gt;0"))</f>
        <v>68.605869742526352</v>
      </c>
    </row>
    <row r="182" spans="1:9">
      <c r="A182">
        <v>180</v>
      </c>
      <c r="B182">
        <v>12</v>
      </c>
      <c r="C182">
        <v>9500</v>
      </c>
      <c r="D182">
        <v>8559</v>
      </c>
      <c r="E182" s="4">
        <f t="shared" si="12"/>
        <v>1</v>
      </c>
      <c r="F182" s="4">
        <f t="shared" si="9"/>
        <v>941</v>
      </c>
      <c r="G182" s="4">
        <f t="shared" si="10"/>
        <v>9.8114238227146808E-3</v>
      </c>
      <c r="H182" s="4">
        <f t="shared" si="11"/>
        <v>885481</v>
      </c>
      <c r="I182" s="5">
        <f>SQRT(SUM('r-pi-multi'!$D$3:D182)/COUNTIF($A$3:A182,"&lt;&gt;0"))</f>
        <v>68.761665676935621</v>
      </c>
    </row>
    <row r="183" spans="1:9">
      <c r="A183">
        <v>181</v>
      </c>
      <c r="B183">
        <v>12</v>
      </c>
      <c r="C183">
        <v>9500</v>
      </c>
      <c r="D183">
        <v>8479</v>
      </c>
      <c r="E183" s="4">
        <f t="shared" si="12"/>
        <v>1</v>
      </c>
      <c r="F183" s="4">
        <f t="shared" si="9"/>
        <v>1021</v>
      </c>
      <c r="G183" s="4">
        <f t="shared" si="10"/>
        <v>1.1550592797783935E-2</v>
      </c>
      <c r="H183" s="4">
        <f t="shared" si="11"/>
        <v>1042441</v>
      </c>
      <c r="I183" s="5">
        <f>SQRT(SUM('r-pi-multi'!$D$3:D183)/COUNTIF($A$3:A183,"&lt;&gt;0"))</f>
        <v>68.912186895805533</v>
      </c>
    </row>
    <row r="184" spans="1:9">
      <c r="A184">
        <v>182</v>
      </c>
      <c r="B184">
        <v>12</v>
      </c>
      <c r="C184">
        <v>9500</v>
      </c>
      <c r="D184">
        <v>8395</v>
      </c>
      <c r="E184" s="4">
        <f t="shared" si="12"/>
        <v>1</v>
      </c>
      <c r="F184" s="4">
        <f t="shared" si="9"/>
        <v>1105</v>
      </c>
      <c r="G184" s="4">
        <f t="shared" si="10"/>
        <v>1.3529362880886426E-2</v>
      </c>
      <c r="H184" s="4">
        <f t="shared" si="11"/>
        <v>1221025</v>
      </c>
      <c r="I184" s="5">
        <f>SQRT(SUM('r-pi-multi'!$D$3:D184)/COUNTIF($A$3:A184,"&lt;&gt;0"))</f>
        <v>69.057389734358466</v>
      </c>
    </row>
    <row r="185" spans="1:9">
      <c r="A185">
        <v>183</v>
      </c>
      <c r="B185">
        <v>12</v>
      </c>
      <c r="C185">
        <v>9500</v>
      </c>
      <c r="D185">
        <v>8389</v>
      </c>
      <c r="E185" s="4">
        <f t="shared" si="12"/>
        <v>1</v>
      </c>
      <c r="F185" s="4">
        <f t="shared" si="9"/>
        <v>1111</v>
      </c>
      <c r="G185" s="4">
        <f t="shared" si="10"/>
        <v>1.3676686980609419E-2</v>
      </c>
      <c r="H185" s="4">
        <f t="shared" si="11"/>
        <v>1234321</v>
      </c>
      <c r="I185" s="5">
        <f>SQRT(SUM('r-pi-multi'!$D$3:D185)/COUNTIF($A$3:A185,"&lt;&gt;0"))</f>
        <v>69.200469059340818</v>
      </c>
    </row>
    <row r="186" spans="1:9">
      <c r="A186">
        <v>184</v>
      </c>
      <c r="B186">
        <v>12</v>
      </c>
      <c r="C186">
        <v>9500</v>
      </c>
      <c r="D186">
        <v>8457</v>
      </c>
      <c r="E186" s="4">
        <f t="shared" si="12"/>
        <v>1</v>
      </c>
      <c r="F186" s="4">
        <f t="shared" si="9"/>
        <v>1043</v>
      </c>
      <c r="G186" s="4">
        <f t="shared" si="10"/>
        <v>1.2053728531855955E-2</v>
      </c>
      <c r="H186" s="4">
        <f t="shared" si="11"/>
        <v>1087849</v>
      </c>
      <c r="I186" s="5">
        <f>SQRT(SUM('r-pi-multi'!$D$3:D186)/COUNTIF($A$3:A186,"&lt;&gt;0"))</f>
        <v>69.344367502687817</v>
      </c>
    </row>
    <row r="187" spans="1:9">
      <c r="A187">
        <v>185</v>
      </c>
      <c r="B187">
        <v>13</v>
      </c>
      <c r="C187">
        <v>9500</v>
      </c>
      <c r="D187">
        <v>8923</v>
      </c>
      <c r="E187" s="4">
        <f t="shared" si="12"/>
        <v>1</v>
      </c>
      <c r="F187" s="4">
        <f t="shared" si="9"/>
        <v>577</v>
      </c>
      <c r="G187" s="4">
        <f t="shared" si="10"/>
        <v>3.6889639889196675E-3</v>
      </c>
      <c r="H187" s="4">
        <f t="shared" si="11"/>
        <v>332929</v>
      </c>
      <c r="I187" s="5">
        <f>SQRT(SUM('r-pi-multi'!$D$3:D187)/COUNTIF($A$3:A187,"&lt;&gt;0"))</f>
        <v>69.504540003377343</v>
      </c>
    </row>
    <row r="188" spans="1:9">
      <c r="A188">
        <v>186</v>
      </c>
      <c r="B188">
        <v>12</v>
      </c>
      <c r="C188">
        <v>9500</v>
      </c>
      <c r="D188">
        <v>8437</v>
      </c>
      <c r="E188" s="4">
        <f t="shared" si="12"/>
        <v>1</v>
      </c>
      <c r="F188" s="4">
        <f t="shared" si="9"/>
        <v>1063</v>
      </c>
      <c r="G188" s="4">
        <f t="shared" si="10"/>
        <v>1.252043213296399E-2</v>
      </c>
      <c r="H188" s="4">
        <f t="shared" si="11"/>
        <v>1129969</v>
      </c>
      <c r="I188" s="5">
        <f>SQRT(SUM('r-pi-multi'!$D$3:D188)/COUNTIF($A$3:A188,"&lt;&gt;0"))</f>
        <v>69.643871354228295</v>
      </c>
    </row>
    <row r="189" spans="1:9">
      <c r="A189">
        <v>187</v>
      </c>
      <c r="B189">
        <v>13</v>
      </c>
      <c r="C189">
        <v>9500</v>
      </c>
      <c r="D189">
        <v>8753</v>
      </c>
      <c r="E189" s="4">
        <f t="shared" si="12"/>
        <v>1</v>
      </c>
      <c r="F189" s="4">
        <f t="shared" si="9"/>
        <v>747</v>
      </c>
      <c r="G189" s="4">
        <f t="shared" si="10"/>
        <v>6.1829252077562338E-3</v>
      </c>
      <c r="H189" s="4">
        <f t="shared" si="11"/>
        <v>558009</v>
      </c>
      <c r="I189" s="5">
        <f>SQRT(SUM('r-pi-multi'!$D$3:D189)/COUNTIF($A$3:A189,"&lt;&gt;0"))</f>
        <v>69.793545815018987</v>
      </c>
    </row>
    <row r="190" spans="1:9">
      <c r="A190">
        <v>188</v>
      </c>
      <c r="B190">
        <v>13</v>
      </c>
      <c r="C190">
        <v>9500</v>
      </c>
      <c r="D190">
        <v>8774</v>
      </c>
      <c r="E190" s="4">
        <f t="shared" si="12"/>
        <v>1</v>
      </c>
      <c r="F190" s="4">
        <f t="shared" si="9"/>
        <v>726</v>
      </c>
      <c r="G190" s="4">
        <f t="shared" si="10"/>
        <v>5.8401772853185589E-3</v>
      </c>
      <c r="H190" s="4">
        <f t="shared" si="11"/>
        <v>527076</v>
      </c>
      <c r="I190" s="5">
        <f>SQRT(SUM('r-pi-multi'!$D$3:D190)/COUNTIF($A$3:A190,"&lt;&gt;0"))</f>
        <v>69.942111321936892</v>
      </c>
    </row>
    <row r="191" spans="1:9">
      <c r="A191">
        <v>189</v>
      </c>
      <c r="B191">
        <v>13</v>
      </c>
      <c r="C191">
        <v>9500</v>
      </c>
      <c r="D191">
        <v>8841</v>
      </c>
      <c r="E191" s="4">
        <f t="shared" si="12"/>
        <v>1</v>
      </c>
      <c r="F191" s="4">
        <f t="shared" si="9"/>
        <v>659</v>
      </c>
      <c r="G191" s="4">
        <f t="shared" si="10"/>
        <v>4.8119778393351798E-3</v>
      </c>
      <c r="H191" s="4">
        <f t="shared" si="11"/>
        <v>434281</v>
      </c>
      <c r="I191" s="5">
        <f>SQRT(SUM('r-pi-multi'!$D$3:D191)/COUNTIF($A$3:A191,"&lt;&gt;0"))</f>
        <v>70.091323648463444</v>
      </c>
    </row>
    <row r="192" spans="1:9">
      <c r="A192">
        <v>190</v>
      </c>
      <c r="B192">
        <v>13</v>
      </c>
      <c r="C192">
        <v>9500</v>
      </c>
      <c r="D192">
        <v>8880</v>
      </c>
      <c r="E192" s="4">
        <f t="shared" si="12"/>
        <v>1</v>
      </c>
      <c r="F192" s="4">
        <f t="shared" si="9"/>
        <v>620</v>
      </c>
      <c r="G192" s="4">
        <f t="shared" si="10"/>
        <v>4.2592797783933519E-3</v>
      </c>
      <c r="H192" s="4">
        <f t="shared" si="11"/>
        <v>384400</v>
      </c>
      <c r="I192" s="5">
        <f>SQRT(SUM('r-pi-multi'!$D$3:D192)/COUNTIF($A$3:A192,"&lt;&gt;0"))</f>
        <v>70.2401144945716</v>
      </c>
    </row>
    <row r="193" spans="1:9">
      <c r="A193">
        <v>191</v>
      </c>
      <c r="B193">
        <v>13</v>
      </c>
      <c r="C193">
        <v>9500</v>
      </c>
      <c r="D193">
        <v>8869</v>
      </c>
      <c r="E193" s="4">
        <f t="shared" si="12"/>
        <v>1</v>
      </c>
      <c r="F193" s="4">
        <f t="shared" si="9"/>
        <v>631</v>
      </c>
      <c r="G193" s="4">
        <f t="shared" si="10"/>
        <v>4.411756232686981E-3</v>
      </c>
      <c r="H193" s="4">
        <f t="shared" si="11"/>
        <v>398161</v>
      </c>
      <c r="I193" s="5">
        <f>SQRT(SUM('r-pi-multi'!$D$3:D193)/COUNTIF($A$3:A193,"&lt;&gt;0"))</f>
        <v>70.386628608784733</v>
      </c>
    </row>
    <row r="194" spans="1:9">
      <c r="A194">
        <v>192</v>
      </c>
      <c r="B194">
        <v>13</v>
      </c>
      <c r="C194">
        <v>9500</v>
      </c>
      <c r="D194">
        <v>9006</v>
      </c>
      <c r="E194" s="4">
        <f t="shared" si="12"/>
        <v>1</v>
      </c>
      <c r="F194" s="4">
        <f t="shared" si="9"/>
        <v>494</v>
      </c>
      <c r="G194" s="4">
        <f t="shared" si="10"/>
        <v>2.7039999999999998E-3</v>
      </c>
      <c r="H194" s="4">
        <f t="shared" si="11"/>
        <v>244036</v>
      </c>
      <c r="I194" s="5">
        <f>SQRT(SUM('r-pi-multi'!$D$3:D194)/COUNTIF($A$3:A194,"&lt;&gt;0"))</f>
        <v>70.536375072251431</v>
      </c>
    </row>
    <row r="195" spans="1:9">
      <c r="A195">
        <v>193</v>
      </c>
      <c r="B195">
        <v>13</v>
      </c>
      <c r="C195">
        <v>9500</v>
      </c>
      <c r="D195">
        <v>8176</v>
      </c>
      <c r="E195" s="4">
        <f t="shared" si="12"/>
        <v>1</v>
      </c>
      <c r="F195" s="4">
        <f t="shared" si="9"/>
        <v>1324</v>
      </c>
      <c r="G195" s="4">
        <f t="shared" si="10"/>
        <v>1.9423556786703603E-2</v>
      </c>
      <c r="H195" s="4">
        <f t="shared" si="11"/>
        <v>1752976</v>
      </c>
      <c r="I195" s="5">
        <f>SQRT(SUM('r-pi-multi'!$D$3:D195)/COUNTIF($A$3:A195,"&lt;&gt;0"))</f>
        <v>70.65383026113976</v>
      </c>
    </row>
    <row r="196" spans="1:9">
      <c r="A196">
        <v>194</v>
      </c>
      <c r="B196">
        <v>13</v>
      </c>
      <c r="C196">
        <v>9500</v>
      </c>
      <c r="D196">
        <v>8800</v>
      </c>
      <c r="E196" s="4">
        <f t="shared" si="12"/>
        <v>1</v>
      </c>
      <c r="F196" s="4">
        <f t="shared" ref="F196:F259" si="13">ABS(C196-D196)</f>
        <v>700</v>
      </c>
      <c r="G196" s="4">
        <f t="shared" ref="G196:G259" si="14">POWER(ABS(C196-D196)/C196,2)</f>
        <v>5.4293628808864255E-3</v>
      </c>
      <c r="H196" s="4">
        <f t="shared" ref="H196:H259" si="15">POWER(F196,2)</f>
        <v>490000</v>
      </c>
      <c r="I196" s="5">
        <f>SQRT(SUM('r-pi-multi'!$D$3:D196)/COUNTIF($A$3:A196,"&lt;&gt;0"))</f>
        <v>70.792604016981571</v>
      </c>
    </row>
    <row r="197" spans="1:9">
      <c r="A197">
        <v>195</v>
      </c>
      <c r="B197">
        <v>13</v>
      </c>
      <c r="C197">
        <v>9500</v>
      </c>
      <c r="D197">
        <v>8671</v>
      </c>
      <c r="E197" s="4">
        <f t="shared" si="12"/>
        <v>1</v>
      </c>
      <c r="F197" s="4">
        <f t="shared" si="13"/>
        <v>829</v>
      </c>
      <c r="G197" s="4">
        <f t="shared" si="14"/>
        <v>7.614858725761774E-3</v>
      </c>
      <c r="H197" s="4">
        <f t="shared" si="15"/>
        <v>687241</v>
      </c>
      <c r="I197" s="5">
        <f>SQRT(SUM('r-pi-multi'!$D$3:D197)/COUNTIF($A$3:A197,"&lt;&gt;0"))</f>
        <v>70.92502361197333</v>
      </c>
    </row>
    <row r="198" spans="1:9">
      <c r="A198">
        <v>196</v>
      </c>
      <c r="B198">
        <v>13</v>
      </c>
      <c r="C198">
        <v>9500</v>
      </c>
      <c r="D198">
        <v>9006</v>
      </c>
      <c r="E198" s="4">
        <f t="shared" si="12"/>
        <v>1</v>
      </c>
      <c r="F198" s="4">
        <f t="shared" si="13"/>
        <v>494</v>
      </c>
      <c r="G198" s="4">
        <f t="shared" si="14"/>
        <v>2.7039999999999998E-3</v>
      </c>
      <c r="H198" s="4">
        <f t="shared" si="15"/>
        <v>244036</v>
      </c>
      <c r="I198" s="5">
        <f>SQRT(SUM('r-pi-multi'!$D$3:D198)/COUNTIF($A$3:A198,"&lt;&gt;0"))</f>
        <v>71.067875000895143</v>
      </c>
    </row>
    <row r="199" spans="1:9">
      <c r="A199">
        <v>197</v>
      </c>
      <c r="B199">
        <v>13</v>
      </c>
      <c r="C199">
        <v>9500</v>
      </c>
      <c r="D199">
        <v>8834</v>
      </c>
      <c r="E199" s="4">
        <f t="shared" si="12"/>
        <v>1</v>
      </c>
      <c r="F199" s="4">
        <f t="shared" si="13"/>
        <v>666</v>
      </c>
      <c r="G199" s="4">
        <f t="shared" si="14"/>
        <v>4.9147479224376737E-3</v>
      </c>
      <c r="H199" s="4">
        <f t="shared" si="15"/>
        <v>443556</v>
      </c>
      <c r="I199" s="5">
        <f>SQRT(SUM('r-pi-multi'!$D$3:D199)/COUNTIF($A$3:A199,"&lt;&gt;0"))</f>
        <v>71.202863114737454</v>
      </c>
    </row>
    <row r="200" spans="1:9">
      <c r="A200">
        <v>198</v>
      </c>
      <c r="B200">
        <v>13</v>
      </c>
      <c r="C200">
        <v>9500</v>
      </c>
      <c r="D200">
        <v>8792</v>
      </c>
      <c r="E200" s="4">
        <f t="shared" si="12"/>
        <v>1</v>
      </c>
      <c r="F200" s="4">
        <f t="shared" si="13"/>
        <v>708</v>
      </c>
      <c r="G200" s="4">
        <f t="shared" si="14"/>
        <v>5.5541717451523557E-3</v>
      </c>
      <c r="H200" s="4">
        <f t="shared" si="15"/>
        <v>501264</v>
      </c>
      <c r="I200" s="5">
        <f>SQRT(SUM('r-pi-multi'!$D$3:D200)/COUNTIF($A$3:A200,"&lt;&gt;0"))</f>
        <v>71.334749348732316</v>
      </c>
    </row>
    <row r="201" spans="1:9">
      <c r="A201">
        <v>199</v>
      </c>
      <c r="B201">
        <v>13</v>
      </c>
      <c r="C201">
        <v>9500</v>
      </c>
      <c r="D201">
        <v>8940</v>
      </c>
      <c r="E201" s="4">
        <f t="shared" si="12"/>
        <v>1</v>
      </c>
      <c r="F201" s="4">
        <f t="shared" si="13"/>
        <v>560</v>
      </c>
      <c r="G201" s="4">
        <f t="shared" si="14"/>
        <v>3.4747922437673127E-3</v>
      </c>
      <c r="H201" s="4">
        <f t="shared" si="15"/>
        <v>313600</v>
      </c>
      <c r="I201" s="5">
        <f>SQRT(SUM('r-pi-multi'!$D$3:D201)/COUNTIF($A$3:A201,"&lt;&gt;0"))</f>
        <v>71.470273540822546</v>
      </c>
    </row>
    <row r="202" spans="1:9">
      <c r="A202">
        <v>200</v>
      </c>
      <c r="B202">
        <v>14</v>
      </c>
      <c r="C202">
        <v>9500</v>
      </c>
      <c r="D202">
        <v>9301</v>
      </c>
      <c r="E202" s="4">
        <f t="shared" si="12"/>
        <v>1</v>
      </c>
      <c r="F202" s="4">
        <f t="shared" si="13"/>
        <v>199</v>
      </c>
      <c r="G202" s="4">
        <f t="shared" si="14"/>
        <v>4.38792243767313E-4</v>
      </c>
      <c r="H202" s="4">
        <f t="shared" si="15"/>
        <v>39601</v>
      </c>
      <c r="I202" s="5">
        <f>SQRT(SUM('r-pi-multi'!$D$3:D202)/COUNTIF($A$3:A202,"&lt;&gt;0"))</f>
        <v>71.616792723494683</v>
      </c>
    </row>
    <row r="203" spans="1:9">
      <c r="A203">
        <v>201</v>
      </c>
      <c r="B203">
        <v>13</v>
      </c>
      <c r="C203">
        <v>9500</v>
      </c>
      <c r="D203">
        <v>8952</v>
      </c>
      <c r="E203" s="4">
        <f t="shared" si="12"/>
        <v>1</v>
      </c>
      <c r="F203" s="4">
        <f t="shared" si="13"/>
        <v>548</v>
      </c>
      <c r="G203" s="4">
        <f t="shared" si="14"/>
        <v>3.3274681440443213E-3</v>
      </c>
      <c r="H203" s="4">
        <f t="shared" si="15"/>
        <v>300304</v>
      </c>
      <c r="I203" s="5">
        <f>SQRT(SUM('r-pi-multi'!$D$3:D203)/COUNTIF($A$3:A203,"&lt;&gt;0"))</f>
        <v>71.749460448332755</v>
      </c>
    </row>
    <row r="204" spans="1:9">
      <c r="A204">
        <v>202</v>
      </c>
      <c r="B204">
        <v>14</v>
      </c>
      <c r="C204">
        <v>9500</v>
      </c>
      <c r="D204">
        <v>9275</v>
      </c>
      <c r="E204" s="4">
        <f t="shared" si="12"/>
        <v>1</v>
      </c>
      <c r="F204" s="4">
        <f t="shared" si="13"/>
        <v>225</v>
      </c>
      <c r="G204" s="4">
        <f t="shared" si="14"/>
        <v>5.6094182825484765E-4</v>
      </c>
      <c r="H204" s="4">
        <f t="shared" si="15"/>
        <v>50625</v>
      </c>
      <c r="I204" s="5">
        <f>SQRT(SUM('r-pi-multi'!$D$3:D204)/COUNTIF($A$3:A204,"&lt;&gt;0"))</f>
        <v>71.891695219852465</v>
      </c>
    </row>
    <row r="205" spans="1:9">
      <c r="A205">
        <v>203</v>
      </c>
      <c r="B205">
        <v>14</v>
      </c>
      <c r="C205">
        <v>9500</v>
      </c>
      <c r="D205">
        <v>9396</v>
      </c>
      <c r="E205" s="4">
        <f t="shared" si="12"/>
        <v>1</v>
      </c>
      <c r="F205" s="4">
        <f t="shared" si="13"/>
        <v>104</v>
      </c>
      <c r="G205" s="4">
        <f t="shared" si="14"/>
        <v>1.1984487534626037E-4</v>
      </c>
      <c r="H205" s="4">
        <f t="shared" si="15"/>
        <v>10816</v>
      </c>
      <c r="I205" s="5">
        <f>SQRT(SUM('r-pi-multi'!$D$3:D205)/COUNTIF($A$3:A205,"&lt;&gt;0"))</f>
        <v>72.036389271744767</v>
      </c>
    </row>
    <row r="206" spans="1:9">
      <c r="A206">
        <v>204</v>
      </c>
      <c r="B206">
        <v>14</v>
      </c>
      <c r="C206">
        <v>9500</v>
      </c>
      <c r="D206">
        <v>9358</v>
      </c>
      <c r="E206" s="4">
        <f t="shared" si="12"/>
        <v>1</v>
      </c>
      <c r="F206" s="4">
        <f t="shared" si="13"/>
        <v>142</v>
      </c>
      <c r="G206" s="4">
        <f t="shared" si="14"/>
        <v>2.2342382271468142E-4</v>
      </c>
      <c r="H206" s="4">
        <f t="shared" si="15"/>
        <v>20164</v>
      </c>
      <c r="I206" s="5">
        <f>SQRT(SUM('r-pi-multi'!$D$3:D206)/COUNTIF($A$3:A206,"&lt;&gt;0"))</f>
        <v>72.178088576715822</v>
      </c>
    </row>
    <row r="207" spans="1:9">
      <c r="A207">
        <v>205</v>
      </c>
      <c r="B207">
        <v>14</v>
      </c>
      <c r="C207">
        <v>9500</v>
      </c>
      <c r="D207">
        <v>9206</v>
      </c>
      <c r="E207" s="4">
        <f t="shared" si="12"/>
        <v>1</v>
      </c>
      <c r="F207" s="4">
        <f t="shared" si="13"/>
        <v>294</v>
      </c>
      <c r="G207" s="4">
        <f t="shared" si="14"/>
        <v>9.5773961218836574E-4</v>
      </c>
      <c r="H207" s="4">
        <f t="shared" si="15"/>
        <v>86436</v>
      </c>
      <c r="I207" s="5">
        <f>SQRT(SUM('r-pi-multi'!$D$3:D207)/COUNTIF($A$3:A207,"&lt;&gt;0"))</f>
        <v>72.313005273652664</v>
      </c>
    </row>
    <row r="208" spans="1:9">
      <c r="A208">
        <v>206</v>
      </c>
      <c r="B208">
        <v>14</v>
      </c>
      <c r="C208">
        <v>9500</v>
      </c>
      <c r="D208">
        <v>9264</v>
      </c>
      <c r="E208" s="4">
        <f t="shared" si="12"/>
        <v>1</v>
      </c>
      <c r="F208" s="4">
        <f t="shared" si="13"/>
        <v>236</v>
      </c>
      <c r="G208" s="4">
        <f t="shared" si="14"/>
        <v>6.1713019390581721E-4</v>
      </c>
      <c r="H208" s="4">
        <f t="shared" si="15"/>
        <v>55696</v>
      </c>
      <c r="I208" s="5">
        <f>SQRT(SUM('r-pi-multi'!$D$3:D208)/COUNTIF($A$3:A208,"&lt;&gt;0"))</f>
        <v>72.448307651410303</v>
      </c>
    </row>
    <row r="209" spans="1:9">
      <c r="A209">
        <v>207</v>
      </c>
      <c r="B209">
        <v>14</v>
      </c>
      <c r="C209">
        <v>9500</v>
      </c>
      <c r="D209">
        <v>9125</v>
      </c>
      <c r="E209" s="4">
        <f t="shared" si="12"/>
        <v>1</v>
      </c>
      <c r="F209" s="4">
        <f t="shared" si="13"/>
        <v>375</v>
      </c>
      <c r="G209" s="4">
        <f t="shared" si="14"/>
        <v>1.5581717451523544E-3</v>
      </c>
      <c r="H209" s="4">
        <f t="shared" si="15"/>
        <v>140625</v>
      </c>
      <c r="I209" s="5">
        <f>SQRT(SUM('r-pi-multi'!$D$3:D209)/COUNTIF($A$3:A209,"&lt;&gt;0"))</f>
        <v>72.577428252780081</v>
      </c>
    </row>
    <row r="210" spans="1:9">
      <c r="A210">
        <v>208</v>
      </c>
      <c r="B210">
        <v>14</v>
      </c>
      <c r="C210">
        <v>9500</v>
      </c>
      <c r="D210">
        <v>9470</v>
      </c>
      <c r="E210" s="4">
        <f t="shared" si="12"/>
        <v>1</v>
      </c>
      <c r="F210" s="4">
        <f t="shared" si="13"/>
        <v>30</v>
      </c>
      <c r="G210" s="4">
        <f t="shared" si="14"/>
        <v>9.9722991689750685E-6</v>
      </c>
      <c r="H210" s="4">
        <f t="shared" si="15"/>
        <v>900</v>
      </c>
      <c r="I210" s="5">
        <f>SQRT(SUM('r-pi-multi'!$D$3:D210)/COUNTIF($A$3:A210,"&lt;&gt;0"))</f>
        <v>72.71648712637321</v>
      </c>
    </row>
    <row r="211" spans="1:9">
      <c r="A211">
        <v>209</v>
      </c>
      <c r="B211">
        <v>14</v>
      </c>
      <c r="C211">
        <v>9500</v>
      </c>
      <c r="D211">
        <v>9380</v>
      </c>
      <c r="E211" s="4">
        <f t="shared" si="12"/>
        <v>1</v>
      </c>
      <c r="F211" s="4">
        <f t="shared" si="13"/>
        <v>120</v>
      </c>
      <c r="G211" s="4">
        <f t="shared" si="14"/>
        <v>1.595567867036011E-4</v>
      </c>
      <c r="H211" s="4">
        <f t="shared" si="15"/>
        <v>14400</v>
      </c>
      <c r="I211" s="5">
        <f>SQRT(SUM('r-pi-multi'!$D$3:D211)/COUNTIF($A$3:A211,"&lt;&gt;0"))</f>
        <v>72.850998226405466</v>
      </c>
    </row>
    <row r="212" spans="1:9">
      <c r="A212">
        <v>210</v>
      </c>
      <c r="B212">
        <v>14</v>
      </c>
      <c r="C212">
        <v>9500</v>
      </c>
      <c r="D212">
        <v>9218</v>
      </c>
      <c r="E212" s="4">
        <f t="shared" si="12"/>
        <v>1</v>
      </c>
      <c r="F212" s="4">
        <f t="shared" si="13"/>
        <v>282</v>
      </c>
      <c r="G212" s="4">
        <f t="shared" si="14"/>
        <v>8.8115235457063702E-4</v>
      </c>
      <c r="H212" s="4">
        <f t="shared" si="15"/>
        <v>79524</v>
      </c>
      <c r="I212" s="5">
        <f>SQRT(SUM('r-pi-multi'!$D$3:D212)/COUNTIF($A$3:A212,"&lt;&gt;0"))</f>
        <v>72.978698783894984</v>
      </c>
    </row>
    <row r="213" spans="1:9">
      <c r="A213">
        <v>211</v>
      </c>
      <c r="B213">
        <v>14</v>
      </c>
      <c r="C213">
        <v>9500</v>
      </c>
      <c r="D213">
        <v>9216</v>
      </c>
      <c r="E213" s="4">
        <f t="shared" si="12"/>
        <v>1</v>
      </c>
      <c r="F213" s="4">
        <f t="shared" si="13"/>
        <v>284</v>
      </c>
      <c r="G213" s="4">
        <f t="shared" si="14"/>
        <v>8.9369529085872568E-4</v>
      </c>
      <c r="H213" s="4">
        <f t="shared" si="15"/>
        <v>80656</v>
      </c>
      <c r="I213" s="5">
        <f>SQRT(SUM('r-pi-multi'!$D$3:D213)/COUNTIF($A$3:A213,"&lt;&gt;0"))</f>
        <v>73.10490417350951</v>
      </c>
    </row>
    <row r="214" spans="1:9">
      <c r="A214">
        <v>212</v>
      </c>
      <c r="B214">
        <v>14</v>
      </c>
      <c r="C214">
        <v>9500</v>
      </c>
      <c r="D214">
        <v>9222</v>
      </c>
      <c r="E214" s="4">
        <f t="shared" si="12"/>
        <v>1</v>
      </c>
      <c r="F214" s="4">
        <f t="shared" si="13"/>
        <v>278</v>
      </c>
      <c r="G214" s="4">
        <f t="shared" si="14"/>
        <v>8.5633240997229918E-4</v>
      </c>
      <c r="H214" s="4">
        <f t="shared" si="15"/>
        <v>77284</v>
      </c>
      <c r="I214" s="5">
        <f>SQRT(SUM('r-pi-multi'!$D$3:D214)/COUNTIF($A$3:A214,"&lt;&gt;0"))</f>
        <v>73.229897750360834</v>
      </c>
    </row>
    <row r="215" spans="1:9">
      <c r="A215">
        <v>213</v>
      </c>
      <c r="B215">
        <v>14</v>
      </c>
      <c r="C215">
        <v>9500</v>
      </c>
      <c r="D215">
        <v>9340</v>
      </c>
      <c r="E215" s="4">
        <f t="shared" si="12"/>
        <v>1</v>
      </c>
      <c r="F215" s="4">
        <f t="shared" si="13"/>
        <v>160</v>
      </c>
      <c r="G215" s="4">
        <f t="shared" si="14"/>
        <v>2.8365650969529083E-4</v>
      </c>
      <c r="H215" s="4">
        <f t="shared" si="15"/>
        <v>25600</v>
      </c>
      <c r="I215" s="5">
        <f>SQRT(SUM('r-pi-multi'!$D$3:D215)/COUNTIF($A$3:A215,"&lt;&gt;0"))</f>
        <v>73.357283754322623</v>
      </c>
    </row>
    <row r="216" spans="1:9">
      <c r="A216">
        <v>214</v>
      </c>
      <c r="B216">
        <v>14</v>
      </c>
      <c r="C216">
        <v>9500</v>
      </c>
      <c r="D216">
        <v>9350</v>
      </c>
      <c r="E216" s="4">
        <f t="shared" si="12"/>
        <v>1</v>
      </c>
      <c r="F216" s="4">
        <f t="shared" si="13"/>
        <v>150</v>
      </c>
      <c r="G216" s="4">
        <f t="shared" si="14"/>
        <v>2.4930747922437675E-4</v>
      </c>
      <c r="H216" s="4">
        <f t="shared" si="15"/>
        <v>22500</v>
      </c>
      <c r="I216" s="5">
        <f>SQRT(SUM('r-pi-multi'!$D$3:D216)/COUNTIF($A$3:A216,"&lt;&gt;0"))</f>
        <v>73.483579448732158</v>
      </c>
    </row>
    <row r="217" spans="1:9">
      <c r="A217">
        <v>215</v>
      </c>
      <c r="B217">
        <v>14</v>
      </c>
      <c r="C217">
        <v>9500</v>
      </c>
      <c r="D217">
        <v>9257</v>
      </c>
      <c r="E217" s="4">
        <f t="shared" ref="E217:E280" si="16">IF(AND(D217&lt;=C217*1.2,D217&gt;=C217*0.8),1,0)</f>
        <v>1</v>
      </c>
      <c r="F217" s="4">
        <f t="shared" si="13"/>
        <v>243</v>
      </c>
      <c r="G217" s="4">
        <f t="shared" si="14"/>
        <v>6.542825484764542E-4</v>
      </c>
      <c r="H217" s="4">
        <f t="shared" si="15"/>
        <v>59049</v>
      </c>
      <c r="I217" s="5">
        <f>SQRT(SUM('r-pi-multi'!$D$3:D217)/COUNTIF($A$3:A217,"&lt;&gt;0"))</f>
        <v>73.605548324742799</v>
      </c>
    </row>
    <row r="218" spans="1:9">
      <c r="A218">
        <v>216</v>
      </c>
      <c r="B218">
        <v>14</v>
      </c>
      <c r="C218">
        <v>9500</v>
      </c>
      <c r="D218">
        <v>9302</v>
      </c>
      <c r="E218" s="4">
        <f t="shared" si="16"/>
        <v>1</v>
      </c>
      <c r="F218" s="4">
        <f t="shared" si="13"/>
        <v>198</v>
      </c>
      <c r="G218" s="4">
        <f t="shared" si="14"/>
        <v>4.3439335180055401E-4</v>
      </c>
      <c r="H218" s="4">
        <f t="shared" si="15"/>
        <v>39204</v>
      </c>
      <c r="I218" s="5">
        <f>SQRT(SUM('r-pi-multi'!$D$3:D218)/COUNTIF($A$3:A218,"&lt;&gt;0"))</f>
        <v>73.727601746288073</v>
      </c>
    </row>
    <row r="219" spans="1:9">
      <c r="A219">
        <v>217</v>
      </c>
      <c r="B219">
        <v>14</v>
      </c>
      <c r="C219">
        <v>9500</v>
      </c>
      <c r="D219">
        <v>8872</v>
      </c>
      <c r="E219" s="4">
        <f t="shared" si="16"/>
        <v>1</v>
      </c>
      <c r="F219" s="4">
        <f t="shared" si="13"/>
        <v>628</v>
      </c>
      <c r="G219" s="4">
        <f t="shared" si="14"/>
        <v>4.369905817174515E-3</v>
      </c>
      <c r="H219" s="4">
        <f t="shared" si="15"/>
        <v>394384</v>
      </c>
      <c r="I219" s="5">
        <f>SQRT(SUM('r-pi-multi'!$D$3:D219)/COUNTIF($A$3:A219,"&lt;&gt;0"))</f>
        <v>73.834913625236155</v>
      </c>
    </row>
    <row r="220" spans="1:9">
      <c r="A220">
        <v>218</v>
      </c>
      <c r="B220">
        <v>14</v>
      </c>
      <c r="C220">
        <v>9500</v>
      </c>
      <c r="D220">
        <v>9294</v>
      </c>
      <c r="E220" s="4">
        <f t="shared" si="16"/>
        <v>1</v>
      </c>
      <c r="F220" s="4">
        <f t="shared" si="13"/>
        <v>206</v>
      </c>
      <c r="G220" s="4">
        <f t="shared" si="14"/>
        <v>4.7020498614958446E-4</v>
      </c>
      <c r="H220" s="4">
        <f t="shared" si="15"/>
        <v>42436</v>
      </c>
      <c r="I220" s="5">
        <f>SQRT(SUM('r-pi-multi'!$D$3:D220)/COUNTIF($A$3:A220,"&lt;&gt;0"))</f>
        <v>73.954176241009122</v>
      </c>
    </row>
    <row r="221" spans="1:9">
      <c r="A221">
        <v>219</v>
      </c>
      <c r="B221">
        <v>14</v>
      </c>
      <c r="C221">
        <v>9500</v>
      </c>
      <c r="D221">
        <v>9067</v>
      </c>
      <c r="E221" s="4">
        <f t="shared" si="16"/>
        <v>1</v>
      </c>
      <c r="F221" s="4">
        <f t="shared" si="13"/>
        <v>433</v>
      </c>
      <c r="G221" s="4">
        <f t="shared" si="14"/>
        <v>2.0774404432132962E-3</v>
      </c>
      <c r="H221" s="4">
        <f t="shared" si="15"/>
        <v>187489</v>
      </c>
      <c r="I221" s="5">
        <f>SQRT(SUM('r-pi-multi'!$D$3:D221)/COUNTIF($A$3:A221,"&lt;&gt;0"))</f>
        <v>74.065163213392594</v>
      </c>
    </row>
    <row r="222" spans="1:9">
      <c r="A222">
        <v>220</v>
      </c>
      <c r="B222">
        <v>14</v>
      </c>
      <c r="C222">
        <v>9500</v>
      </c>
      <c r="D222">
        <v>9338</v>
      </c>
      <c r="E222" s="4">
        <f t="shared" si="16"/>
        <v>1</v>
      </c>
      <c r="F222" s="4">
        <f t="shared" si="13"/>
        <v>162</v>
      </c>
      <c r="G222" s="4">
        <f t="shared" si="14"/>
        <v>2.9079224376731298E-4</v>
      </c>
      <c r="H222" s="4">
        <f t="shared" si="15"/>
        <v>26244</v>
      </c>
      <c r="I222" s="5">
        <f>SQRT(SUM('r-pi-multi'!$D$3:D222)/COUNTIF($A$3:A222,"&lt;&gt;0"))</f>
        <v>74.183280400027414</v>
      </c>
    </row>
    <row r="223" spans="1:9">
      <c r="A223">
        <v>221</v>
      </c>
      <c r="B223">
        <v>14</v>
      </c>
      <c r="C223">
        <v>9500</v>
      </c>
      <c r="D223">
        <v>9284</v>
      </c>
      <c r="E223" s="4">
        <f t="shared" si="16"/>
        <v>1</v>
      </c>
      <c r="F223" s="4">
        <f t="shared" si="13"/>
        <v>216</v>
      </c>
      <c r="G223" s="4">
        <f t="shared" si="14"/>
        <v>5.1696398891966768E-4</v>
      </c>
      <c r="H223" s="4">
        <f t="shared" si="15"/>
        <v>46656</v>
      </c>
      <c r="I223" s="5">
        <f>SQRT(SUM('r-pi-multi'!$D$3:D223)/COUNTIF($A$3:A223,"&lt;&gt;0"))</f>
        <v>74.29849909874217</v>
      </c>
    </row>
    <row r="224" spans="1:9">
      <c r="A224">
        <v>222</v>
      </c>
      <c r="B224">
        <v>14</v>
      </c>
      <c r="C224">
        <v>9500</v>
      </c>
      <c r="D224">
        <v>9300</v>
      </c>
      <c r="E224" s="4">
        <f t="shared" si="16"/>
        <v>1</v>
      </c>
      <c r="F224" s="4">
        <f t="shared" si="13"/>
        <v>200</v>
      </c>
      <c r="G224" s="4">
        <f t="shared" si="14"/>
        <v>4.4321329639889195E-4</v>
      </c>
      <c r="H224" s="4">
        <f t="shared" si="15"/>
        <v>40000</v>
      </c>
      <c r="I224" s="5">
        <f>SQRT(SUM('r-pi-multi'!$D$3:D224)/COUNTIF($A$3:A224,"&lt;&gt;0"))</f>
        <v>74.412988065208026</v>
      </c>
    </row>
    <row r="225" spans="1:9">
      <c r="A225">
        <v>223</v>
      </c>
      <c r="B225">
        <v>14</v>
      </c>
      <c r="C225">
        <v>9500</v>
      </c>
      <c r="D225">
        <v>9423</v>
      </c>
      <c r="E225" s="4">
        <f t="shared" si="16"/>
        <v>1</v>
      </c>
      <c r="F225" s="4">
        <f t="shared" si="13"/>
        <v>77</v>
      </c>
      <c r="G225" s="4">
        <f t="shared" si="14"/>
        <v>6.5695290858725763E-5</v>
      </c>
      <c r="H225" s="4">
        <f t="shared" si="15"/>
        <v>5929</v>
      </c>
      <c r="I225" s="5">
        <f>SQRT(SUM('r-pi-multi'!$D$3:D225)/COUNTIF($A$3:A225,"&lt;&gt;0"))</f>
        <v>74.529977115179889</v>
      </c>
    </row>
    <row r="226" spans="1:9">
      <c r="A226">
        <v>224</v>
      </c>
      <c r="B226">
        <v>14</v>
      </c>
      <c r="C226">
        <v>9500</v>
      </c>
      <c r="D226">
        <v>9401</v>
      </c>
      <c r="E226" s="4">
        <f t="shared" si="16"/>
        <v>1</v>
      </c>
      <c r="F226" s="4">
        <f t="shared" si="13"/>
        <v>99</v>
      </c>
      <c r="G226" s="4">
        <f t="shared" si="14"/>
        <v>1.085983379501385E-4</v>
      </c>
      <c r="H226" s="4">
        <f t="shared" si="15"/>
        <v>9801</v>
      </c>
      <c r="I226" s="5">
        <f>SQRT(SUM('r-pi-multi'!$D$3:D226)/COUNTIF($A$3:A226,"&lt;&gt;0"))</f>
        <v>74.645082844465676</v>
      </c>
    </row>
    <row r="227" spans="1:9">
      <c r="A227">
        <v>225</v>
      </c>
      <c r="B227">
        <v>14</v>
      </c>
      <c r="C227">
        <v>9500</v>
      </c>
      <c r="D227">
        <v>9351</v>
      </c>
      <c r="E227" s="4">
        <f t="shared" si="16"/>
        <v>1</v>
      </c>
      <c r="F227" s="4">
        <f t="shared" si="13"/>
        <v>149</v>
      </c>
      <c r="G227" s="4">
        <f t="shared" si="14"/>
        <v>2.4599445983379504E-4</v>
      </c>
      <c r="H227" s="4">
        <f t="shared" si="15"/>
        <v>22201</v>
      </c>
      <c r="I227" s="5">
        <f>SQRT(SUM('r-pi-multi'!$D$3:D227)/COUNTIF($A$3:A227,"&lt;&gt;0"))</f>
        <v>74.757504268430765</v>
      </c>
    </row>
    <row r="228" spans="1:9">
      <c r="A228">
        <v>226</v>
      </c>
      <c r="B228">
        <v>14</v>
      </c>
      <c r="C228">
        <v>9500</v>
      </c>
      <c r="D228">
        <v>9443</v>
      </c>
      <c r="E228" s="4">
        <f t="shared" si="16"/>
        <v>1</v>
      </c>
      <c r="F228" s="4">
        <f t="shared" si="13"/>
        <v>57</v>
      </c>
      <c r="G228" s="4">
        <f t="shared" si="14"/>
        <v>3.6000000000000001E-5</v>
      </c>
      <c r="H228" s="4">
        <f t="shared" si="15"/>
        <v>3249</v>
      </c>
      <c r="I228" s="5">
        <f>SQRT(SUM('r-pi-multi'!$D$3:D228)/COUNTIF($A$3:A228,"&lt;&gt;0"))</f>
        <v>74.871482809231836</v>
      </c>
    </row>
    <row r="229" spans="1:9">
      <c r="A229">
        <v>227</v>
      </c>
      <c r="B229">
        <v>14</v>
      </c>
      <c r="C229">
        <v>9500</v>
      </c>
      <c r="D229">
        <v>9380</v>
      </c>
      <c r="E229" s="4">
        <f t="shared" si="16"/>
        <v>1</v>
      </c>
      <c r="F229" s="4">
        <f t="shared" si="13"/>
        <v>120</v>
      </c>
      <c r="G229" s="4">
        <f t="shared" si="14"/>
        <v>1.595567867036011E-4</v>
      </c>
      <c r="H229" s="4">
        <f t="shared" si="15"/>
        <v>14400</v>
      </c>
      <c r="I229" s="5">
        <f>SQRT(SUM('r-pi-multi'!$D$3:D229)/COUNTIF($A$3:A229,"&lt;&gt;0"))</f>
        <v>74.982435535040608</v>
      </c>
    </row>
    <row r="230" spans="1:9">
      <c r="A230">
        <v>228</v>
      </c>
      <c r="B230">
        <v>14</v>
      </c>
      <c r="C230">
        <v>9500</v>
      </c>
      <c r="D230">
        <v>9309</v>
      </c>
      <c r="E230" s="4">
        <f t="shared" si="16"/>
        <v>1</v>
      </c>
      <c r="F230" s="4">
        <f t="shared" si="13"/>
        <v>191</v>
      </c>
      <c r="G230" s="4">
        <f t="shared" si="14"/>
        <v>4.0422160664819947E-4</v>
      </c>
      <c r="H230" s="4">
        <f t="shared" si="15"/>
        <v>36481</v>
      </c>
      <c r="I230" s="5">
        <f>SQRT(SUM('r-pi-multi'!$D$3:D230)/COUNTIF($A$3:A230,"&lt;&gt;0"))</f>
        <v>75.090179702270646</v>
      </c>
    </row>
    <row r="231" spans="1:9">
      <c r="A231">
        <v>229</v>
      </c>
      <c r="B231">
        <v>14</v>
      </c>
      <c r="C231">
        <v>9500</v>
      </c>
      <c r="D231">
        <v>9174</v>
      </c>
      <c r="E231" s="4">
        <f t="shared" si="16"/>
        <v>1</v>
      </c>
      <c r="F231" s="4">
        <f t="shared" si="13"/>
        <v>326</v>
      </c>
      <c r="G231" s="4">
        <f t="shared" si="14"/>
        <v>1.1775734072022161E-3</v>
      </c>
      <c r="H231" s="4">
        <f t="shared" si="15"/>
        <v>106276</v>
      </c>
      <c r="I231" s="5">
        <f>SQRT(SUM('r-pi-multi'!$D$3:D231)/COUNTIF($A$3:A231,"&lt;&gt;0"))</f>
        <v>75.192910564272196</v>
      </c>
    </row>
    <row r="232" spans="1:9">
      <c r="A232">
        <v>230</v>
      </c>
      <c r="B232">
        <v>14</v>
      </c>
      <c r="C232">
        <v>9500</v>
      </c>
      <c r="D232">
        <v>9319</v>
      </c>
      <c r="E232" s="4">
        <f t="shared" si="16"/>
        <v>1</v>
      </c>
      <c r="F232" s="4">
        <f t="shared" si="13"/>
        <v>181</v>
      </c>
      <c r="G232" s="4">
        <f t="shared" si="14"/>
        <v>3.6300277008310256E-4</v>
      </c>
      <c r="H232" s="4">
        <f t="shared" si="15"/>
        <v>32761</v>
      </c>
      <c r="I232" s="5">
        <f>SQRT(SUM('r-pi-multi'!$D$3:D232)/COUNTIF($A$3:A232,"&lt;&gt;0"))</f>
        <v>75.29879611024451</v>
      </c>
    </row>
    <row r="233" spans="1:9">
      <c r="A233">
        <v>231</v>
      </c>
      <c r="B233">
        <v>14</v>
      </c>
      <c r="C233">
        <v>9500</v>
      </c>
      <c r="D233">
        <v>9098</v>
      </c>
      <c r="E233" s="4">
        <f t="shared" si="16"/>
        <v>1</v>
      </c>
      <c r="F233" s="4">
        <f t="shared" si="13"/>
        <v>402</v>
      </c>
      <c r="G233" s="4">
        <f t="shared" si="14"/>
        <v>1.7906260387811634E-3</v>
      </c>
      <c r="H233" s="4">
        <f t="shared" si="15"/>
        <v>161604</v>
      </c>
      <c r="I233" s="5">
        <f>SQRT(SUM('r-pi-multi'!$D$3:D233)/COUNTIF($A$3:A233,"&lt;&gt;0"))</f>
        <v>75.397273941097623</v>
      </c>
    </row>
    <row r="234" spans="1:9">
      <c r="A234">
        <v>232</v>
      </c>
      <c r="B234">
        <v>14</v>
      </c>
      <c r="C234">
        <v>9500</v>
      </c>
      <c r="D234">
        <v>9259</v>
      </c>
      <c r="E234" s="4">
        <f t="shared" si="16"/>
        <v>1</v>
      </c>
      <c r="F234" s="4">
        <f t="shared" si="13"/>
        <v>241</v>
      </c>
      <c r="G234" s="4">
        <f t="shared" si="14"/>
        <v>6.4355678670360112E-4</v>
      </c>
      <c r="H234" s="4">
        <f t="shared" si="15"/>
        <v>58081</v>
      </c>
      <c r="I234" s="5">
        <f>SQRT(SUM('r-pi-multi'!$D$3:D234)/COUNTIF($A$3:A234,"&lt;&gt;0"))</f>
        <v>75.499372000128545</v>
      </c>
    </row>
    <row r="235" spans="1:9">
      <c r="A235">
        <v>233</v>
      </c>
      <c r="B235">
        <v>14</v>
      </c>
      <c r="C235">
        <v>9500</v>
      </c>
      <c r="D235">
        <v>9350</v>
      </c>
      <c r="E235" s="4">
        <f t="shared" si="16"/>
        <v>1</v>
      </c>
      <c r="F235" s="4">
        <f t="shared" si="13"/>
        <v>150</v>
      </c>
      <c r="G235" s="4">
        <f t="shared" si="14"/>
        <v>2.4930747922437675E-4</v>
      </c>
      <c r="H235" s="4">
        <f t="shared" si="15"/>
        <v>22500</v>
      </c>
      <c r="I235" s="5">
        <f>SQRT(SUM('r-pi-multi'!$D$3:D235)/COUNTIF($A$3:A235,"&lt;&gt;0"))</f>
        <v>75.603040563784674</v>
      </c>
    </row>
    <row r="236" spans="1:9">
      <c r="A236">
        <v>234</v>
      </c>
      <c r="B236">
        <v>14</v>
      </c>
      <c r="C236">
        <v>9500</v>
      </c>
      <c r="D236">
        <v>9336</v>
      </c>
      <c r="E236" s="4">
        <f t="shared" si="16"/>
        <v>1</v>
      </c>
      <c r="F236" s="4">
        <f t="shared" si="13"/>
        <v>164</v>
      </c>
      <c r="G236" s="4">
        <f t="shared" si="14"/>
        <v>2.9801662049861491E-4</v>
      </c>
      <c r="H236" s="4">
        <f t="shared" si="15"/>
        <v>26896</v>
      </c>
      <c r="I236" s="5">
        <f>SQRT(SUM('r-pi-multi'!$D$3:D236)/COUNTIF($A$3:A236,"&lt;&gt;0"))</f>
        <v>75.705287782892668</v>
      </c>
    </row>
    <row r="237" spans="1:9">
      <c r="A237">
        <v>235</v>
      </c>
      <c r="B237">
        <v>14</v>
      </c>
      <c r="C237">
        <v>9500</v>
      </c>
      <c r="D237">
        <v>8024</v>
      </c>
      <c r="E237" s="4">
        <f t="shared" si="16"/>
        <v>1</v>
      </c>
      <c r="F237" s="4">
        <f t="shared" si="13"/>
        <v>1476</v>
      </c>
      <c r="G237" s="4">
        <f t="shared" si="14"/>
        <v>2.4139346260387811E-2</v>
      </c>
      <c r="H237" s="4">
        <f t="shared" si="15"/>
        <v>2178576</v>
      </c>
      <c r="I237" s="5">
        <f>SQRT(SUM('r-pi-multi'!$D$3:D237)/COUNTIF($A$3:A237,"&lt;&gt;0"))</f>
        <v>75.769695845440992</v>
      </c>
    </row>
    <row r="238" spans="1:9">
      <c r="A238">
        <v>236</v>
      </c>
      <c r="B238">
        <v>15</v>
      </c>
      <c r="C238">
        <v>9500</v>
      </c>
      <c r="D238">
        <v>9577</v>
      </c>
      <c r="E238" s="4">
        <f t="shared" si="16"/>
        <v>1</v>
      </c>
      <c r="F238" s="4">
        <f t="shared" si="13"/>
        <v>77</v>
      </c>
      <c r="G238" s="4">
        <f t="shared" si="14"/>
        <v>6.5695290858725763E-5</v>
      </c>
      <c r="H238" s="4">
        <f t="shared" si="15"/>
        <v>5929</v>
      </c>
      <c r="I238" s="5">
        <f>SQRT(SUM('r-pi-multi'!$D$3:D238)/COUNTIF($A$3:A238,"&lt;&gt;0"))</f>
        <v>75.876879531630891</v>
      </c>
    </row>
    <row r="239" spans="1:9">
      <c r="A239">
        <v>237</v>
      </c>
      <c r="B239">
        <v>14</v>
      </c>
      <c r="C239">
        <v>9500</v>
      </c>
      <c r="D239">
        <v>9241</v>
      </c>
      <c r="E239" s="4">
        <f t="shared" si="16"/>
        <v>1</v>
      </c>
      <c r="F239" s="4">
        <f t="shared" si="13"/>
        <v>259</v>
      </c>
      <c r="G239" s="4">
        <f t="shared" si="14"/>
        <v>7.4327977839335185E-4</v>
      </c>
      <c r="H239" s="4">
        <f t="shared" si="15"/>
        <v>67081</v>
      </c>
      <c r="I239" s="5">
        <f>SQRT(SUM('r-pi-multi'!$D$3:D239)/COUNTIF($A$3:A239,"&lt;&gt;0"))</f>
        <v>75.973679652890311</v>
      </c>
    </row>
    <row r="240" spans="1:9">
      <c r="A240">
        <v>238</v>
      </c>
      <c r="B240">
        <v>14</v>
      </c>
      <c r="C240">
        <v>9500</v>
      </c>
      <c r="D240">
        <v>9323</v>
      </c>
      <c r="E240" s="4">
        <f t="shared" si="16"/>
        <v>1</v>
      </c>
      <c r="F240" s="4">
        <f t="shared" si="13"/>
        <v>177</v>
      </c>
      <c r="G240" s="4">
        <f t="shared" si="14"/>
        <v>3.4713573407202223E-4</v>
      </c>
      <c r="H240" s="4">
        <f t="shared" si="15"/>
        <v>31329</v>
      </c>
      <c r="I240" s="5">
        <f>SQRT(SUM('r-pi-multi'!$D$3:D240)/COUNTIF($A$3:A240,"&lt;&gt;0"))</f>
        <v>76.07180928614244</v>
      </c>
    </row>
    <row r="241" spans="1:9">
      <c r="A241">
        <v>239</v>
      </c>
      <c r="B241">
        <v>14</v>
      </c>
      <c r="C241">
        <v>9500</v>
      </c>
      <c r="D241">
        <v>9306</v>
      </c>
      <c r="E241" s="4">
        <f t="shared" si="16"/>
        <v>1</v>
      </c>
      <c r="F241" s="4">
        <f t="shared" si="13"/>
        <v>194</v>
      </c>
      <c r="G241" s="4">
        <f t="shared" si="14"/>
        <v>4.1701939058171744E-4</v>
      </c>
      <c r="H241" s="4">
        <f t="shared" si="15"/>
        <v>37636</v>
      </c>
      <c r="I241" s="5">
        <f>SQRT(SUM('r-pi-multi'!$D$3:D241)/COUNTIF($A$3:A241,"&lt;&gt;0"))</f>
        <v>76.168525989836738</v>
      </c>
    </row>
    <row r="242" spans="1:9">
      <c r="A242">
        <v>240</v>
      </c>
      <c r="B242">
        <v>14</v>
      </c>
      <c r="C242">
        <v>9500</v>
      </c>
      <c r="D242">
        <v>9181</v>
      </c>
      <c r="E242" s="4">
        <f t="shared" si="16"/>
        <v>1</v>
      </c>
      <c r="F242" s="4">
        <f t="shared" si="13"/>
        <v>319</v>
      </c>
      <c r="G242" s="4">
        <f t="shared" si="14"/>
        <v>1.1275457063711913E-3</v>
      </c>
      <c r="H242" s="4">
        <f t="shared" si="15"/>
        <v>101761</v>
      </c>
      <c r="I242" s="5">
        <f>SQRT(SUM('r-pi-multi'!$D$3:D242)/COUNTIF($A$3:A242,"&lt;&gt;0"))</f>
        <v>76.26090086013933</v>
      </c>
    </row>
    <row r="243" spans="1:9">
      <c r="A243">
        <v>241</v>
      </c>
      <c r="B243">
        <v>14</v>
      </c>
      <c r="C243">
        <v>9500</v>
      </c>
      <c r="D243">
        <v>9084</v>
      </c>
      <c r="E243" s="4">
        <f t="shared" si="16"/>
        <v>1</v>
      </c>
      <c r="F243" s="4">
        <f t="shared" si="13"/>
        <v>416</v>
      </c>
      <c r="G243" s="4">
        <f t="shared" si="14"/>
        <v>1.917518005540166E-3</v>
      </c>
      <c r="H243" s="4">
        <f t="shared" si="15"/>
        <v>173056</v>
      </c>
      <c r="I243" s="5">
        <f>SQRT(SUM('r-pi-multi'!$D$3:D243)/COUNTIF($A$3:A243,"&lt;&gt;0"))</f>
        <v>76.349762979684101</v>
      </c>
    </row>
    <row r="244" spans="1:9">
      <c r="A244">
        <v>242</v>
      </c>
      <c r="B244">
        <v>15</v>
      </c>
      <c r="C244">
        <v>9500</v>
      </c>
      <c r="D244">
        <v>9370</v>
      </c>
      <c r="E244" s="4">
        <f t="shared" si="16"/>
        <v>1</v>
      </c>
      <c r="F244" s="4">
        <f t="shared" si="13"/>
        <v>130</v>
      </c>
      <c r="G244" s="4">
        <f t="shared" si="14"/>
        <v>1.8725761772853187E-4</v>
      </c>
      <c r="H244" s="4">
        <f t="shared" si="15"/>
        <v>16900</v>
      </c>
      <c r="I244" s="5">
        <f>SQRT(SUM('r-pi-multi'!$D$3:D244)/COUNTIF($A$3:A244,"&lt;&gt;0"))</f>
        <v>76.445518870447216</v>
      </c>
    </row>
    <row r="245" spans="1:9">
      <c r="A245">
        <v>243</v>
      </c>
      <c r="B245">
        <v>14</v>
      </c>
      <c r="C245">
        <v>9500</v>
      </c>
      <c r="D245">
        <v>8941</v>
      </c>
      <c r="E245" s="4">
        <f t="shared" si="16"/>
        <v>1</v>
      </c>
      <c r="F245" s="4">
        <f t="shared" si="13"/>
        <v>559</v>
      </c>
      <c r="G245" s="4">
        <f t="shared" si="14"/>
        <v>3.4623933518005542E-3</v>
      </c>
      <c r="H245" s="4">
        <f t="shared" si="15"/>
        <v>312481</v>
      </c>
      <c r="I245" s="5">
        <f>SQRT(SUM('r-pi-multi'!$D$3:D245)/COUNTIF($A$3:A245,"&lt;&gt;0"))</f>
        <v>76.528834771217632</v>
      </c>
    </row>
    <row r="246" spans="1:9">
      <c r="A246">
        <v>244</v>
      </c>
      <c r="B246">
        <v>15</v>
      </c>
      <c r="C246">
        <v>9500</v>
      </c>
      <c r="D246">
        <v>9470</v>
      </c>
      <c r="E246" s="4">
        <f t="shared" si="16"/>
        <v>1</v>
      </c>
      <c r="F246" s="4">
        <f t="shared" si="13"/>
        <v>30</v>
      </c>
      <c r="G246" s="4">
        <f t="shared" si="14"/>
        <v>9.9722991689750685E-6</v>
      </c>
      <c r="H246" s="4">
        <f t="shared" si="15"/>
        <v>900</v>
      </c>
      <c r="I246" s="5">
        <f>SQRT(SUM('r-pi-multi'!$D$3:D246)/COUNTIF($A$3:A246,"&lt;&gt;0"))</f>
        <v>76.62552650047769</v>
      </c>
    </row>
    <row r="247" spans="1:9">
      <c r="A247">
        <v>245</v>
      </c>
      <c r="B247">
        <v>15</v>
      </c>
      <c r="C247">
        <v>9500</v>
      </c>
      <c r="D247">
        <v>9645</v>
      </c>
      <c r="E247" s="4">
        <f t="shared" si="16"/>
        <v>1</v>
      </c>
      <c r="F247" s="4">
        <f t="shared" si="13"/>
        <v>145</v>
      </c>
      <c r="G247" s="4">
        <f t="shared" si="14"/>
        <v>2.3296398891966758E-4</v>
      </c>
      <c r="H247" s="4">
        <f t="shared" si="15"/>
        <v>21025</v>
      </c>
      <c r="I247" s="5">
        <f>SQRT(SUM('r-pi-multi'!$D$3:D247)/COUNTIF($A$3:A247,"&lt;&gt;0"))</f>
        <v>76.72596346340498</v>
      </c>
    </row>
    <row r="248" spans="1:9">
      <c r="A248">
        <v>246</v>
      </c>
      <c r="B248">
        <v>14</v>
      </c>
      <c r="C248">
        <v>9500</v>
      </c>
      <c r="D248">
        <v>9392</v>
      </c>
      <c r="E248" s="4">
        <f t="shared" si="16"/>
        <v>1</v>
      </c>
      <c r="F248" s="4">
        <f t="shared" si="13"/>
        <v>108</v>
      </c>
      <c r="G248" s="4">
        <f t="shared" si="14"/>
        <v>1.2924099722991692E-4</v>
      </c>
      <c r="H248" s="4">
        <f t="shared" si="15"/>
        <v>11664</v>
      </c>
      <c r="I248" s="5">
        <f>SQRT(SUM('r-pi-multi'!$D$3:D248)/COUNTIF($A$3:A248,"&lt;&gt;0"))</f>
        <v>76.818760411891006</v>
      </c>
    </row>
    <row r="249" spans="1:9">
      <c r="A249">
        <v>247</v>
      </c>
      <c r="B249">
        <v>15</v>
      </c>
      <c r="C249">
        <v>9500</v>
      </c>
      <c r="D249">
        <v>9662</v>
      </c>
      <c r="E249" s="4">
        <f t="shared" si="16"/>
        <v>1</v>
      </c>
      <c r="F249" s="4">
        <f t="shared" si="13"/>
        <v>162</v>
      </c>
      <c r="G249" s="4">
        <f t="shared" si="14"/>
        <v>2.9079224376731298E-4</v>
      </c>
      <c r="H249" s="4">
        <f t="shared" si="15"/>
        <v>26244</v>
      </c>
      <c r="I249" s="5">
        <f>SQRT(SUM('r-pi-multi'!$D$3:D249)/COUNTIF($A$3:A249,"&lt;&gt;0"))</f>
        <v>76.917801438533402</v>
      </c>
    </row>
    <row r="250" spans="1:9">
      <c r="A250">
        <v>248</v>
      </c>
      <c r="B250">
        <v>14</v>
      </c>
      <c r="C250">
        <v>9500</v>
      </c>
      <c r="D250">
        <v>9055</v>
      </c>
      <c r="E250" s="4">
        <f t="shared" si="16"/>
        <v>1</v>
      </c>
      <c r="F250" s="4">
        <f t="shared" si="13"/>
        <v>445</v>
      </c>
      <c r="G250" s="4">
        <f t="shared" si="14"/>
        <v>2.1941828254847646E-3</v>
      </c>
      <c r="H250" s="4">
        <f t="shared" si="15"/>
        <v>198025</v>
      </c>
      <c r="I250" s="5">
        <f>SQRT(SUM('r-pi-multi'!$D$3:D250)/COUNTIF($A$3:A250,"&lt;&gt;0"))</f>
        <v>77.000026183489467</v>
      </c>
    </row>
    <row r="251" spans="1:9">
      <c r="A251">
        <v>249</v>
      </c>
      <c r="B251">
        <v>15</v>
      </c>
      <c r="C251">
        <v>9500</v>
      </c>
      <c r="D251">
        <v>9680</v>
      </c>
      <c r="E251" s="4">
        <f t="shared" si="16"/>
        <v>1</v>
      </c>
      <c r="F251" s="4">
        <f t="shared" si="13"/>
        <v>180</v>
      </c>
      <c r="G251" s="4">
        <f t="shared" si="14"/>
        <v>3.5900277008310257E-4</v>
      </c>
      <c r="H251" s="4">
        <f t="shared" si="15"/>
        <v>32400</v>
      </c>
      <c r="I251" s="5">
        <f>SQRT(SUM('r-pi-multi'!$D$3:D251)/COUNTIF($A$3:A251,"&lt;&gt;0"))</f>
        <v>77.097783840343752</v>
      </c>
    </row>
    <row r="252" spans="1:9">
      <c r="A252">
        <v>250</v>
      </c>
      <c r="B252">
        <v>14</v>
      </c>
      <c r="C252">
        <v>9500</v>
      </c>
      <c r="D252">
        <v>9245</v>
      </c>
      <c r="E252" s="4">
        <f t="shared" si="16"/>
        <v>1</v>
      </c>
      <c r="F252" s="4">
        <f t="shared" si="13"/>
        <v>255</v>
      </c>
      <c r="G252" s="4">
        <f t="shared" si="14"/>
        <v>7.2049861495844883E-4</v>
      </c>
      <c r="H252" s="4">
        <f t="shared" si="15"/>
        <v>65025</v>
      </c>
      <c r="I252" s="5">
        <f>SQRT(SUM('r-pi-multi'!$D$3:D252)/COUNTIF($A$3:A252,"&lt;&gt;0"))</f>
        <v>77.183366083632293</v>
      </c>
    </row>
    <row r="253" spans="1:9">
      <c r="A253">
        <v>251</v>
      </c>
      <c r="B253">
        <v>15</v>
      </c>
      <c r="C253">
        <v>9500</v>
      </c>
      <c r="D253">
        <v>9646</v>
      </c>
      <c r="E253" s="4">
        <f t="shared" si="16"/>
        <v>1</v>
      </c>
      <c r="F253" s="4">
        <f t="shared" si="13"/>
        <v>146</v>
      </c>
      <c r="G253" s="4">
        <f t="shared" si="14"/>
        <v>2.3618836565096957E-4</v>
      </c>
      <c r="H253" s="4">
        <f t="shared" si="15"/>
        <v>21316</v>
      </c>
      <c r="I253" s="5">
        <f>SQRT(SUM('r-pi-multi'!$D$3:D253)/COUNTIF($A$3:A253,"&lt;&gt;0"))</f>
        <v>77.278510127266557</v>
      </c>
    </row>
    <row r="254" spans="1:9">
      <c r="A254">
        <v>252</v>
      </c>
      <c r="B254">
        <v>15</v>
      </c>
      <c r="C254">
        <v>9500</v>
      </c>
      <c r="D254">
        <v>9598</v>
      </c>
      <c r="E254" s="4">
        <f t="shared" si="16"/>
        <v>1</v>
      </c>
      <c r="F254" s="4">
        <f t="shared" si="13"/>
        <v>98</v>
      </c>
      <c r="G254" s="4">
        <f t="shared" si="14"/>
        <v>1.0641551246537396E-4</v>
      </c>
      <c r="H254" s="4">
        <f t="shared" si="15"/>
        <v>9604</v>
      </c>
      <c r="I254" s="5">
        <f>SQRT(SUM('r-pi-multi'!$D$3:D254)/COUNTIF($A$3:A254,"&lt;&gt;0"))</f>
        <v>77.371552542631221</v>
      </c>
    </row>
    <row r="255" spans="1:9">
      <c r="A255">
        <v>253</v>
      </c>
      <c r="B255">
        <v>15</v>
      </c>
      <c r="C255">
        <v>9500</v>
      </c>
      <c r="D255">
        <v>9467</v>
      </c>
      <c r="E255" s="4">
        <f t="shared" si="16"/>
        <v>1</v>
      </c>
      <c r="F255" s="4">
        <f t="shared" si="13"/>
        <v>33</v>
      </c>
      <c r="G255" s="4">
        <f t="shared" si="14"/>
        <v>1.2066481994459835E-5</v>
      </c>
      <c r="H255" s="4">
        <f t="shared" si="15"/>
        <v>1089</v>
      </c>
      <c r="I255" s="5">
        <f>SQRT(SUM('r-pi-multi'!$D$3:D255)/COUNTIF($A$3:A255,"&lt;&gt;0"))</f>
        <v>77.460406818618821</v>
      </c>
    </row>
    <row r="256" spans="1:9">
      <c r="A256">
        <v>254</v>
      </c>
      <c r="B256">
        <v>15</v>
      </c>
      <c r="C256">
        <v>9500</v>
      </c>
      <c r="D256">
        <v>9644</v>
      </c>
      <c r="E256" s="4">
        <f t="shared" si="16"/>
        <v>1</v>
      </c>
      <c r="F256" s="4">
        <f t="shared" si="13"/>
        <v>144</v>
      </c>
      <c r="G256" s="4">
        <f t="shared" si="14"/>
        <v>2.2976177285318557E-4</v>
      </c>
      <c r="H256" s="4">
        <f t="shared" si="15"/>
        <v>20736</v>
      </c>
      <c r="I256" s="5">
        <f>SQRT(SUM('r-pi-multi'!$D$3:D256)/COUNTIF($A$3:A256,"&lt;&gt;0"))</f>
        <v>77.552953715002118</v>
      </c>
    </row>
    <row r="257" spans="1:9">
      <c r="A257">
        <v>255</v>
      </c>
      <c r="B257">
        <v>14</v>
      </c>
      <c r="C257">
        <v>9500</v>
      </c>
      <c r="D257">
        <v>9172</v>
      </c>
      <c r="E257" s="4">
        <f t="shared" si="16"/>
        <v>1</v>
      </c>
      <c r="F257" s="4">
        <f t="shared" si="13"/>
        <v>328</v>
      </c>
      <c r="G257" s="4">
        <f t="shared" si="14"/>
        <v>1.1920664819944596E-3</v>
      </c>
      <c r="H257" s="4">
        <f t="shared" si="15"/>
        <v>107584</v>
      </c>
      <c r="I257" s="5">
        <f>SQRT(SUM('r-pi-multi'!$D$3:D257)/COUNTIF($A$3:A257,"&lt;&gt;0"))</f>
        <v>77.632745264191854</v>
      </c>
    </row>
    <row r="258" spans="1:9">
      <c r="A258">
        <v>256</v>
      </c>
      <c r="B258">
        <v>15</v>
      </c>
      <c r="C258">
        <v>9500</v>
      </c>
      <c r="D258">
        <v>9669</v>
      </c>
      <c r="E258" s="4">
        <f t="shared" si="16"/>
        <v>1</v>
      </c>
      <c r="F258" s="4">
        <f t="shared" si="13"/>
        <v>169</v>
      </c>
      <c r="G258" s="4">
        <f t="shared" si="14"/>
        <v>3.164653739612188E-4</v>
      </c>
      <c r="H258" s="4">
        <f t="shared" si="15"/>
        <v>28561</v>
      </c>
      <c r="I258" s="5">
        <f>SQRT(SUM('r-pi-multi'!$D$3:D258)/COUNTIF($A$3:A258,"&lt;&gt;0"))</f>
        <v>77.724322528408052</v>
      </c>
    </row>
    <row r="259" spans="1:9">
      <c r="A259">
        <v>257</v>
      </c>
      <c r="B259">
        <v>15</v>
      </c>
      <c r="C259">
        <v>9500</v>
      </c>
      <c r="D259">
        <v>9614</v>
      </c>
      <c r="E259" s="4">
        <f t="shared" si="16"/>
        <v>1</v>
      </c>
      <c r="F259" s="4">
        <f t="shared" si="13"/>
        <v>114</v>
      </c>
      <c r="G259" s="4">
        <f t="shared" si="14"/>
        <v>1.44E-4</v>
      </c>
      <c r="H259" s="4">
        <f t="shared" si="15"/>
        <v>12996</v>
      </c>
      <c r="I259" s="5">
        <f>SQRT(SUM('r-pi-multi'!$D$3:D259)/COUNTIF($A$3:A259,"&lt;&gt;0"))</f>
        <v>77.813705493607713</v>
      </c>
    </row>
    <row r="260" spans="1:9">
      <c r="A260">
        <v>258</v>
      </c>
      <c r="B260">
        <v>15</v>
      </c>
      <c r="C260">
        <v>9500</v>
      </c>
      <c r="D260">
        <v>9661</v>
      </c>
      <c r="E260" s="4">
        <f t="shared" si="16"/>
        <v>1</v>
      </c>
      <c r="F260" s="4">
        <f t="shared" ref="F260:F323" si="17">ABS(C260-D260)</f>
        <v>161</v>
      </c>
      <c r="G260" s="4">
        <f t="shared" ref="G260:G323" si="18">POWER(ABS(C260-D260)/C260,2)</f>
        <v>2.8721329639889195E-4</v>
      </c>
      <c r="H260" s="4">
        <f t="shared" ref="H260:H323" si="19">POWER(F260,2)</f>
        <v>25921</v>
      </c>
      <c r="I260" s="5">
        <f>SQRT(SUM('r-pi-multi'!$D$3:D260)/COUNTIF($A$3:A260,"&lt;&gt;0"))</f>
        <v>77.903463417251871</v>
      </c>
    </row>
    <row r="261" spans="1:9">
      <c r="A261">
        <v>259</v>
      </c>
      <c r="B261">
        <v>14</v>
      </c>
      <c r="C261">
        <v>9500</v>
      </c>
      <c r="D261">
        <v>9288</v>
      </c>
      <c r="E261" s="4">
        <f t="shared" si="16"/>
        <v>1</v>
      </c>
      <c r="F261" s="4">
        <f t="shared" si="17"/>
        <v>212</v>
      </c>
      <c r="G261" s="4">
        <f t="shared" si="18"/>
        <v>4.9799445983379493E-4</v>
      </c>
      <c r="H261" s="4">
        <f t="shared" si="19"/>
        <v>44944</v>
      </c>
      <c r="I261" s="5">
        <f>SQRT(SUM('r-pi-multi'!$D$3:D261)/COUNTIF($A$3:A261,"&lt;&gt;0"))</f>
        <v>77.983192922439244</v>
      </c>
    </row>
    <row r="262" spans="1:9">
      <c r="A262">
        <v>260</v>
      </c>
      <c r="B262">
        <v>15</v>
      </c>
      <c r="C262">
        <v>9500</v>
      </c>
      <c r="D262">
        <v>9573</v>
      </c>
      <c r="E262" s="4">
        <f t="shared" si="16"/>
        <v>1</v>
      </c>
      <c r="F262" s="4">
        <f t="shared" si="17"/>
        <v>73</v>
      </c>
      <c r="G262" s="4">
        <f t="shared" si="18"/>
        <v>5.9047091412742392E-5</v>
      </c>
      <c r="H262" s="4">
        <f t="shared" si="19"/>
        <v>5329</v>
      </c>
      <c r="I262" s="5">
        <f>SQRT(SUM('r-pi-multi'!$D$3:D262)/COUNTIF($A$3:A262,"&lt;&gt;0"))</f>
        <v>78.069249338697318</v>
      </c>
    </row>
    <row r="263" spans="1:9">
      <c r="A263">
        <v>261</v>
      </c>
      <c r="B263">
        <v>15</v>
      </c>
      <c r="C263">
        <v>9500</v>
      </c>
      <c r="D263">
        <v>9618</v>
      </c>
      <c r="E263" s="4">
        <f t="shared" si="16"/>
        <v>1</v>
      </c>
      <c r="F263" s="4">
        <f t="shared" si="17"/>
        <v>118</v>
      </c>
      <c r="G263" s="4">
        <f t="shared" si="18"/>
        <v>1.542825484764543E-4</v>
      </c>
      <c r="H263" s="4">
        <f t="shared" si="19"/>
        <v>13924</v>
      </c>
      <c r="I263" s="5">
        <f>SQRT(SUM('r-pi-multi'!$D$3:D263)/COUNTIF($A$3:A263,"&lt;&gt;0"))</f>
        <v>78.155655671294582</v>
      </c>
    </row>
    <row r="264" spans="1:9">
      <c r="A264">
        <v>262</v>
      </c>
      <c r="B264">
        <v>14</v>
      </c>
      <c r="C264">
        <v>9500</v>
      </c>
      <c r="D264">
        <v>9267</v>
      </c>
      <c r="E264" s="4">
        <f t="shared" si="16"/>
        <v>1</v>
      </c>
      <c r="F264" s="4">
        <f t="shared" si="17"/>
        <v>233</v>
      </c>
      <c r="G264" s="4">
        <f t="shared" si="18"/>
        <v>6.0154016620498621E-4</v>
      </c>
      <c r="H264" s="4">
        <f t="shared" si="19"/>
        <v>54289</v>
      </c>
      <c r="I264" s="5">
        <f>SQRT(SUM('r-pi-multi'!$D$3:D264)/COUNTIF($A$3:A264,"&lt;&gt;0"))</f>
        <v>78.232746311374285</v>
      </c>
    </row>
    <row r="265" spans="1:9">
      <c r="A265">
        <v>263</v>
      </c>
      <c r="B265">
        <v>15</v>
      </c>
      <c r="C265">
        <v>9500</v>
      </c>
      <c r="D265">
        <v>9651</v>
      </c>
      <c r="E265" s="4">
        <f t="shared" si="16"/>
        <v>1</v>
      </c>
      <c r="F265" s="4">
        <f t="shared" si="17"/>
        <v>151</v>
      </c>
      <c r="G265" s="4">
        <f t="shared" si="18"/>
        <v>2.5264265927977842E-4</v>
      </c>
      <c r="H265" s="4">
        <f t="shared" si="19"/>
        <v>22801</v>
      </c>
      <c r="I265" s="5">
        <f>SQRT(SUM('r-pi-multi'!$D$3:D265)/COUNTIF($A$3:A265,"&lt;&gt;0"))</f>
        <v>78.318497637808051</v>
      </c>
    </row>
    <row r="266" spans="1:9">
      <c r="A266">
        <v>264</v>
      </c>
      <c r="B266">
        <v>14</v>
      </c>
      <c r="C266">
        <v>9500</v>
      </c>
      <c r="D266">
        <v>9216</v>
      </c>
      <c r="E266" s="4">
        <f t="shared" si="16"/>
        <v>1</v>
      </c>
      <c r="F266" s="4">
        <f t="shared" si="17"/>
        <v>284</v>
      </c>
      <c r="G266" s="4">
        <f t="shared" si="18"/>
        <v>8.9369529085872568E-4</v>
      </c>
      <c r="H266" s="4">
        <f t="shared" si="19"/>
        <v>80656</v>
      </c>
      <c r="I266" s="5">
        <f>SQRT(SUM('r-pi-multi'!$D$3:D266)/COUNTIF($A$3:A266,"&lt;&gt;0"))</f>
        <v>78.392997909329381</v>
      </c>
    </row>
    <row r="267" spans="1:9">
      <c r="A267">
        <v>265</v>
      </c>
      <c r="B267">
        <v>15</v>
      </c>
      <c r="C267">
        <v>9500</v>
      </c>
      <c r="D267">
        <v>9442</v>
      </c>
      <c r="E267" s="4">
        <f t="shared" si="16"/>
        <v>1</v>
      </c>
      <c r="F267" s="4">
        <f t="shared" si="17"/>
        <v>58</v>
      </c>
      <c r="G267" s="4">
        <f t="shared" si="18"/>
        <v>3.7274238227146813E-5</v>
      </c>
      <c r="H267" s="4">
        <f t="shared" si="19"/>
        <v>3364</v>
      </c>
      <c r="I267" s="5">
        <f>SQRT(SUM('r-pi-multi'!$D$3:D267)/COUNTIF($A$3:A267,"&lt;&gt;0"))</f>
        <v>78.472300124263285</v>
      </c>
    </row>
    <row r="268" spans="1:9">
      <c r="A268">
        <v>266</v>
      </c>
      <c r="B268">
        <v>15</v>
      </c>
      <c r="C268">
        <v>9500</v>
      </c>
      <c r="D268">
        <v>7668</v>
      </c>
      <c r="E268" s="4">
        <f t="shared" si="16"/>
        <v>1</v>
      </c>
      <c r="F268" s="4">
        <f t="shared" si="17"/>
        <v>1832</v>
      </c>
      <c r="G268" s="4">
        <f t="shared" si="18"/>
        <v>3.7188077562326873E-2</v>
      </c>
      <c r="H268" s="4">
        <f t="shared" si="19"/>
        <v>3356224</v>
      </c>
      <c r="I268" s="5">
        <f>SQRT(SUM('r-pi-multi'!$D$3:D268)/COUNTIF($A$3:A268,"&lt;&gt;0"))</f>
        <v>78.508464176599588</v>
      </c>
    </row>
    <row r="269" spans="1:9">
      <c r="A269">
        <v>267</v>
      </c>
      <c r="B269">
        <v>15</v>
      </c>
      <c r="C269">
        <v>9500</v>
      </c>
      <c r="D269">
        <v>9048</v>
      </c>
      <c r="E269" s="4">
        <f t="shared" si="16"/>
        <v>1</v>
      </c>
      <c r="F269" s="4">
        <f t="shared" si="17"/>
        <v>452</v>
      </c>
      <c r="G269" s="4">
        <f t="shared" si="18"/>
        <v>2.2637562326869808E-3</v>
      </c>
      <c r="H269" s="4">
        <f t="shared" si="19"/>
        <v>204304</v>
      </c>
      <c r="I269" s="5">
        <f>SQRT(SUM('r-pi-multi'!$D$3:D269)/COUNTIF($A$3:A269,"&lt;&gt;0"))</f>
        <v>78.577236032275337</v>
      </c>
    </row>
    <row r="270" spans="1:9">
      <c r="A270">
        <v>268</v>
      </c>
      <c r="B270">
        <v>15</v>
      </c>
      <c r="C270">
        <v>9500</v>
      </c>
      <c r="D270">
        <v>9688</v>
      </c>
      <c r="E270" s="4">
        <f t="shared" si="16"/>
        <v>1</v>
      </c>
      <c r="F270" s="4">
        <f t="shared" si="17"/>
        <v>188</v>
      </c>
      <c r="G270" s="4">
        <f t="shared" si="18"/>
        <v>3.9162326869806094E-4</v>
      </c>
      <c r="H270" s="4">
        <f t="shared" si="19"/>
        <v>35344</v>
      </c>
      <c r="I270" s="5">
        <f>SQRT(SUM('r-pi-multi'!$D$3:D270)/COUNTIF($A$3:A270,"&lt;&gt;0"))</f>
        <v>78.660616176797348</v>
      </c>
    </row>
    <row r="271" spans="1:9">
      <c r="A271">
        <v>269</v>
      </c>
      <c r="B271">
        <v>15</v>
      </c>
      <c r="C271">
        <v>9500</v>
      </c>
      <c r="D271">
        <v>9527</v>
      </c>
      <c r="E271" s="4">
        <f t="shared" si="16"/>
        <v>1</v>
      </c>
      <c r="F271" s="4">
        <f t="shared" si="17"/>
        <v>27</v>
      </c>
      <c r="G271" s="4">
        <f t="shared" si="18"/>
        <v>8.0775623268698074E-6</v>
      </c>
      <c r="H271" s="4">
        <f t="shared" si="19"/>
        <v>729</v>
      </c>
      <c r="I271" s="5">
        <f>SQRT(SUM('r-pi-multi'!$D$3:D271)/COUNTIF($A$3:A271,"&lt;&gt;0"))</f>
        <v>78.739488588617505</v>
      </c>
    </row>
    <row r="272" spans="1:9">
      <c r="A272">
        <v>270</v>
      </c>
      <c r="B272">
        <v>15</v>
      </c>
      <c r="C272">
        <v>9500</v>
      </c>
      <c r="D272">
        <v>9435</v>
      </c>
      <c r="E272" s="4">
        <f t="shared" si="16"/>
        <v>1</v>
      </c>
      <c r="F272" s="4">
        <f t="shared" si="17"/>
        <v>65</v>
      </c>
      <c r="G272" s="4">
        <f t="shared" si="18"/>
        <v>4.6814404432132968E-5</v>
      </c>
      <c r="H272" s="4">
        <f t="shared" si="19"/>
        <v>4225</v>
      </c>
      <c r="I272" s="5">
        <f>SQRT(SUM('r-pi-multi'!$D$3:D272)/COUNTIF($A$3:A272,"&lt;&gt;0"))</f>
        <v>78.815537103345861</v>
      </c>
    </row>
    <row r="273" spans="1:9">
      <c r="A273">
        <v>271</v>
      </c>
      <c r="B273">
        <v>15</v>
      </c>
      <c r="C273">
        <v>9500</v>
      </c>
      <c r="D273">
        <v>9525</v>
      </c>
      <c r="E273" s="4">
        <f t="shared" si="16"/>
        <v>1</v>
      </c>
      <c r="F273" s="4">
        <f t="shared" si="17"/>
        <v>25</v>
      </c>
      <c r="G273" s="4">
        <f t="shared" si="18"/>
        <v>6.9252077562326867E-6</v>
      </c>
      <c r="H273" s="4">
        <f t="shared" si="19"/>
        <v>625</v>
      </c>
      <c r="I273" s="5">
        <f>SQRT(SUM('r-pi-multi'!$D$3:D273)/COUNTIF($A$3:A273,"&lt;&gt;0"))</f>
        <v>78.893056672586283</v>
      </c>
    </row>
    <row r="274" spans="1:9">
      <c r="A274">
        <v>272</v>
      </c>
      <c r="B274">
        <v>15</v>
      </c>
      <c r="C274">
        <v>9500</v>
      </c>
      <c r="D274">
        <v>9725</v>
      </c>
      <c r="E274" s="4">
        <f t="shared" si="16"/>
        <v>1</v>
      </c>
      <c r="F274" s="4">
        <f t="shared" si="17"/>
        <v>225</v>
      </c>
      <c r="G274" s="4">
        <f t="shared" si="18"/>
        <v>5.6094182825484765E-4</v>
      </c>
      <c r="H274" s="4">
        <f t="shared" si="19"/>
        <v>50625</v>
      </c>
      <c r="I274" s="5">
        <f>SQRT(SUM('r-pi-multi'!$D$3:D274)/COUNTIF($A$3:A274,"&lt;&gt;0"))</f>
        <v>78.974586381428082</v>
      </c>
    </row>
    <row r="275" spans="1:9">
      <c r="A275">
        <v>273</v>
      </c>
      <c r="B275">
        <v>15</v>
      </c>
      <c r="C275">
        <v>9500</v>
      </c>
      <c r="D275">
        <v>9420</v>
      </c>
      <c r="E275" s="4">
        <f t="shared" si="16"/>
        <v>1</v>
      </c>
      <c r="F275" s="4">
        <f t="shared" si="17"/>
        <v>80</v>
      </c>
      <c r="G275" s="4">
        <f t="shared" si="18"/>
        <v>7.0914127423822706E-5</v>
      </c>
      <c r="H275" s="4">
        <f t="shared" si="19"/>
        <v>6400</v>
      </c>
      <c r="I275" s="5">
        <f>SQRT(SUM('r-pi-multi'!$D$3:D275)/COUNTIF($A$3:A275,"&lt;&gt;0"))</f>
        <v>79.048369297820997</v>
      </c>
    </row>
    <row r="276" spans="1:9">
      <c r="A276">
        <v>274</v>
      </c>
      <c r="B276">
        <v>15</v>
      </c>
      <c r="C276">
        <v>9500</v>
      </c>
      <c r="D276">
        <v>9196</v>
      </c>
      <c r="E276" s="4">
        <f t="shared" si="16"/>
        <v>1</v>
      </c>
      <c r="F276" s="4">
        <f t="shared" si="17"/>
        <v>304</v>
      </c>
      <c r="G276" s="4">
        <f t="shared" si="18"/>
        <v>1.024E-3</v>
      </c>
      <c r="H276" s="4">
        <f t="shared" si="19"/>
        <v>92416</v>
      </c>
      <c r="I276" s="5">
        <f>SQRT(SUM('r-pi-multi'!$D$3:D276)/COUNTIF($A$3:A276,"&lt;&gt;0"))</f>
        <v>79.116379213497979</v>
      </c>
    </row>
    <row r="277" spans="1:9">
      <c r="A277">
        <v>275</v>
      </c>
      <c r="B277">
        <v>15</v>
      </c>
      <c r="C277">
        <v>9500</v>
      </c>
      <c r="D277">
        <v>9652</v>
      </c>
      <c r="E277" s="4">
        <f t="shared" si="16"/>
        <v>1</v>
      </c>
      <c r="F277" s="4">
        <f t="shared" si="17"/>
        <v>152</v>
      </c>
      <c r="G277" s="4">
        <f t="shared" si="18"/>
        <v>2.5599999999999999E-4</v>
      </c>
      <c r="H277" s="4">
        <f t="shared" si="19"/>
        <v>23104</v>
      </c>
      <c r="I277" s="5">
        <f>SQRT(SUM('r-pi-multi'!$D$3:D277)/COUNTIF($A$3:A277,"&lt;&gt;0"))</f>
        <v>79.19430649875143</v>
      </c>
    </row>
    <row r="278" spans="1:9">
      <c r="A278">
        <v>276</v>
      </c>
      <c r="B278">
        <v>15</v>
      </c>
      <c r="C278">
        <v>9500</v>
      </c>
      <c r="D278">
        <v>9682</v>
      </c>
      <c r="E278" s="4">
        <f t="shared" si="16"/>
        <v>1</v>
      </c>
      <c r="F278" s="4">
        <f t="shared" si="17"/>
        <v>182</v>
      </c>
      <c r="G278" s="4">
        <f t="shared" si="18"/>
        <v>3.670249307479225E-4</v>
      </c>
      <c r="H278" s="4">
        <f t="shared" si="19"/>
        <v>33124</v>
      </c>
      <c r="I278" s="5">
        <f>SQRT(SUM('r-pi-multi'!$D$3:D278)/COUNTIF($A$3:A278,"&lt;&gt;0"))</f>
        <v>79.272278905671371</v>
      </c>
    </row>
    <row r="279" spans="1:9">
      <c r="A279">
        <v>277</v>
      </c>
      <c r="B279">
        <v>15</v>
      </c>
      <c r="C279">
        <v>9500</v>
      </c>
      <c r="D279">
        <v>9557</v>
      </c>
      <c r="E279" s="4">
        <f t="shared" si="16"/>
        <v>1</v>
      </c>
      <c r="F279" s="4">
        <f t="shared" si="17"/>
        <v>57</v>
      </c>
      <c r="G279" s="4">
        <f t="shared" si="18"/>
        <v>3.6000000000000001E-5</v>
      </c>
      <c r="H279" s="4">
        <f t="shared" si="19"/>
        <v>3249</v>
      </c>
      <c r="I279" s="5">
        <f>SQRT(SUM('r-pi-multi'!$D$3:D279)/COUNTIF($A$3:A279,"&lt;&gt;0"))</f>
        <v>79.346768978279258</v>
      </c>
    </row>
    <row r="280" spans="1:9">
      <c r="A280">
        <v>278</v>
      </c>
      <c r="B280">
        <v>15</v>
      </c>
      <c r="C280">
        <v>9500</v>
      </c>
      <c r="D280">
        <v>9367</v>
      </c>
      <c r="E280" s="4">
        <f t="shared" si="16"/>
        <v>1</v>
      </c>
      <c r="F280" s="4">
        <f t="shared" si="17"/>
        <v>133</v>
      </c>
      <c r="G280" s="4">
        <f t="shared" si="18"/>
        <v>1.9600000000000002E-4</v>
      </c>
      <c r="H280" s="4">
        <f t="shared" si="19"/>
        <v>17689</v>
      </c>
      <c r="I280" s="5">
        <f>SQRT(SUM('r-pi-multi'!$D$3:D280)/COUNTIF($A$3:A280,"&lt;&gt;0"))</f>
        <v>79.416351178660776</v>
      </c>
    </row>
    <row r="281" spans="1:9">
      <c r="A281">
        <v>279</v>
      </c>
      <c r="B281">
        <v>15</v>
      </c>
      <c r="C281">
        <v>9500</v>
      </c>
      <c r="D281">
        <v>9394</v>
      </c>
      <c r="E281" s="4">
        <f t="shared" ref="E281:E344" si="20">IF(AND(D281&lt;=C281*1.2,D281&gt;=C281*0.8),1,0)</f>
        <v>1</v>
      </c>
      <c r="F281" s="4">
        <f t="shared" si="17"/>
        <v>106</v>
      </c>
      <c r="G281" s="4">
        <f t="shared" si="18"/>
        <v>1.2449861495844873E-4</v>
      </c>
      <c r="H281" s="4">
        <f t="shared" si="19"/>
        <v>11236</v>
      </c>
      <c r="I281" s="5">
        <f>SQRT(SUM('r-pi-multi'!$D$3:D281)/COUNTIF($A$3:A281,"&lt;&gt;0"))</f>
        <v>79.485983074856307</v>
      </c>
    </row>
    <row r="282" spans="1:9">
      <c r="A282">
        <v>280</v>
      </c>
      <c r="B282">
        <v>15</v>
      </c>
      <c r="C282">
        <v>9500</v>
      </c>
      <c r="D282">
        <v>9572</v>
      </c>
      <c r="E282" s="4">
        <f t="shared" si="20"/>
        <v>1</v>
      </c>
      <c r="F282" s="4">
        <f t="shared" si="17"/>
        <v>72</v>
      </c>
      <c r="G282" s="4">
        <f t="shared" si="18"/>
        <v>5.7440443213296392E-5</v>
      </c>
      <c r="H282" s="4">
        <f t="shared" si="19"/>
        <v>5184</v>
      </c>
      <c r="I282" s="5">
        <f>SQRT(SUM('r-pi-multi'!$D$3:D282)/COUNTIF($A$3:A282,"&lt;&gt;0"))</f>
        <v>79.559052641059381</v>
      </c>
    </row>
    <row r="283" spans="1:9">
      <c r="A283">
        <v>281</v>
      </c>
      <c r="B283">
        <v>15</v>
      </c>
      <c r="C283">
        <v>9500</v>
      </c>
      <c r="D283">
        <v>9814</v>
      </c>
      <c r="E283" s="4">
        <f t="shared" si="20"/>
        <v>1</v>
      </c>
      <c r="F283" s="4">
        <f t="shared" si="17"/>
        <v>314</v>
      </c>
      <c r="G283" s="4">
        <f t="shared" si="18"/>
        <v>1.0924764542936288E-3</v>
      </c>
      <c r="H283" s="4">
        <f t="shared" si="19"/>
        <v>98596</v>
      </c>
      <c r="I283" s="5">
        <f>SQRT(SUM('r-pi-multi'!$D$3:D283)/COUNTIF($A$3:A283,"&lt;&gt;0"))</f>
        <v>79.636943089412554</v>
      </c>
    </row>
    <row r="284" spans="1:9">
      <c r="A284">
        <v>282</v>
      </c>
      <c r="B284">
        <v>15</v>
      </c>
      <c r="C284">
        <v>9500</v>
      </c>
      <c r="D284">
        <v>9599</v>
      </c>
      <c r="E284" s="4">
        <f t="shared" si="20"/>
        <v>1</v>
      </c>
      <c r="F284" s="4">
        <f t="shared" si="17"/>
        <v>99</v>
      </c>
      <c r="G284" s="4">
        <f t="shared" si="18"/>
        <v>1.085983379501385E-4</v>
      </c>
      <c r="H284" s="4">
        <f t="shared" si="19"/>
        <v>9801</v>
      </c>
      <c r="I284" s="5">
        <f>SQRT(SUM('r-pi-multi'!$D$3:D284)/COUNTIF($A$3:A284,"&lt;&gt;0"))</f>
        <v>79.709423524333431</v>
      </c>
    </row>
    <row r="285" spans="1:9">
      <c r="A285">
        <v>283</v>
      </c>
      <c r="B285">
        <v>15</v>
      </c>
      <c r="C285">
        <v>9500</v>
      </c>
      <c r="D285">
        <v>9600</v>
      </c>
      <c r="E285" s="4">
        <f t="shared" si="20"/>
        <v>1</v>
      </c>
      <c r="F285" s="4">
        <f t="shared" si="17"/>
        <v>100</v>
      </c>
      <c r="G285" s="4">
        <f t="shared" si="18"/>
        <v>1.1080332409972299E-4</v>
      </c>
      <c r="H285" s="4">
        <f t="shared" si="19"/>
        <v>10000</v>
      </c>
      <c r="I285" s="5">
        <f>SQRT(SUM('r-pi-multi'!$D$3:D285)/COUNTIF($A$3:A285,"&lt;&gt;0"))</f>
        <v>79.781348724124001</v>
      </c>
    </row>
    <row r="286" spans="1:9">
      <c r="A286">
        <v>284</v>
      </c>
      <c r="B286">
        <v>15</v>
      </c>
      <c r="C286">
        <v>9500</v>
      </c>
      <c r="D286">
        <v>9700</v>
      </c>
      <c r="E286" s="4">
        <f t="shared" si="20"/>
        <v>1</v>
      </c>
      <c r="F286" s="4">
        <f t="shared" si="17"/>
        <v>200</v>
      </c>
      <c r="G286" s="4">
        <f t="shared" si="18"/>
        <v>4.4321329639889195E-4</v>
      </c>
      <c r="H286" s="4">
        <f t="shared" si="19"/>
        <v>40000</v>
      </c>
      <c r="I286" s="5">
        <f>SQRT(SUM('r-pi-multi'!$D$3:D286)/COUNTIF($A$3:A286,"&lt;&gt;0"))</f>
        <v>79.854908039695147</v>
      </c>
    </row>
    <row r="287" spans="1:9">
      <c r="A287">
        <v>285</v>
      </c>
      <c r="B287">
        <v>15</v>
      </c>
      <c r="C287">
        <v>9500</v>
      </c>
      <c r="D287">
        <v>9550</v>
      </c>
      <c r="E287" s="4">
        <f t="shared" si="20"/>
        <v>1</v>
      </c>
      <c r="F287" s="4">
        <f t="shared" si="17"/>
        <v>50</v>
      </c>
      <c r="G287" s="4">
        <f t="shared" si="18"/>
        <v>2.7700831024930747E-5</v>
      </c>
      <c r="H287" s="4">
        <f t="shared" si="19"/>
        <v>2500</v>
      </c>
      <c r="I287" s="5">
        <f>SQRT(SUM('r-pi-multi'!$D$3:D287)/COUNTIF($A$3:A287,"&lt;&gt;0"))</f>
        <v>79.924591652864848</v>
      </c>
    </row>
    <row r="288" spans="1:9">
      <c r="A288">
        <v>286</v>
      </c>
      <c r="B288">
        <v>15</v>
      </c>
      <c r="C288">
        <v>9500</v>
      </c>
      <c r="D288">
        <v>9698</v>
      </c>
      <c r="E288" s="4">
        <f t="shared" si="20"/>
        <v>1</v>
      </c>
      <c r="F288" s="4">
        <f t="shared" si="17"/>
        <v>198</v>
      </c>
      <c r="G288" s="4">
        <f t="shared" si="18"/>
        <v>4.3439335180055401E-4</v>
      </c>
      <c r="H288" s="4">
        <f t="shared" si="19"/>
        <v>39204</v>
      </c>
      <c r="I288" s="5">
        <f>SQRT(SUM('r-pi-multi'!$D$3:D288)/COUNTIF($A$3:A288,"&lt;&gt;0"))</f>
        <v>79.99696235491686</v>
      </c>
    </row>
    <row r="289" spans="1:9">
      <c r="A289">
        <v>287</v>
      </c>
      <c r="B289">
        <v>15</v>
      </c>
      <c r="C289">
        <v>9500</v>
      </c>
      <c r="D289">
        <v>9545</v>
      </c>
      <c r="E289" s="4">
        <f t="shared" si="20"/>
        <v>1</v>
      </c>
      <c r="F289" s="4">
        <f t="shared" si="17"/>
        <v>45</v>
      </c>
      <c r="G289" s="4">
        <f t="shared" si="18"/>
        <v>2.243767313019391E-5</v>
      </c>
      <c r="H289" s="4">
        <f t="shared" si="19"/>
        <v>2025</v>
      </c>
      <c r="I289" s="5">
        <f>SQRT(SUM('r-pi-multi'!$D$3:D289)/COUNTIF($A$3:A289,"&lt;&gt;0"))</f>
        <v>80.065434911675951</v>
      </c>
    </row>
    <row r="290" spans="1:9">
      <c r="A290">
        <v>288</v>
      </c>
      <c r="B290">
        <v>15</v>
      </c>
      <c r="C290">
        <v>9500</v>
      </c>
      <c r="D290">
        <v>9746</v>
      </c>
      <c r="E290" s="4">
        <f t="shared" si="20"/>
        <v>1</v>
      </c>
      <c r="F290" s="4">
        <f t="shared" si="17"/>
        <v>246</v>
      </c>
      <c r="G290" s="4">
        <f t="shared" si="18"/>
        <v>6.7053739612188358E-4</v>
      </c>
      <c r="H290" s="4">
        <f t="shared" si="19"/>
        <v>60516</v>
      </c>
      <c r="I290" s="5">
        <f>SQRT(SUM('r-pi-multi'!$D$3:D290)/COUNTIF($A$3:A290,"&lt;&gt;0"))</f>
        <v>80.13772866481527</v>
      </c>
    </row>
    <row r="291" spans="1:9">
      <c r="A291">
        <v>289</v>
      </c>
      <c r="B291">
        <v>15</v>
      </c>
      <c r="C291">
        <v>9500</v>
      </c>
      <c r="D291">
        <v>9339</v>
      </c>
      <c r="E291" s="4">
        <f t="shared" si="20"/>
        <v>1</v>
      </c>
      <c r="F291" s="4">
        <f t="shared" si="17"/>
        <v>161</v>
      </c>
      <c r="G291" s="4">
        <f t="shared" si="18"/>
        <v>2.8721329639889195E-4</v>
      </c>
      <c r="H291" s="4">
        <f t="shared" si="19"/>
        <v>25921</v>
      </c>
      <c r="I291" s="5">
        <f>SQRT(SUM('r-pi-multi'!$D$3:D291)/COUNTIF($A$3:A291,"&lt;&gt;0"))</f>
        <v>80.20067823234001</v>
      </c>
    </row>
    <row r="292" spans="1:9">
      <c r="A292">
        <v>290</v>
      </c>
      <c r="B292">
        <v>15</v>
      </c>
      <c r="C292">
        <v>9500</v>
      </c>
      <c r="D292">
        <v>9346</v>
      </c>
      <c r="E292" s="4">
        <f t="shared" si="20"/>
        <v>1</v>
      </c>
      <c r="F292" s="4">
        <f t="shared" si="17"/>
        <v>154</v>
      </c>
      <c r="G292" s="4">
        <f t="shared" si="18"/>
        <v>2.6278116343490305E-4</v>
      </c>
      <c r="H292" s="4">
        <f t="shared" si="19"/>
        <v>23716</v>
      </c>
      <c r="I292" s="5">
        <f>SQRT(SUM('r-pi-multi'!$D$3:D292)/COUNTIF($A$3:A292,"&lt;&gt;0"))</f>
        <v>80.263295171106307</v>
      </c>
    </row>
    <row r="293" spans="1:9">
      <c r="A293">
        <v>291</v>
      </c>
      <c r="B293">
        <v>15</v>
      </c>
      <c r="C293">
        <v>9500</v>
      </c>
      <c r="D293">
        <v>9426</v>
      </c>
      <c r="E293" s="4">
        <f t="shared" si="20"/>
        <v>1</v>
      </c>
      <c r="F293" s="4">
        <f t="shared" si="17"/>
        <v>74</v>
      </c>
      <c r="G293" s="4">
        <f t="shared" si="18"/>
        <v>6.0675900277008315E-5</v>
      </c>
      <c r="H293" s="4">
        <f t="shared" si="19"/>
        <v>5476</v>
      </c>
      <c r="I293" s="5">
        <f>SQRT(SUM('r-pi-multi'!$D$3:D293)/COUNTIF($A$3:A293,"&lt;&gt;0"))</f>
        <v>80.32714467613863</v>
      </c>
    </row>
    <row r="294" spans="1:9">
      <c r="A294">
        <v>292</v>
      </c>
      <c r="B294">
        <v>15</v>
      </c>
      <c r="C294">
        <v>9500</v>
      </c>
      <c r="D294">
        <v>9706</v>
      </c>
      <c r="E294" s="4">
        <f t="shared" si="20"/>
        <v>1</v>
      </c>
      <c r="F294" s="4">
        <f t="shared" si="17"/>
        <v>206</v>
      </c>
      <c r="G294" s="4">
        <f t="shared" si="18"/>
        <v>4.7020498614958446E-4</v>
      </c>
      <c r="H294" s="4">
        <f t="shared" si="19"/>
        <v>42436</v>
      </c>
      <c r="I294" s="5">
        <f>SQRT(SUM('r-pi-multi'!$D$3:D294)/COUNTIF($A$3:A294,"&lt;&gt;0"))</f>
        <v>80.39647048069601</v>
      </c>
    </row>
    <row r="295" spans="1:9">
      <c r="A295">
        <v>293</v>
      </c>
      <c r="B295">
        <v>15</v>
      </c>
      <c r="C295">
        <v>9500</v>
      </c>
      <c r="D295">
        <v>9568</v>
      </c>
      <c r="E295" s="4">
        <f t="shared" si="20"/>
        <v>1</v>
      </c>
      <c r="F295" s="4">
        <f t="shared" si="17"/>
        <v>68</v>
      </c>
      <c r="G295" s="4">
        <f t="shared" si="18"/>
        <v>5.1235457063711911E-5</v>
      </c>
      <c r="H295" s="4">
        <f t="shared" si="19"/>
        <v>4624</v>
      </c>
      <c r="I295" s="5">
        <f>SQRT(SUM('r-pi-multi'!$D$3:D295)/COUNTIF($A$3:A295,"&lt;&gt;0"))</f>
        <v>80.462337234948507</v>
      </c>
    </row>
    <row r="296" spans="1:9">
      <c r="A296">
        <v>294</v>
      </c>
      <c r="B296">
        <v>15</v>
      </c>
      <c r="C296">
        <v>9500</v>
      </c>
      <c r="D296">
        <v>9575</v>
      </c>
      <c r="E296" s="4">
        <f t="shared" si="20"/>
        <v>1</v>
      </c>
      <c r="F296" s="4">
        <f t="shared" si="17"/>
        <v>75</v>
      </c>
      <c r="G296" s="4">
        <f t="shared" si="18"/>
        <v>6.2326869806094188E-5</v>
      </c>
      <c r="H296" s="4">
        <f t="shared" si="19"/>
        <v>5625</v>
      </c>
      <c r="I296" s="5">
        <f>SQRT(SUM('r-pi-multi'!$D$3:D296)/COUNTIF($A$3:A296,"&lt;&gt;0"))</f>
        <v>80.527850423797801</v>
      </c>
    </row>
    <row r="297" spans="1:9">
      <c r="A297">
        <v>295</v>
      </c>
      <c r="B297">
        <v>15</v>
      </c>
      <c r="C297">
        <v>9500</v>
      </c>
      <c r="D297">
        <v>9694</v>
      </c>
      <c r="E297" s="4">
        <f t="shared" si="20"/>
        <v>1</v>
      </c>
      <c r="F297" s="4">
        <f t="shared" si="17"/>
        <v>194</v>
      </c>
      <c r="G297" s="4">
        <f t="shared" si="18"/>
        <v>4.1701939058171744E-4</v>
      </c>
      <c r="H297" s="4">
        <f t="shared" si="19"/>
        <v>37636</v>
      </c>
      <c r="I297" s="5">
        <f>SQRT(SUM('r-pi-multi'!$D$3:D297)/COUNTIF($A$3:A297,"&lt;&gt;0"))</f>
        <v>80.595369341681376</v>
      </c>
    </row>
    <row r="298" spans="1:9">
      <c r="A298">
        <v>296</v>
      </c>
      <c r="B298">
        <v>15</v>
      </c>
      <c r="C298">
        <v>9500</v>
      </c>
      <c r="D298">
        <v>9673</v>
      </c>
      <c r="E298" s="4">
        <f t="shared" si="20"/>
        <v>1</v>
      </c>
      <c r="F298" s="4">
        <f t="shared" si="17"/>
        <v>173</v>
      </c>
      <c r="G298" s="4">
        <f t="shared" si="18"/>
        <v>3.3162326869806089E-4</v>
      </c>
      <c r="H298" s="4">
        <f t="shared" si="19"/>
        <v>29929</v>
      </c>
      <c r="I298" s="5">
        <f>SQRT(SUM('r-pi-multi'!$D$3:D298)/COUNTIF($A$3:A298,"&lt;&gt;0"))</f>
        <v>80.661936332900993</v>
      </c>
    </row>
    <row r="299" spans="1:9">
      <c r="A299">
        <v>297</v>
      </c>
      <c r="B299">
        <v>15</v>
      </c>
      <c r="C299">
        <v>9500</v>
      </c>
      <c r="D299">
        <v>9528</v>
      </c>
      <c r="E299" s="4">
        <f t="shared" si="20"/>
        <v>1</v>
      </c>
      <c r="F299" s="4">
        <f t="shared" si="17"/>
        <v>28</v>
      </c>
      <c r="G299" s="4">
        <f t="shared" si="18"/>
        <v>8.6869806094182829E-6</v>
      </c>
      <c r="H299" s="4">
        <f t="shared" si="19"/>
        <v>784</v>
      </c>
      <c r="I299" s="5">
        <f>SQRT(SUM('r-pi-multi'!$D$3:D299)/COUNTIF($A$3:A299,"&lt;&gt;0"))</f>
        <v>80.724976838162576</v>
      </c>
    </row>
    <row r="300" spans="1:9">
      <c r="A300">
        <v>298</v>
      </c>
      <c r="B300">
        <v>15</v>
      </c>
      <c r="C300">
        <v>9500</v>
      </c>
      <c r="D300">
        <v>9501</v>
      </c>
      <c r="E300" s="4">
        <f t="shared" si="20"/>
        <v>1</v>
      </c>
      <c r="F300" s="4">
        <f t="shared" si="17"/>
        <v>1</v>
      </c>
      <c r="G300" s="4">
        <f t="shared" si="18"/>
        <v>1.10803324099723E-8</v>
      </c>
      <c r="H300" s="4">
        <f t="shared" si="19"/>
        <v>1</v>
      </c>
      <c r="I300" s="5">
        <f>SQRT(SUM('r-pi-multi'!$D$3:D300)/COUNTIF($A$3:A300,"&lt;&gt;0"))</f>
        <v>80.786984797996254</v>
      </c>
    </row>
    <row r="301" spans="1:9">
      <c r="A301">
        <v>299</v>
      </c>
      <c r="B301">
        <v>15</v>
      </c>
      <c r="C301">
        <v>9500</v>
      </c>
      <c r="D301">
        <v>9526</v>
      </c>
      <c r="E301" s="4">
        <f t="shared" si="20"/>
        <v>1</v>
      </c>
      <c r="F301" s="4">
        <f t="shared" si="17"/>
        <v>26</v>
      </c>
      <c r="G301" s="4">
        <f t="shared" si="18"/>
        <v>7.4903047091412734E-6</v>
      </c>
      <c r="H301" s="4">
        <f t="shared" si="19"/>
        <v>676</v>
      </c>
      <c r="I301" s="5">
        <f>SQRT(SUM('r-pi-multi'!$D$3:D301)/COUNTIF($A$3:A301,"&lt;&gt;0"))</f>
        <v>80.849047996082859</v>
      </c>
    </row>
    <row r="302" spans="1:9">
      <c r="A302">
        <v>300</v>
      </c>
      <c r="B302">
        <v>15</v>
      </c>
      <c r="C302">
        <v>9500</v>
      </c>
      <c r="D302">
        <v>9484</v>
      </c>
      <c r="E302" s="4">
        <f t="shared" si="20"/>
        <v>1</v>
      </c>
      <c r="F302" s="4">
        <f t="shared" si="17"/>
        <v>16</v>
      </c>
      <c r="G302" s="4">
        <f t="shared" si="18"/>
        <v>2.8365650969529088E-6</v>
      </c>
      <c r="H302" s="4">
        <f t="shared" si="19"/>
        <v>256</v>
      </c>
      <c r="I302" s="5">
        <f>SQRT(SUM('r-pi-multi'!$D$3:D302)/COUNTIF($A$3:A302,"&lt;&gt;0"))</f>
        <v>80.909785151941506</v>
      </c>
    </row>
    <row r="303" spans="1:9">
      <c r="A303">
        <v>301</v>
      </c>
      <c r="B303">
        <v>15</v>
      </c>
      <c r="C303">
        <v>2600</v>
      </c>
      <c r="D303">
        <v>9601</v>
      </c>
      <c r="E303" s="4">
        <f t="shared" si="20"/>
        <v>0</v>
      </c>
      <c r="F303" s="4">
        <f t="shared" si="17"/>
        <v>7001</v>
      </c>
      <c r="G303" s="4">
        <f t="shared" si="18"/>
        <v>7.250591863905326</v>
      </c>
      <c r="H303" s="4">
        <f t="shared" si="19"/>
        <v>49014001</v>
      </c>
      <c r="I303" s="5">
        <f>SQRT(SUM('r-pi-multi'!$D$3:D303)/COUNTIF($A$3:A303,"&lt;&gt;0"))</f>
        <v>80.972473892299988</v>
      </c>
    </row>
    <row r="304" spans="1:9">
      <c r="A304">
        <v>302</v>
      </c>
      <c r="B304">
        <v>12</v>
      </c>
      <c r="C304">
        <v>2600</v>
      </c>
      <c r="D304">
        <v>8514</v>
      </c>
      <c r="E304" s="4">
        <f t="shared" si="20"/>
        <v>0</v>
      </c>
      <c r="F304" s="4">
        <f t="shared" si="17"/>
        <v>5914</v>
      </c>
      <c r="G304" s="4">
        <f t="shared" si="18"/>
        <v>5.1738751479289942</v>
      </c>
      <c r="H304" s="4">
        <f t="shared" si="19"/>
        <v>34975396</v>
      </c>
      <c r="I304" s="5">
        <f>SQRT(SUM('r-pi-multi'!$D$3:D304)/COUNTIF($A$3:A304,"&lt;&gt;0"))</f>
        <v>81.01248779545007</v>
      </c>
    </row>
    <row r="305" spans="1:9">
      <c r="A305">
        <v>303</v>
      </c>
      <c r="B305">
        <v>12</v>
      </c>
      <c r="C305">
        <v>2600</v>
      </c>
      <c r="D305">
        <v>8386</v>
      </c>
      <c r="E305" s="4">
        <f t="shared" si="20"/>
        <v>0</v>
      </c>
      <c r="F305" s="4">
        <f t="shared" si="17"/>
        <v>5786</v>
      </c>
      <c r="G305" s="4">
        <f t="shared" si="18"/>
        <v>4.9523366863905318</v>
      </c>
      <c r="H305" s="4">
        <f t="shared" si="19"/>
        <v>33477796</v>
      </c>
      <c r="I305" s="5">
        <f>SQRT(SUM('r-pi-multi'!$D$3:D305)/COUNTIF($A$3:A305,"&lt;&gt;0"))</f>
        <v>81.049611991424086</v>
      </c>
    </row>
    <row r="306" spans="1:9">
      <c r="A306">
        <v>304</v>
      </c>
      <c r="B306">
        <v>12</v>
      </c>
      <c r="C306">
        <v>2600</v>
      </c>
      <c r="D306">
        <v>8549</v>
      </c>
      <c r="E306" s="4">
        <f t="shared" si="20"/>
        <v>0</v>
      </c>
      <c r="F306" s="4">
        <f t="shared" si="17"/>
        <v>5949</v>
      </c>
      <c r="G306" s="4">
        <f t="shared" si="18"/>
        <v>5.23529600591716</v>
      </c>
      <c r="H306" s="4">
        <f t="shared" si="19"/>
        <v>35390601</v>
      </c>
      <c r="I306" s="5">
        <f>SQRT(SUM('r-pi-multi'!$D$3:D306)/COUNTIF($A$3:A306,"&lt;&gt;0"))</f>
        <v>81.089781301832033</v>
      </c>
    </row>
    <row r="307" spans="1:9">
      <c r="A307">
        <v>305</v>
      </c>
      <c r="B307">
        <v>11</v>
      </c>
      <c r="C307">
        <v>2600</v>
      </c>
      <c r="D307">
        <v>7955</v>
      </c>
      <c r="E307" s="4">
        <f t="shared" si="20"/>
        <v>0</v>
      </c>
      <c r="F307" s="4">
        <f t="shared" si="17"/>
        <v>5355</v>
      </c>
      <c r="G307" s="4">
        <f t="shared" si="18"/>
        <v>4.2420155325443778</v>
      </c>
      <c r="H307" s="4">
        <f t="shared" si="19"/>
        <v>28676025</v>
      </c>
      <c r="I307" s="5">
        <f>SQRT(SUM('r-pi-multi'!$D$3:D307)/COUNTIF($A$3:A307,"&lt;&gt;0"))</f>
        <v>81.117663981626507</v>
      </c>
    </row>
    <row r="308" spans="1:9">
      <c r="A308">
        <v>306</v>
      </c>
      <c r="B308">
        <v>11</v>
      </c>
      <c r="C308">
        <v>2600</v>
      </c>
      <c r="D308">
        <v>7937</v>
      </c>
      <c r="E308" s="4">
        <f t="shared" si="20"/>
        <v>0</v>
      </c>
      <c r="F308" s="4">
        <f t="shared" si="17"/>
        <v>5337</v>
      </c>
      <c r="G308" s="4">
        <f t="shared" si="18"/>
        <v>4.2135457100591713</v>
      </c>
      <c r="H308" s="4">
        <f t="shared" si="19"/>
        <v>28483569</v>
      </c>
      <c r="I308" s="5">
        <f>SQRT(SUM('r-pi-multi'!$D$3:D308)/COUNTIF($A$3:A308,"&lt;&gt;0"))</f>
        <v>81.144992475947461</v>
      </c>
    </row>
    <row r="309" spans="1:9">
      <c r="A309">
        <v>307</v>
      </c>
      <c r="B309">
        <v>10</v>
      </c>
      <c r="C309">
        <v>2600</v>
      </c>
      <c r="D309">
        <v>7416</v>
      </c>
      <c r="E309" s="4">
        <f t="shared" si="20"/>
        <v>0</v>
      </c>
      <c r="F309" s="4">
        <f t="shared" si="17"/>
        <v>4816</v>
      </c>
      <c r="G309" s="4">
        <f t="shared" si="18"/>
        <v>3.4310437869822481</v>
      </c>
      <c r="H309" s="4">
        <f t="shared" si="19"/>
        <v>23193856</v>
      </c>
      <c r="I309" s="5">
        <f>SQRT(SUM('r-pi-multi'!$D$3:D309)/COUNTIF($A$3:A309,"&lt;&gt;0"))</f>
        <v>81.16167963418664</v>
      </c>
    </row>
    <row r="310" spans="1:9">
      <c r="A310">
        <v>308</v>
      </c>
      <c r="B310">
        <v>10</v>
      </c>
      <c r="C310">
        <v>2600</v>
      </c>
      <c r="D310">
        <v>7264</v>
      </c>
      <c r="E310" s="4">
        <f t="shared" si="20"/>
        <v>0</v>
      </c>
      <c r="F310" s="4">
        <f t="shared" si="17"/>
        <v>4664</v>
      </c>
      <c r="G310" s="4">
        <f t="shared" si="18"/>
        <v>3.2178840236686392</v>
      </c>
      <c r="H310" s="4">
        <f t="shared" si="19"/>
        <v>21752896</v>
      </c>
      <c r="I310" s="5">
        <f>SQRT(SUM('r-pi-multi'!$D$3:D310)/COUNTIF($A$3:A310,"&lt;&gt;0"))</f>
        <v>81.175215333349044</v>
      </c>
    </row>
    <row r="311" spans="1:9">
      <c r="A311">
        <v>309</v>
      </c>
      <c r="B311">
        <v>9</v>
      </c>
      <c r="C311">
        <v>2600</v>
      </c>
      <c r="D311">
        <v>7038</v>
      </c>
      <c r="E311" s="4">
        <f t="shared" si="20"/>
        <v>0</v>
      </c>
      <c r="F311" s="4">
        <f t="shared" si="17"/>
        <v>4438</v>
      </c>
      <c r="G311" s="4">
        <f t="shared" si="18"/>
        <v>2.9135863905325445</v>
      </c>
      <c r="H311" s="4">
        <f t="shared" si="19"/>
        <v>19695844</v>
      </c>
      <c r="I311" s="5">
        <f>SQRT(SUM('r-pi-multi'!$D$3:D311)/COUNTIF($A$3:A311,"&lt;&gt;0"))</f>
        <v>81.184156791309093</v>
      </c>
    </row>
    <row r="312" spans="1:9">
      <c r="A312">
        <v>310</v>
      </c>
      <c r="B312">
        <v>9</v>
      </c>
      <c r="C312">
        <v>2600</v>
      </c>
      <c r="D312">
        <v>6860</v>
      </c>
      <c r="E312" s="4">
        <f t="shared" si="20"/>
        <v>0</v>
      </c>
      <c r="F312" s="4">
        <f t="shared" si="17"/>
        <v>4260</v>
      </c>
      <c r="G312" s="4">
        <f t="shared" si="18"/>
        <v>2.6845562130177512</v>
      </c>
      <c r="H312" s="4">
        <f t="shared" si="19"/>
        <v>18147600</v>
      </c>
      <c r="I312" s="5">
        <f>SQRT(SUM('r-pi-multi'!$D$3:D312)/COUNTIF($A$3:A312,"&lt;&gt;0"))</f>
        <v>81.189503532605542</v>
      </c>
    </row>
    <row r="313" spans="1:9">
      <c r="A313">
        <v>311</v>
      </c>
      <c r="B313">
        <v>8</v>
      </c>
      <c r="C313">
        <v>2600</v>
      </c>
      <c r="D313">
        <v>6543</v>
      </c>
      <c r="E313" s="4">
        <f t="shared" si="20"/>
        <v>0</v>
      </c>
      <c r="F313" s="4">
        <f t="shared" si="17"/>
        <v>3943</v>
      </c>
      <c r="G313" s="4">
        <f t="shared" si="18"/>
        <v>2.2998889053254441</v>
      </c>
      <c r="H313" s="4">
        <f t="shared" si="19"/>
        <v>15547249</v>
      </c>
      <c r="I313" s="5">
        <f>SQRT(SUM('r-pi-multi'!$D$3:D313)/COUNTIF($A$3:A313,"&lt;&gt;0"))</f>
        <v>81.188538465321869</v>
      </c>
    </row>
    <row r="314" spans="1:9">
      <c r="A314">
        <v>312</v>
      </c>
      <c r="B314">
        <v>8</v>
      </c>
      <c r="C314">
        <v>2600</v>
      </c>
      <c r="D314">
        <v>6570</v>
      </c>
      <c r="E314" s="4">
        <f t="shared" si="20"/>
        <v>0</v>
      </c>
      <c r="F314" s="4">
        <f t="shared" si="17"/>
        <v>3970</v>
      </c>
      <c r="G314" s="4">
        <f t="shared" si="18"/>
        <v>2.3314940828402362</v>
      </c>
      <c r="H314" s="4">
        <f t="shared" si="19"/>
        <v>15760900</v>
      </c>
      <c r="I314" s="5">
        <f>SQRT(SUM('r-pi-multi'!$D$3:D314)/COUNTIF($A$3:A314,"&lt;&gt;0"))</f>
        <v>81.188112525077315</v>
      </c>
    </row>
    <row r="315" spans="1:9">
      <c r="A315">
        <v>313</v>
      </c>
      <c r="B315">
        <v>8</v>
      </c>
      <c r="C315">
        <v>2600</v>
      </c>
      <c r="D315">
        <v>6528</v>
      </c>
      <c r="E315" s="4">
        <f t="shared" si="20"/>
        <v>0</v>
      </c>
      <c r="F315" s="4">
        <f t="shared" si="17"/>
        <v>3928</v>
      </c>
      <c r="G315" s="4">
        <f t="shared" si="18"/>
        <v>2.2824236686390535</v>
      </c>
      <c r="H315" s="4">
        <f t="shared" si="19"/>
        <v>15429184</v>
      </c>
      <c r="I315" s="5">
        <f>SQRT(SUM('r-pi-multi'!$D$3:D315)/COUNTIF($A$3:A315,"&lt;&gt;0"))</f>
        <v>81.186862910603807</v>
      </c>
    </row>
    <row r="316" spans="1:9">
      <c r="A316">
        <v>314</v>
      </c>
      <c r="B316">
        <v>7</v>
      </c>
      <c r="C316">
        <v>2600</v>
      </c>
      <c r="D316">
        <v>5706</v>
      </c>
      <c r="E316" s="4">
        <f t="shared" si="20"/>
        <v>0</v>
      </c>
      <c r="F316" s="4">
        <f t="shared" si="17"/>
        <v>3106</v>
      </c>
      <c r="G316" s="4">
        <f t="shared" si="18"/>
        <v>1.4271059171597633</v>
      </c>
      <c r="H316" s="4">
        <f t="shared" si="19"/>
        <v>9647236</v>
      </c>
      <c r="I316" s="5">
        <f>SQRT(SUM('r-pi-multi'!$D$3:D316)/COUNTIF($A$3:A316,"&lt;&gt;0"))</f>
        <v>81.169497110346185</v>
      </c>
    </row>
    <row r="317" spans="1:9">
      <c r="A317">
        <v>315</v>
      </c>
      <c r="B317">
        <v>7</v>
      </c>
      <c r="C317">
        <v>2600</v>
      </c>
      <c r="D317">
        <v>5645</v>
      </c>
      <c r="E317" s="4">
        <f t="shared" si="20"/>
        <v>0</v>
      </c>
      <c r="F317" s="4">
        <f t="shared" si="17"/>
        <v>3045</v>
      </c>
      <c r="G317" s="4">
        <f t="shared" si="18"/>
        <v>1.371601331360947</v>
      </c>
      <c r="H317" s="4">
        <f t="shared" si="19"/>
        <v>9272025</v>
      </c>
      <c r="I317" s="5">
        <f>SQRT(SUM('r-pi-multi'!$D$3:D317)/COUNTIF($A$3:A317,"&lt;&gt;0"))</f>
        <v>81.151044746768747</v>
      </c>
    </row>
    <row r="318" spans="1:9">
      <c r="A318">
        <v>316</v>
      </c>
      <c r="B318">
        <v>7</v>
      </c>
      <c r="C318">
        <v>2600</v>
      </c>
      <c r="D318">
        <v>5783</v>
      </c>
      <c r="E318" s="4">
        <f t="shared" si="20"/>
        <v>0</v>
      </c>
      <c r="F318" s="4">
        <f t="shared" si="17"/>
        <v>3183</v>
      </c>
      <c r="G318" s="4">
        <f t="shared" si="18"/>
        <v>1.4987409763313611</v>
      </c>
      <c r="H318" s="4">
        <f t="shared" si="19"/>
        <v>10131489</v>
      </c>
      <c r="I318" s="5">
        <f>SQRT(SUM('r-pi-multi'!$D$3:D318)/COUNTIF($A$3:A318,"&lt;&gt;0"))</f>
        <v>81.135396293144268</v>
      </c>
    </row>
    <row r="319" spans="1:9">
      <c r="A319">
        <v>317</v>
      </c>
      <c r="B319">
        <v>6</v>
      </c>
      <c r="C319">
        <v>2600</v>
      </c>
      <c r="D319">
        <v>5327</v>
      </c>
      <c r="E319" s="4">
        <f t="shared" si="20"/>
        <v>0</v>
      </c>
      <c r="F319" s="4">
        <f t="shared" si="17"/>
        <v>2727</v>
      </c>
      <c r="G319" s="4">
        <f t="shared" si="18"/>
        <v>1.1000782544378696</v>
      </c>
      <c r="H319" s="4">
        <f t="shared" si="19"/>
        <v>7436529</v>
      </c>
      <c r="I319" s="5">
        <f>SQRT(SUM('r-pi-multi'!$D$3:D319)/COUNTIF($A$3:A319,"&lt;&gt;0"))</f>
        <v>81.11097666948416</v>
      </c>
    </row>
    <row r="320" spans="1:9">
      <c r="A320">
        <v>318</v>
      </c>
      <c r="B320">
        <v>6</v>
      </c>
      <c r="C320">
        <v>2600</v>
      </c>
      <c r="D320">
        <v>5398</v>
      </c>
      <c r="E320" s="4">
        <f t="shared" si="20"/>
        <v>0</v>
      </c>
      <c r="F320" s="4">
        <f t="shared" si="17"/>
        <v>2798</v>
      </c>
      <c r="G320" s="4">
        <f t="shared" si="18"/>
        <v>1.1581071005917161</v>
      </c>
      <c r="H320" s="4">
        <f t="shared" si="19"/>
        <v>7828804</v>
      </c>
      <c r="I320" s="5">
        <f>SQRT(SUM('r-pi-multi'!$D$3:D320)/COUNTIF($A$3:A320,"&lt;&gt;0"))</f>
        <v>81.088080070746216</v>
      </c>
    </row>
    <row r="321" spans="1:9">
      <c r="A321">
        <v>319</v>
      </c>
      <c r="B321">
        <v>6</v>
      </c>
      <c r="C321">
        <v>2600</v>
      </c>
      <c r="D321">
        <v>5420</v>
      </c>
      <c r="E321" s="4">
        <f t="shared" si="20"/>
        <v>0</v>
      </c>
      <c r="F321" s="4">
        <f t="shared" si="17"/>
        <v>2820</v>
      </c>
      <c r="G321" s="4">
        <f t="shared" si="18"/>
        <v>1.1763905325443784</v>
      </c>
      <c r="H321" s="4">
        <f t="shared" si="19"/>
        <v>7952400</v>
      </c>
      <c r="I321" s="5">
        <f>SQRT(SUM('r-pi-multi'!$D$3:D321)/COUNTIF($A$3:A321,"&lt;&gt;0"))</f>
        <v>81.065745986907402</v>
      </c>
    </row>
    <row r="322" spans="1:9">
      <c r="A322">
        <v>320</v>
      </c>
      <c r="B322">
        <v>6</v>
      </c>
      <c r="C322">
        <v>2600</v>
      </c>
      <c r="D322">
        <v>5349</v>
      </c>
      <c r="E322" s="4">
        <f t="shared" si="20"/>
        <v>0</v>
      </c>
      <c r="F322" s="4">
        <f t="shared" si="17"/>
        <v>2749</v>
      </c>
      <c r="G322" s="4">
        <f t="shared" si="18"/>
        <v>1.1178995562130176</v>
      </c>
      <c r="H322" s="4">
        <f t="shared" si="19"/>
        <v>7557001</v>
      </c>
      <c r="I322" s="5">
        <f>SQRT(SUM('r-pi-multi'!$D$3:D322)/COUNTIF($A$3:A322,"&lt;&gt;0"))</f>
        <v>81.042176519390196</v>
      </c>
    </row>
    <row r="323" spans="1:9">
      <c r="A323">
        <v>321</v>
      </c>
      <c r="B323">
        <v>5</v>
      </c>
      <c r="C323">
        <v>2600</v>
      </c>
      <c r="D323">
        <v>4466</v>
      </c>
      <c r="E323" s="4">
        <f t="shared" si="20"/>
        <v>0</v>
      </c>
      <c r="F323" s="4">
        <f t="shared" si="17"/>
        <v>1866</v>
      </c>
      <c r="G323" s="4">
        <f t="shared" si="18"/>
        <v>0.51508224852071016</v>
      </c>
      <c r="H323" s="4">
        <f t="shared" si="19"/>
        <v>3481956</v>
      </c>
      <c r="I323" s="5">
        <f>SQRT(SUM('r-pi-multi'!$D$3:D323)/COUNTIF($A$3:A323,"&lt;&gt;0"))</f>
        <v>81.001769143404331</v>
      </c>
    </row>
    <row r="324" spans="1:9">
      <c r="A324">
        <v>322</v>
      </c>
      <c r="B324">
        <v>5</v>
      </c>
      <c r="C324">
        <v>2600</v>
      </c>
      <c r="D324">
        <v>4409</v>
      </c>
      <c r="E324" s="4">
        <f t="shared" si="20"/>
        <v>0</v>
      </c>
      <c r="F324" s="4">
        <f t="shared" ref="F324:F387" si="21">ABS(C324-D324)</f>
        <v>1809</v>
      </c>
      <c r="G324" s="4">
        <f t="shared" ref="G324:G387" si="22">POWER(ABS(C324-D324)/C324,2)</f>
        <v>0.48409482248520713</v>
      </c>
      <c r="H324" s="4">
        <f t="shared" ref="H324:H387" si="23">POWER(F324,2)</f>
        <v>3272481</v>
      </c>
      <c r="I324" s="5">
        <f>SQRT(SUM('r-pi-multi'!$D$3:D324)/COUNTIF($A$3:A324,"&lt;&gt;0"))</f>
        <v>80.960499532006651</v>
      </c>
    </row>
    <row r="325" spans="1:9">
      <c r="A325">
        <v>323</v>
      </c>
      <c r="B325">
        <v>5</v>
      </c>
      <c r="C325">
        <v>2600</v>
      </c>
      <c r="D325">
        <v>4427</v>
      </c>
      <c r="E325" s="4">
        <f t="shared" si="20"/>
        <v>0</v>
      </c>
      <c r="F325" s="4">
        <f t="shared" si="21"/>
        <v>1827</v>
      </c>
      <c r="G325" s="4">
        <f t="shared" si="22"/>
        <v>0.49377647928994089</v>
      </c>
      <c r="H325" s="4">
        <f t="shared" si="23"/>
        <v>3337929</v>
      </c>
      <c r="I325" s="5">
        <f>SQRT(SUM('r-pi-multi'!$D$3:D325)/COUNTIF($A$3:A325,"&lt;&gt;0"))</f>
        <v>80.919808946117527</v>
      </c>
    </row>
    <row r="326" spans="1:9">
      <c r="A326">
        <v>324</v>
      </c>
      <c r="B326">
        <v>5</v>
      </c>
      <c r="C326">
        <v>2600</v>
      </c>
      <c r="D326">
        <v>4500</v>
      </c>
      <c r="E326" s="4">
        <f t="shared" si="20"/>
        <v>0</v>
      </c>
      <c r="F326" s="4">
        <f t="shared" si="21"/>
        <v>1900</v>
      </c>
      <c r="G326" s="4">
        <f t="shared" si="22"/>
        <v>0.53402366863905315</v>
      </c>
      <c r="H326" s="4">
        <f t="shared" si="23"/>
        <v>3610000</v>
      </c>
      <c r="I326" s="5">
        <f>SQRT(SUM('r-pi-multi'!$D$3:D326)/COUNTIF($A$3:A326,"&lt;&gt;0"))</f>
        <v>80.880742111113477</v>
      </c>
    </row>
    <row r="327" spans="1:9">
      <c r="A327">
        <v>325</v>
      </c>
      <c r="B327">
        <v>5</v>
      </c>
      <c r="C327">
        <v>2600</v>
      </c>
      <c r="D327">
        <v>4479</v>
      </c>
      <c r="E327" s="4">
        <f t="shared" si="20"/>
        <v>0</v>
      </c>
      <c r="F327" s="4">
        <f t="shared" si="21"/>
        <v>1879</v>
      </c>
      <c r="G327" s="4">
        <f t="shared" si="22"/>
        <v>0.52228417159763318</v>
      </c>
      <c r="H327" s="4">
        <f t="shared" si="23"/>
        <v>3530641</v>
      </c>
      <c r="I327" s="5">
        <f>SQRT(SUM('r-pi-multi'!$D$3:D327)/COUNTIF($A$3:A327,"&lt;&gt;0"))</f>
        <v>80.841497340831665</v>
      </c>
    </row>
    <row r="328" spans="1:9">
      <c r="A328">
        <v>326</v>
      </c>
      <c r="B328">
        <v>5</v>
      </c>
      <c r="C328">
        <v>2600</v>
      </c>
      <c r="D328">
        <v>4467</v>
      </c>
      <c r="E328" s="4">
        <f t="shared" si="20"/>
        <v>0</v>
      </c>
      <c r="F328" s="4">
        <f t="shared" si="21"/>
        <v>1867</v>
      </c>
      <c r="G328" s="4">
        <f t="shared" si="22"/>
        <v>0.51563446745562125</v>
      </c>
      <c r="H328" s="4">
        <f t="shared" si="23"/>
        <v>3485689</v>
      </c>
      <c r="I328" s="5">
        <f>SQRT(SUM('r-pi-multi'!$D$3:D328)/COUNTIF($A$3:A328,"&lt;&gt;0"))</f>
        <v>80.802246673497038</v>
      </c>
    </row>
    <row r="329" spans="1:9">
      <c r="A329">
        <v>327</v>
      </c>
      <c r="B329">
        <v>5</v>
      </c>
      <c r="C329">
        <v>2600</v>
      </c>
      <c r="D329">
        <v>4411</v>
      </c>
      <c r="E329" s="4">
        <f t="shared" si="20"/>
        <v>0</v>
      </c>
      <c r="F329" s="4">
        <f t="shared" si="21"/>
        <v>1811</v>
      </c>
      <c r="G329" s="4">
        <f t="shared" si="22"/>
        <v>0.48516582840236688</v>
      </c>
      <c r="H329" s="4">
        <f t="shared" si="23"/>
        <v>3279721</v>
      </c>
      <c r="I329" s="5">
        <f>SQRT(SUM('r-pi-multi'!$D$3:D329)/COUNTIF($A$3:A329,"&lt;&gt;0"))</f>
        <v>80.762156941749595</v>
      </c>
    </row>
    <row r="330" spans="1:9">
      <c r="A330">
        <v>328</v>
      </c>
      <c r="B330">
        <v>4</v>
      </c>
      <c r="C330">
        <v>2600</v>
      </c>
      <c r="D330">
        <v>4244</v>
      </c>
      <c r="E330" s="4">
        <f t="shared" si="20"/>
        <v>0</v>
      </c>
      <c r="F330" s="4">
        <f t="shared" si="21"/>
        <v>1644</v>
      </c>
      <c r="G330" s="4">
        <f t="shared" si="22"/>
        <v>0.39981301775147932</v>
      </c>
      <c r="H330" s="4">
        <f t="shared" si="23"/>
        <v>2702736</v>
      </c>
      <c r="I330" s="5">
        <f>SQRT(SUM('r-pi-multi'!$D$3:D330)/COUNTIF($A$3:A330,"&lt;&gt;0"))</f>
        <v>80.719138178579954</v>
      </c>
    </row>
    <row r="331" spans="1:9">
      <c r="A331">
        <v>329</v>
      </c>
      <c r="B331">
        <v>4</v>
      </c>
      <c r="C331">
        <v>2600</v>
      </c>
      <c r="D331">
        <v>4192</v>
      </c>
      <c r="E331" s="4">
        <f t="shared" si="20"/>
        <v>0</v>
      </c>
      <c r="F331" s="4">
        <f t="shared" si="21"/>
        <v>1592</v>
      </c>
      <c r="G331" s="4">
        <f t="shared" si="22"/>
        <v>0.3749207100591716</v>
      </c>
      <c r="H331" s="4">
        <f t="shared" si="23"/>
        <v>2534464</v>
      </c>
      <c r="I331" s="5">
        <f>SQRT(SUM('r-pi-multi'!$D$3:D331)/COUNTIF($A$3:A331,"&lt;&gt;0"))</f>
        <v>80.675378631433944</v>
      </c>
    </row>
    <row r="332" spans="1:9">
      <c r="A332">
        <v>330</v>
      </c>
      <c r="B332">
        <v>4</v>
      </c>
      <c r="C332">
        <v>2600</v>
      </c>
      <c r="D332">
        <v>4375</v>
      </c>
      <c r="E332" s="4">
        <f t="shared" si="20"/>
        <v>0</v>
      </c>
      <c r="F332" s="4">
        <f t="shared" si="21"/>
        <v>1775</v>
      </c>
      <c r="G332" s="4">
        <f t="shared" si="22"/>
        <v>0.46606878698224852</v>
      </c>
      <c r="H332" s="4">
        <f t="shared" si="23"/>
        <v>3150625</v>
      </c>
      <c r="I332" s="5">
        <f>SQRT(SUM('r-pi-multi'!$D$3:D332)/COUNTIF($A$3:A332,"&lt;&gt;0"))</f>
        <v>80.635299436112447</v>
      </c>
    </row>
    <row r="333" spans="1:9">
      <c r="A333">
        <v>331</v>
      </c>
      <c r="B333">
        <v>4</v>
      </c>
      <c r="C333">
        <v>2600</v>
      </c>
      <c r="D333">
        <v>4205</v>
      </c>
      <c r="E333" s="4">
        <f t="shared" si="20"/>
        <v>0</v>
      </c>
      <c r="F333" s="4">
        <f t="shared" si="21"/>
        <v>1605</v>
      </c>
      <c r="G333" s="4">
        <f t="shared" si="22"/>
        <v>0.38106878698224855</v>
      </c>
      <c r="H333" s="4">
        <f t="shared" si="23"/>
        <v>2576025</v>
      </c>
      <c r="I333" s="5">
        <f>SQRT(SUM('r-pi-multi'!$D$3:D333)/COUNTIF($A$3:A333,"&lt;&gt;0"))</f>
        <v>80.592256343133499</v>
      </c>
    </row>
    <row r="334" spans="1:9">
      <c r="A334">
        <v>332</v>
      </c>
      <c r="B334">
        <v>4</v>
      </c>
      <c r="C334">
        <v>2600</v>
      </c>
      <c r="D334">
        <v>4225</v>
      </c>
      <c r="E334" s="4">
        <f t="shared" si="20"/>
        <v>0</v>
      </c>
      <c r="F334" s="4">
        <f t="shared" si="21"/>
        <v>1625</v>
      </c>
      <c r="G334" s="4">
        <f t="shared" si="22"/>
        <v>0.390625</v>
      </c>
      <c r="H334" s="4">
        <f t="shared" si="23"/>
        <v>2640625</v>
      </c>
      <c r="I334" s="5">
        <f>SQRT(SUM('r-pi-multi'!$D$3:D334)/COUNTIF($A$3:A334,"&lt;&gt;0"))</f>
        <v>80.549823689351072</v>
      </c>
    </row>
    <row r="335" spans="1:9">
      <c r="A335">
        <v>333</v>
      </c>
      <c r="B335">
        <v>4</v>
      </c>
      <c r="C335">
        <v>2600</v>
      </c>
      <c r="D335">
        <v>4187</v>
      </c>
      <c r="E335" s="4">
        <f t="shared" si="20"/>
        <v>0</v>
      </c>
      <c r="F335" s="4">
        <f t="shared" si="21"/>
        <v>1587</v>
      </c>
      <c r="G335" s="4">
        <f t="shared" si="22"/>
        <v>0.37256937869822487</v>
      </c>
      <c r="H335" s="4">
        <f t="shared" si="23"/>
        <v>2518569</v>
      </c>
      <c r="I335" s="5">
        <f>SQRT(SUM('r-pi-multi'!$D$3:D335)/COUNTIF($A$3:A335,"&lt;&gt;0"))</f>
        <v>80.506915003391867</v>
      </c>
    </row>
    <row r="336" spans="1:9">
      <c r="A336">
        <v>334</v>
      </c>
      <c r="B336">
        <v>3</v>
      </c>
      <c r="C336">
        <v>2600</v>
      </c>
      <c r="D336">
        <v>2641</v>
      </c>
      <c r="E336" s="4">
        <f t="shared" si="20"/>
        <v>1</v>
      </c>
      <c r="F336" s="4">
        <f t="shared" si="21"/>
        <v>41</v>
      </c>
      <c r="G336" s="4">
        <f t="shared" si="22"/>
        <v>2.4866863905325439E-4</v>
      </c>
      <c r="H336" s="4">
        <f t="shared" si="23"/>
        <v>1681</v>
      </c>
      <c r="I336" s="5">
        <f>SQRT(SUM('r-pi-multi'!$D$3:D336)/COUNTIF($A$3:A336,"&lt;&gt;0"))</f>
        <v>80.435472706145504</v>
      </c>
    </row>
    <row r="337" spans="1:9">
      <c r="A337">
        <v>335</v>
      </c>
      <c r="B337">
        <v>4</v>
      </c>
      <c r="C337">
        <v>2600</v>
      </c>
      <c r="D337">
        <v>4259</v>
      </c>
      <c r="E337" s="4">
        <f t="shared" si="20"/>
        <v>0</v>
      </c>
      <c r="F337" s="4">
        <f t="shared" si="21"/>
        <v>1659</v>
      </c>
      <c r="G337" s="4">
        <f t="shared" si="22"/>
        <v>0.40714215976331364</v>
      </c>
      <c r="H337" s="4">
        <f t="shared" si="23"/>
        <v>2752281</v>
      </c>
      <c r="I337" s="5">
        <f>SQRT(SUM('r-pi-multi'!$D$3:D337)/COUNTIF($A$3:A337,"&lt;&gt;0"))</f>
        <v>80.39443806409615</v>
      </c>
    </row>
    <row r="338" spans="1:9">
      <c r="A338">
        <v>336</v>
      </c>
      <c r="B338">
        <v>3</v>
      </c>
      <c r="C338">
        <v>2600</v>
      </c>
      <c r="D338">
        <v>2633</v>
      </c>
      <c r="E338" s="4">
        <f t="shared" si="20"/>
        <v>1</v>
      </c>
      <c r="F338" s="4">
        <f t="shared" si="21"/>
        <v>33</v>
      </c>
      <c r="G338" s="4">
        <f t="shared" si="22"/>
        <v>1.61094674556213E-4</v>
      </c>
      <c r="H338" s="4">
        <f t="shared" si="23"/>
        <v>1089</v>
      </c>
      <c r="I338" s="5">
        <f>SQRT(SUM('r-pi-multi'!$D$3:D338)/COUNTIF($A$3:A338,"&lt;&gt;0"))</f>
        <v>80.323508834142515</v>
      </c>
    </row>
    <row r="339" spans="1:9">
      <c r="A339">
        <v>337</v>
      </c>
      <c r="B339">
        <v>4</v>
      </c>
      <c r="C339">
        <v>2600</v>
      </c>
      <c r="D339">
        <v>4188</v>
      </c>
      <c r="E339" s="4">
        <f t="shared" si="20"/>
        <v>0</v>
      </c>
      <c r="F339" s="4">
        <f t="shared" si="21"/>
        <v>1588</v>
      </c>
      <c r="G339" s="4">
        <f t="shared" si="22"/>
        <v>0.37303905325443781</v>
      </c>
      <c r="H339" s="4">
        <f t="shared" si="23"/>
        <v>2521744</v>
      </c>
      <c r="I339" s="5">
        <f>SQRT(SUM('r-pi-multi'!$D$3:D339)/COUNTIF($A$3:A339,"&lt;&gt;0"))</f>
        <v>80.281681397143913</v>
      </c>
    </row>
    <row r="340" spans="1:9">
      <c r="A340">
        <v>338</v>
      </c>
      <c r="B340">
        <v>3</v>
      </c>
      <c r="C340">
        <v>2600</v>
      </c>
      <c r="D340">
        <v>2608</v>
      </c>
      <c r="E340" s="4">
        <f t="shared" si="20"/>
        <v>1</v>
      </c>
      <c r="F340" s="4">
        <f t="shared" si="21"/>
        <v>8</v>
      </c>
      <c r="G340" s="4">
        <f t="shared" si="22"/>
        <v>9.4674556213017744E-6</v>
      </c>
      <c r="H340" s="4">
        <f t="shared" si="23"/>
        <v>64</v>
      </c>
      <c r="I340" s="5">
        <f>SQRT(SUM('r-pi-multi'!$D$3:D340)/COUNTIF($A$3:A340,"&lt;&gt;0"))</f>
        <v>80.210945998586539</v>
      </c>
    </row>
    <row r="341" spans="1:9">
      <c r="A341">
        <v>339</v>
      </c>
      <c r="B341">
        <v>3</v>
      </c>
      <c r="C341">
        <v>2600</v>
      </c>
      <c r="D341">
        <v>2591</v>
      </c>
      <c r="E341" s="4">
        <f t="shared" si="20"/>
        <v>1</v>
      </c>
      <c r="F341" s="4">
        <f t="shared" si="21"/>
        <v>9</v>
      </c>
      <c r="G341" s="4">
        <f t="shared" si="22"/>
        <v>1.198224852071006E-5</v>
      </c>
      <c r="H341" s="4">
        <f t="shared" si="23"/>
        <v>81</v>
      </c>
      <c r="I341" s="5">
        <f>SQRT(SUM('r-pi-multi'!$D$3:D341)/COUNTIF($A$3:A341,"&lt;&gt;0"))</f>
        <v>80.140253162759294</v>
      </c>
    </row>
    <row r="342" spans="1:9">
      <c r="A342">
        <v>340</v>
      </c>
      <c r="B342">
        <v>3</v>
      </c>
      <c r="C342">
        <v>2600</v>
      </c>
      <c r="D342">
        <v>2629</v>
      </c>
      <c r="E342" s="4">
        <f t="shared" si="20"/>
        <v>1</v>
      </c>
      <c r="F342" s="4">
        <f t="shared" si="21"/>
        <v>29</v>
      </c>
      <c r="G342" s="4">
        <f t="shared" si="22"/>
        <v>1.2440828402366863E-4</v>
      </c>
      <c r="H342" s="4">
        <f t="shared" si="23"/>
        <v>841</v>
      </c>
      <c r="I342" s="5">
        <f>SQRT(SUM('r-pi-multi'!$D$3:D342)/COUNTIF($A$3:A342,"&lt;&gt;0"))</f>
        <v>80.070612219318463</v>
      </c>
    </row>
    <row r="343" spans="1:9">
      <c r="A343">
        <v>341</v>
      </c>
      <c r="B343">
        <v>3</v>
      </c>
      <c r="C343">
        <v>2600</v>
      </c>
      <c r="D343">
        <v>2635</v>
      </c>
      <c r="E343" s="4">
        <f t="shared" si="20"/>
        <v>1</v>
      </c>
      <c r="F343" s="4">
        <f t="shared" si="21"/>
        <v>35</v>
      </c>
      <c r="G343" s="4">
        <f t="shared" si="22"/>
        <v>1.812130177514793E-4</v>
      </c>
      <c r="H343" s="4">
        <f t="shared" si="23"/>
        <v>1225</v>
      </c>
      <c r="I343" s="5">
        <f>SQRT(SUM('r-pi-multi'!$D$3:D343)/COUNTIF($A$3:A343,"&lt;&gt;0"))</f>
        <v>80.001429605994744</v>
      </c>
    </row>
    <row r="344" spans="1:9">
      <c r="A344">
        <v>342</v>
      </c>
      <c r="B344">
        <v>3</v>
      </c>
      <c r="C344">
        <v>2600</v>
      </c>
      <c r="D344">
        <v>2588</v>
      </c>
      <c r="E344" s="4">
        <f t="shared" si="20"/>
        <v>1</v>
      </c>
      <c r="F344" s="4">
        <f t="shared" si="21"/>
        <v>12</v>
      </c>
      <c r="G344" s="4">
        <f t="shared" si="22"/>
        <v>2.1301775147928997E-5</v>
      </c>
      <c r="H344" s="4">
        <f t="shared" si="23"/>
        <v>144</v>
      </c>
      <c r="I344" s="5">
        <f>SQRT(SUM('r-pi-multi'!$D$3:D344)/COUNTIF($A$3:A344,"&lt;&gt;0"))</f>
        <v>79.931732568142351</v>
      </c>
    </row>
    <row r="345" spans="1:9">
      <c r="A345">
        <v>343</v>
      </c>
      <c r="B345">
        <v>3</v>
      </c>
      <c r="C345">
        <v>2600</v>
      </c>
      <c r="D345">
        <v>2650</v>
      </c>
      <c r="E345" s="4">
        <f t="shared" ref="E345:E408" si="24">IF(AND(D345&lt;=C345*1.2,D345&gt;=C345*0.8),1,0)</f>
        <v>1</v>
      </c>
      <c r="F345" s="4">
        <f t="shared" si="21"/>
        <v>50</v>
      </c>
      <c r="G345" s="4">
        <f t="shared" si="22"/>
        <v>3.6982248520710064E-4</v>
      </c>
      <c r="H345" s="4">
        <f t="shared" si="23"/>
        <v>2500</v>
      </c>
      <c r="I345" s="5">
        <f>SQRT(SUM('r-pi-multi'!$D$3:D345)/COUNTIF($A$3:A345,"&lt;&gt;0"))</f>
        <v>79.863513308753781</v>
      </c>
    </row>
    <row r="346" spans="1:9">
      <c r="A346">
        <v>344</v>
      </c>
      <c r="B346">
        <v>3</v>
      </c>
      <c r="C346">
        <v>2600</v>
      </c>
      <c r="D346">
        <v>2650</v>
      </c>
      <c r="E346" s="4">
        <f t="shared" si="24"/>
        <v>1</v>
      </c>
      <c r="F346" s="4">
        <f t="shared" si="21"/>
        <v>50</v>
      </c>
      <c r="G346" s="4">
        <f t="shared" si="22"/>
        <v>3.6982248520710064E-4</v>
      </c>
      <c r="H346" s="4">
        <f t="shared" si="23"/>
        <v>2500</v>
      </c>
      <c r="I346" s="5">
        <f>SQRT(SUM('r-pi-multi'!$D$3:D346)/COUNTIF($A$3:A346,"&lt;&gt;0"))</f>
        <v>79.795632858295036</v>
      </c>
    </row>
    <row r="347" spans="1:9">
      <c r="A347">
        <v>345</v>
      </c>
      <c r="B347">
        <v>3</v>
      </c>
      <c r="C347">
        <v>2600</v>
      </c>
      <c r="D347">
        <v>2664</v>
      </c>
      <c r="E347" s="4">
        <f t="shared" si="24"/>
        <v>1</v>
      </c>
      <c r="F347" s="4">
        <f t="shared" si="21"/>
        <v>64</v>
      </c>
      <c r="G347" s="4">
        <f t="shared" si="22"/>
        <v>6.0591715976331356E-4</v>
      </c>
      <c r="H347" s="4">
        <f t="shared" si="23"/>
        <v>4096</v>
      </c>
      <c r="I347" s="5">
        <f>SQRT(SUM('r-pi-multi'!$D$3:D347)/COUNTIF($A$3:A347,"&lt;&gt;0"))</f>
        <v>79.7283431136768</v>
      </c>
    </row>
    <row r="348" spans="1:9">
      <c r="A348">
        <v>346</v>
      </c>
      <c r="B348">
        <v>3</v>
      </c>
      <c r="C348">
        <v>2600</v>
      </c>
      <c r="D348">
        <v>2615</v>
      </c>
      <c r="E348" s="4">
        <f t="shared" si="24"/>
        <v>1</v>
      </c>
      <c r="F348" s="4">
        <f t="shared" si="21"/>
        <v>15</v>
      </c>
      <c r="G348" s="4">
        <f t="shared" si="22"/>
        <v>3.3284023668639058E-5</v>
      </c>
      <c r="H348" s="4">
        <f t="shared" si="23"/>
        <v>225</v>
      </c>
      <c r="I348" s="5">
        <f>SQRT(SUM('r-pi-multi'!$D$3:D348)/COUNTIF($A$3:A348,"&lt;&gt;0"))</f>
        <v>79.660497096665551</v>
      </c>
    </row>
    <row r="349" spans="1:9">
      <c r="A349">
        <v>347</v>
      </c>
      <c r="B349">
        <v>3</v>
      </c>
      <c r="C349">
        <v>2600</v>
      </c>
      <c r="D349">
        <v>2658</v>
      </c>
      <c r="E349" s="4">
        <f t="shared" si="24"/>
        <v>1</v>
      </c>
      <c r="F349" s="4">
        <f t="shared" si="21"/>
        <v>58</v>
      </c>
      <c r="G349" s="4">
        <f t="shared" si="22"/>
        <v>4.9763313609467452E-4</v>
      </c>
      <c r="H349" s="4">
        <f t="shared" si="23"/>
        <v>3364</v>
      </c>
      <c r="I349" s="5">
        <f>SQRT(SUM('r-pi-multi'!$D$3:D349)/COUNTIF($A$3:A349,"&lt;&gt;0"))</f>
        <v>79.593763241689132</v>
      </c>
    </row>
    <row r="350" spans="1:9">
      <c r="A350">
        <v>348</v>
      </c>
      <c r="B350">
        <v>3</v>
      </c>
      <c r="C350">
        <v>2600</v>
      </c>
      <c r="D350">
        <v>2620</v>
      </c>
      <c r="E350" s="4">
        <f t="shared" si="24"/>
        <v>1</v>
      </c>
      <c r="F350" s="4">
        <f t="shared" si="21"/>
        <v>20</v>
      </c>
      <c r="G350" s="4">
        <f t="shared" si="22"/>
        <v>5.9171597633136101E-5</v>
      </c>
      <c r="H350" s="4">
        <f t="shared" si="23"/>
        <v>400</v>
      </c>
      <c r="I350" s="5">
        <f>SQRT(SUM('r-pi-multi'!$D$3:D350)/COUNTIF($A$3:A350,"&lt;&gt;0"))</f>
        <v>79.526670867768289</v>
      </c>
    </row>
    <row r="351" spans="1:9">
      <c r="A351">
        <v>349</v>
      </c>
      <c r="B351">
        <v>3</v>
      </c>
      <c r="C351">
        <v>2600</v>
      </c>
      <c r="D351">
        <v>2613</v>
      </c>
      <c r="E351" s="4">
        <f t="shared" si="24"/>
        <v>1</v>
      </c>
      <c r="F351" s="4">
        <f t="shared" si="21"/>
        <v>13</v>
      </c>
      <c r="G351" s="4">
        <f t="shared" si="22"/>
        <v>2.5000000000000001E-5</v>
      </c>
      <c r="H351" s="4">
        <f t="shared" si="23"/>
        <v>169</v>
      </c>
      <c r="I351" s="5">
        <f>SQRT(SUM('r-pi-multi'!$D$3:D351)/COUNTIF($A$3:A351,"&lt;&gt;0"))</f>
        <v>79.45978060329864</v>
      </c>
    </row>
    <row r="352" spans="1:9">
      <c r="A352">
        <v>350</v>
      </c>
      <c r="B352">
        <v>3</v>
      </c>
      <c r="C352">
        <v>2600</v>
      </c>
      <c r="D352">
        <v>2601</v>
      </c>
      <c r="E352" s="4">
        <f t="shared" si="24"/>
        <v>1</v>
      </c>
      <c r="F352" s="4">
        <f t="shared" si="21"/>
        <v>1</v>
      </c>
      <c r="G352" s="4">
        <f t="shared" si="22"/>
        <v>1.4792899408284022E-7</v>
      </c>
      <c r="H352" s="4">
        <f t="shared" si="23"/>
        <v>1</v>
      </c>
      <c r="I352" s="5">
        <f>SQRT(SUM('r-pi-multi'!$D$3:D352)/COUNTIF($A$3:A352,"&lt;&gt;0"))</f>
        <v>79.393000771028753</v>
      </c>
    </row>
    <row r="353" spans="1:9">
      <c r="A353">
        <v>351</v>
      </c>
      <c r="B353">
        <v>3</v>
      </c>
      <c r="C353">
        <v>2600</v>
      </c>
      <c r="D353">
        <v>2551</v>
      </c>
      <c r="E353" s="4">
        <f t="shared" si="24"/>
        <v>1</v>
      </c>
      <c r="F353" s="4">
        <f t="shared" si="21"/>
        <v>49</v>
      </c>
      <c r="G353" s="4">
        <f t="shared" si="22"/>
        <v>3.5517751479289942E-4</v>
      </c>
      <c r="H353" s="4">
        <f t="shared" si="23"/>
        <v>2401</v>
      </c>
      <c r="I353" s="5">
        <f>SQRT(SUM('r-pi-multi'!$D$3:D353)/COUNTIF($A$3:A353,"&lt;&gt;0"))</f>
        <v>79.325647835730933</v>
      </c>
    </row>
    <row r="354" spans="1:9">
      <c r="A354">
        <v>352</v>
      </c>
      <c r="B354">
        <v>3</v>
      </c>
      <c r="C354">
        <v>2600</v>
      </c>
      <c r="D354">
        <v>2646</v>
      </c>
      <c r="E354" s="4">
        <f t="shared" si="24"/>
        <v>1</v>
      </c>
      <c r="F354" s="4">
        <f t="shared" si="21"/>
        <v>46</v>
      </c>
      <c r="G354" s="4">
        <f t="shared" si="22"/>
        <v>3.1301775147928989E-4</v>
      </c>
      <c r="H354" s="4">
        <f t="shared" si="23"/>
        <v>2116</v>
      </c>
      <c r="I354" s="5">
        <f>SQRT(SUM('r-pi-multi'!$D$3:D354)/COUNTIF($A$3:A354,"&lt;&gt;0"))</f>
        <v>79.260323388416495</v>
      </c>
    </row>
    <row r="355" spans="1:9">
      <c r="A355">
        <v>353</v>
      </c>
      <c r="B355">
        <v>3</v>
      </c>
      <c r="C355">
        <v>2600</v>
      </c>
      <c r="D355">
        <v>2636</v>
      </c>
      <c r="E355" s="4">
        <f t="shared" si="24"/>
        <v>1</v>
      </c>
      <c r="F355" s="4">
        <f t="shared" si="21"/>
        <v>36</v>
      </c>
      <c r="G355" s="4">
        <f t="shared" si="22"/>
        <v>1.9171597633136096E-4</v>
      </c>
      <c r="H355" s="4">
        <f t="shared" si="23"/>
        <v>1296</v>
      </c>
      <c r="I355" s="5">
        <f>SQRT(SUM('r-pi-multi'!$D$3:D355)/COUNTIF($A$3:A355,"&lt;&gt;0"))</f>
        <v>79.195136772312409</v>
      </c>
    </row>
    <row r="356" spans="1:9">
      <c r="A356">
        <v>354</v>
      </c>
      <c r="B356">
        <v>3</v>
      </c>
      <c r="C356">
        <v>2600</v>
      </c>
      <c r="D356">
        <v>2623</v>
      </c>
      <c r="E356" s="4">
        <f t="shared" si="24"/>
        <v>1</v>
      </c>
      <c r="F356" s="4">
        <f t="shared" si="21"/>
        <v>23</v>
      </c>
      <c r="G356" s="4">
        <f t="shared" si="22"/>
        <v>7.8254437869822472E-5</v>
      </c>
      <c r="H356" s="4">
        <f t="shared" si="23"/>
        <v>529</v>
      </c>
      <c r="I356" s="5">
        <f>SQRT(SUM('r-pi-multi'!$D$3:D356)/COUNTIF($A$3:A356,"&lt;&gt;0"))</f>
        <v>79.130033153617816</v>
      </c>
    </row>
    <row r="357" spans="1:9">
      <c r="A357">
        <v>355</v>
      </c>
      <c r="B357">
        <v>3</v>
      </c>
      <c r="C357">
        <v>2600</v>
      </c>
      <c r="D357">
        <v>2589</v>
      </c>
      <c r="E357" s="4">
        <f t="shared" si="24"/>
        <v>1</v>
      </c>
      <c r="F357" s="4">
        <f t="shared" si="21"/>
        <v>11</v>
      </c>
      <c r="G357" s="4">
        <f t="shared" si="22"/>
        <v>1.7899408284023668E-5</v>
      </c>
      <c r="H357" s="4">
        <f t="shared" si="23"/>
        <v>121</v>
      </c>
      <c r="I357" s="5">
        <f>SQRT(SUM('r-pi-multi'!$D$3:D357)/COUNTIF($A$3:A357,"&lt;&gt;0"))</f>
        <v>79.064637489894622</v>
      </c>
    </row>
    <row r="358" spans="1:9">
      <c r="A358">
        <v>356</v>
      </c>
      <c r="B358">
        <v>3</v>
      </c>
      <c r="C358">
        <v>2600</v>
      </c>
      <c r="D358">
        <v>2641</v>
      </c>
      <c r="E358" s="4">
        <f t="shared" si="24"/>
        <v>1</v>
      </c>
      <c r="F358" s="4">
        <f t="shared" si="21"/>
        <v>41</v>
      </c>
      <c r="G358" s="4">
        <f t="shared" si="22"/>
        <v>2.4866863905325439E-4</v>
      </c>
      <c r="H358" s="4">
        <f t="shared" si="23"/>
        <v>1681</v>
      </c>
      <c r="I358" s="5">
        <f>SQRT(SUM('r-pi-multi'!$D$3:D358)/COUNTIF($A$3:A358,"&lt;&gt;0"))</f>
        <v>79.000480015608957</v>
      </c>
    </row>
    <row r="359" spans="1:9">
      <c r="A359">
        <v>357</v>
      </c>
      <c r="B359">
        <v>3</v>
      </c>
      <c r="C359">
        <v>2600</v>
      </c>
      <c r="D359">
        <v>2611</v>
      </c>
      <c r="E359" s="4">
        <f t="shared" si="24"/>
        <v>1</v>
      </c>
      <c r="F359" s="4">
        <f t="shared" si="21"/>
        <v>11</v>
      </c>
      <c r="G359" s="4">
        <f t="shared" si="22"/>
        <v>1.7899408284023668E-5</v>
      </c>
      <c r="H359" s="4">
        <f t="shared" si="23"/>
        <v>121</v>
      </c>
      <c r="I359" s="5">
        <f>SQRT(SUM('r-pi-multi'!$D$3:D359)/COUNTIF($A$3:A359,"&lt;&gt;0"))</f>
        <v>78.936097971873494</v>
      </c>
    </row>
    <row r="360" spans="1:9">
      <c r="A360">
        <v>358</v>
      </c>
      <c r="B360">
        <v>3</v>
      </c>
      <c r="C360">
        <v>2600</v>
      </c>
      <c r="D360">
        <v>2642</v>
      </c>
      <c r="E360" s="4">
        <f t="shared" si="24"/>
        <v>1</v>
      </c>
      <c r="F360" s="4">
        <f t="shared" si="21"/>
        <v>42</v>
      </c>
      <c r="G360" s="4">
        <f t="shared" si="22"/>
        <v>2.6094674556213017E-4</v>
      </c>
      <c r="H360" s="4">
        <f t="shared" si="23"/>
        <v>1764</v>
      </c>
      <c r="I360" s="5">
        <f>SQRT(SUM('r-pi-multi'!$D$3:D360)/COUNTIF($A$3:A360,"&lt;&gt;0"))</f>
        <v>78.872572428977151</v>
      </c>
    </row>
    <row r="361" spans="1:9">
      <c r="A361">
        <v>359</v>
      </c>
      <c r="B361">
        <v>3</v>
      </c>
      <c r="C361">
        <v>2600</v>
      </c>
      <c r="D361">
        <v>2602</v>
      </c>
      <c r="E361" s="4">
        <f t="shared" si="24"/>
        <v>1</v>
      </c>
      <c r="F361" s="4">
        <f t="shared" si="21"/>
        <v>2</v>
      </c>
      <c r="G361" s="4">
        <f t="shared" si="22"/>
        <v>5.917159763313609E-7</v>
      </c>
      <c r="H361" s="4">
        <f t="shared" si="23"/>
        <v>4</v>
      </c>
      <c r="I361" s="5">
        <f>SQRT(SUM('r-pi-multi'!$D$3:D361)/COUNTIF($A$3:A361,"&lt;&gt;0"))</f>
        <v>78.808643107290308</v>
      </c>
    </row>
    <row r="362" spans="1:9">
      <c r="A362">
        <v>360</v>
      </c>
      <c r="B362">
        <v>3</v>
      </c>
      <c r="C362">
        <v>2600</v>
      </c>
      <c r="D362">
        <v>2645</v>
      </c>
      <c r="E362" s="4">
        <f t="shared" si="24"/>
        <v>1</v>
      </c>
      <c r="F362" s="4">
        <f t="shared" si="21"/>
        <v>45</v>
      </c>
      <c r="G362" s="4">
        <f t="shared" si="22"/>
        <v>2.9955621301775153E-4</v>
      </c>
      <c r="H362" s="4">
        <f t="shared" si="23"/>
        <v>2025</v>
      </c>
      <c r="I362" s="5">
        <f>SQRT(SUM('r-pi-multi'!$D$3:D362)/COUNTIF($A$3:A362,"&lt;&gt;0"))</f>
        <v>78.745775900820362</v>
      </c>
    </row>
    <row r="363" spans="1:9">
      <c r="A363">
        <v>361</v>
      </c>
      <c r="B363">
        <v>3</v>
      </c>
      <c r="C363">
        <v>2600</v>
      </c>
      <c r="D363">
        <v>2479</v>
      </c>
      <c r="E363" s="4">
        <f t="shared" si="24"/>
        <v>1</v>
      </c>
      <c r="F363" s="4">
        <f t="shared" si="21"/>
        <v>121</v>
      </c>
      <c r="G363" s="4">
        <f t="shared" si="22"/>
        <v>2.1658284023668636E-3</v>
      </c>
      <c r="H363" s="4">
        <f t="shared" si="23"/>
        <v>14641</v>
      </c>
      <c r="I363" s="5">
        <f>SQRT(SUM('r-pi-multi'!$D$3:D363)/COUNTIF($A$3:A363,"&lt;&gt;0"))</f>
        <v>78.680285063144808</v>
      </c>
    </row>
    <row r="364" spans="1:9">
      <c r="A364">
        <v>362</v>
      </c>
      <c r="B364">
        <v>3</v>
      </c>
      <c r="C364">
        <v>2600</v>
      </c>
      <c r="D364">
        <v>2606</v>
      </c>
      <c r="E364" s="4">
        <f t="shared" si="24"/>
        <v>1</v>
      </c>
      <c r="F364" s="4">
        <f t="shared" si="21"/>
        <v>6</v>
      </c>
      <c r="G364" s="4">
        <f t="shared" si="22"/>
        <v>5.3254437869822491E-6</v>
      </c>
      <c r="H364" s="4">
        <f t="shared" si="23"/>
        <v>36</v>
      </c>
      <c r="I364" s="5">
        <f>SQRT(SUM('r-pi-multi'!$D$3:D364)/COUNTIF($A$3:A364,"&lt;&gt;0"))</f>
        <v>78.617333221579884</v>
      </c>
    </row>
    <row r="365" spans="1:9">
      <c r="A365">
        <v>363</v>
      </c>
      <c r="B365">
        <v>3</v>
      </c>
      <c r="C365">
        <v>2600</v>
      </c>
      <c r="D365">
        <v>2551</v>
      </c>
      <c r="E365" s="4">
        <f t="shared" si="24"/>
        <v>1</v>
      </c>
      <c r="F365" s="4">
        <f t="shared" si="21"/>
        <v>49</v>
      </c>
      <c r="G365" s="4">
        <f t="shared" si="22"/>
        <v>3.5517751479289942E-4</v>
      </c>
      <c r="H365" s="4">
        <f t="shared" si="23"/>
        <v>2401</v>
      </c>
      <c r="I365" s="5">
        <f>SQRT(SUM('r-pi-multi'!$D$3:D365)/COUNTIF($A$3:A365,"&lt;&gt;0"))</f>
        <v>78.55371379134931</v>
      </c>
    </row>
    <row r="366" spans="1:9">
      <c r="A366">
        <v>364</v>
      </c>
      <c r="B366">
        <v>3</v>
      </c>
      <c r="C366">
        <v>2600</v>
      </c>
      <c r="D366">
        <v>2570</v>
      </c>
      <c r="E366" s="4">
        <f t="shared" si="24"/>
        <v>1</v>
      </c>
      <c r="F366" s="4">
        <f t="shared" si="21"/>
        <v>30</v>
      </c>
      <c r="G366" s="4">
        <f t="shared" si="22"/>
        <v>1.3313609467455623E-4</v>
      </c>
      <c r="H366" s="4">
        <f t="shared" si="23"/>
        <v>900</v>
      </c>
      <c r="I366" s="5">
        <f>SQRT(SUM('r-pi-multi'!$D$3:D366)/COUNTIF($A$3:A366,"&lt;&gt;0"))</f>
        <v>78.490725286774847</v>
      </c>
    </row>
    <row r="367" spans="1:9">
      <c r="A367">
        <v>365</v>
      </c>
      <c r="B367">
        <v>3</v>
      </c>
      <c r="C367">
        <v>2600</v>
      </c>
      <c r="D367">
        <v>2582</v>
      </c>
      <c r="E367" s="4">
        <f t="shared" si="24"/>
        <v>1</v>
      </c>
      <c r="F367" s="4">
        <f t="shared" si="21"/>
        <v>18</v>
      </c>
      <c r="G367" s="4">
        <f t="shared" si="22"/>
        <v>4.7928994082840241E-5</v>
      </c>
      <c r="H367" s="4">
        <f t="shared" si="23"/>
        <v>324</v>
      </c>
      <c r="I367" s="5">
        <f>SQRT(SUM('r-pi-multi'!$D$3:D367)/COUNTIF($A$3:A367,"&lt;&gt;0"))</f>
        <v>78.42824134899297</v>
      </c>
    </row>
    <row r="368" spans="1:9">
      <c r="A368">
        <v>366</v>
      </c>
      <c r="B368">
        <v>3</v>
      </c>
      <c r="C368">
        <v>2600</v>
      </c>
      <c r="D368">
        <v>2616</v>
      </c>
      <c r="E368" s="4">
        <f t="shared" si="24"/>
        <v>1</v>
      </c>
      <c r="F368" s="4">
        <f t="shared" si="21"/>
        <v>16</v>
      </c>
      <c r="G368" s="4">
        <f t="shared" si="22"/>
        <v>3.7869822485207098E-5</v>
      </c>
      <c r="H368" s="4">
        <f t="shared" si="23"/>
        <v>256</v>
      </c>
      <c r="I368" s="5">
        <f>SQRT(SUM('r-pi-multi'!$D$3:D368)/COUNTIF($A$3:A368,"&lt;&gt;0"))</f>
        <v>78.366642145066393</v>
      </c>
    </row>
    <row r="369" spans="1:9">
      <c r="A369">
        <v>367</v>
      </c>
      <c r="B369">
        <v>3</v>
      </c>
      <c r="C369">
        <v>2600</v>
      </c>
      <c r="D369">
        <v>2252</v>
      </c>
      <c r="E369" s="4">
        <f t="shared" si="24"/>
        <v>1</v>
      </c>
      <c r="F369" s="4">
        <f t="shared" si="21"/>
        <v>348</v>
      </c>
      <c r="G369" s="4">
        <f t="shared" si="22"/>
        <v>1.7914792899408283E-2</v>
      </c>
      <c r="H369" s="4">
        <f t="shared" si="23"/>
        <v>121104</v>
      </c>
      <c r="I369" s="5">
        <f>SQRT(SUM('r-pi-multi'!$D$3:D369)/COUNTIF($A$3:A369,"&lt;&gt;0"))</f>
        <v>78.298997247903799</v>
      </c>
    </row>
    <row r="370" spans="1:9">
      <c r="A370">
        <v>368</v>
      </c>
      <c r="B370">
        <v>3</v>
      </c>
      <c r="C370">
        <v>2600</v>
      </c>
      <c r="D370">
        <v>1980</v>
      </c>
      <c r="E370" s="4">
        <f t="shared" si="24"/>
        <v>0</v>
      </c>
      <c r="F370" s="4">
        <f t="shared" si="21"/>
        <v>620</v>
      </c>
      <c r="G370" s="4">
        <f t="shared" si="22"/>
        <v>5.6863905325443796E-2</v>
      </c>
      <c r="H370" s="4">
        <f t="shared" si="23"/>
        <v>384400</v>
      </c>
      <c r="I370" s="5">
        <f>SQRT(SUM('r-pi-multi'!$D$3:D370)/COUNTIF($A$3:A370,"&lt;&gt;0"))</f>
        <v>78.226937843353085</v>
      </c>
    </row>
    <row r="371" spans="1:9">
      <c r="A371">
        <v>369</v>
      </c>
      <c r="B371">
        <v>4</v>
      </c>
      <c r="C371">
        <v>2600</v>
      </c>
      <c r="D371">
        <v>3972</v>
      </c>
      <c r="E371" s="4">
        <f t="shared" si="24"/>
        <v>0</v>
      </c>
      <c r="F371" s="4">
        <f t="shared" si="21"/>
        <v>1372</v>
      </c>
      <c r="G371" s="4">
        <f t="shared" si="22"/>
        <v>0.27845917159763311</v>
      </c>
      <c r="H371" s="4">
        <f t="shared" si="23"/>
        <v>1882384</v>
      </c>
      <c r="I371" s="5">
        <f>SQRT(SUM('r-pi-multi'!$D$3:D371)/COUNTIF($A$3:A371,"&lt;&gt;0"))</f>
        <v>78.189731719334247</v>
      </c>
    </row>
    <row r="372" spans="1:9">
      <c r="A372">
        <v>370</v>
      </c>
      <c r="B372">
        <v>3</v>
      </c>
      <c r="C372">
        <v>2600</v>
      </c>
      <c r="D372">
        <v>2545</v>
      </c>
      <c r="E372" s="4">
        <f t="shared" si="24"/>
        <v>1</v>
      </c>
      <c r="F372" s="4">
        <f t="shared" si="21"/>
        <v>55</v>
      </c>
      <c r="G372" s="4">
        <f t="shared" si="22"/>
        <v>4.4748520710059179E-4</v>
      </c>
      <c r="H372" s="4">
        <f t="shared" si="23"/>
        <v>3025</v>
      </c>
      <c r="I372" s="5">
        <f>SQRT(SUM('r-pi-multi'!$D$3:D372)/COUNTIF($A$3:A372,"&lt;&gt;0"))</f>
        <v>78.128030752023875</v>
      </c>
    </row>
    <row r="373" spans="1:9">
      <c r="A373">
        <v>371</v>
      </c>
      <c r="B373">
        <v>3</v>
      </c>
      <c r="C373">
        <v>2600</v>
      </c>
      <c r="D373">
        <v>2601</v>
      </c>
      <c r="E373" s="4">
        <f t="shared" si="24"/>
        <v>1</v>
      </c>
      <c r="F373" s="4">
        <f t="shared" si="21"/>
        <v>1</v>
      </c>
      <c r="G373" s="4">
        <f t="shared" si="22"/>
        <v>1.4792899408284022E-7</v>
      </c>
      <c r="H373" s="4">
        <f t="shared" si="23"/>
        <v>1</v>
      </c>
      <c r="I373" s="5">
        <f>SQRT(SUM('r-pi-multi'!$D$3:D373)/COUNTIF($A$3:A373,"&lt;&gt;0"))</f>
        <v>78.067580786209334</v>
      </c>
    </row>
    <row r="374" spans="1:9">
      <c r="A374">
        <v>372</v>
      </c>
      <c r="B374">
        <v>3</v>
      </c>
      <c r="C374">
        <v>2600</v>
      </c>
      <c r="D374">
        <v>2567</v>
      </c>
      <c r="E374" s="4">
        <f t="shared" si="24"/>
        <v>1</v>
      </c>
      <c r="F374" s="4">
        <f t="shared" si="21"/>
        <v>33</v>
      </c>
      <c r="G374" s="4">
        <f t="shared" si="22"/>
        <v>1.61094674556213E-4</v>
      </c>
      <c r="H374" s="4">
        <f t="shared" si="23"/>
        <v>1089</v>
      </c>
      <c r="I374" s="5">
        <f>SQRT(SUM('r-pi-multi'!$D$3:D374)/COUNTIF($A$3:A374,"&lt;&gt;0"))</f>
        <v>78.006823522875436</v>
      </c>
    </row>
    <row r="375" spans="1:9">
      <c r="A375">
        <v>373</v>
      </c>
      <c r="B375">
        <v>3</v>
      </c>
      <c r="C375">
        <v>2600</v>
      </c>
      <c r="D375">
        <v>2519</v>
      </c>
      <c r="E375" s="4">
        <f t="shared" si="24"/>
        <v>1</v>
      </c>
      <c r="F375" s="4">
        <f t="shared" si="21"/>
        <v>81</v>
      </c>
      <c r="G375" s="4">
        <f t="shared" si="22"/>
        <v>9.7056213017751472E-4</v>
      </c>
      <c r="H375" s="4">
        <f t="shared" si="23"/>
        <v>6561</v>
      </c>
      <c r="I375" s="5">
        <f>SQRT(SUM('r-pi-multi'!$D$3:D375)/COUNTIF($A$3:A375,"&lt;&gt;0"))</f>
        <v>77.945519572633046</v>
      </c>
    </row>
    <row r="376" spans="1:9">
      <c r="A376">
        <v>374</v>
      </c>
      <c r="B376">
        <v>3</v>
      </c>
      <c r="C376">
        <v>2600</v>
      </c>
      <c r="D376">
        <v>2563</v>
      </c>
      <c r="E376" s="4">
        <f t="shared" si="24"/>
        <v>1</v>
      </c>
      <c r="F376" s="4">
        <f t="shared" si="21"/>
        <v>37</v>
      </c>
      <c r="G376" s="4">
        <f t="shared" si="22"/>
        <v>2.0251479289940829E-4</v>
      </c>
      <c r="H376" s="4">
        <f t="shared" si="23"/>
        <v>1369</v>
      </c>
      <c r="I376" s="5">
        <f>SQRT(SUM('r-pi-multi'!$D$3:D376)/COUNTIF($A$3:A376,"&lt;&gt;0"))</f>
        <v>77.885250846776117</v>
      </c>
    </row>
    <row r="377" spans="1:9">
      <c r="A377">
        <v>375</v>
      </c>
      <c r="B377">
        <v>3</v>
      </c>
      <c r="C377">
        <v>2600</v>
      </c>
      <c r="D377">
        <v>2558</v>
      </c>
      <c r="E377" s="4">
        <f t="shared" si="24"/>
        <v>1</v>
      </c>
      <c r="F377" s="4">
        <f t="shared" si="21"/>
        <v>42</v>
      </c>
      <c r="G377" s="4">
        <f t="shared" si="22"/>
        <v>2.6094674556213017E-4</v>
      </c>
      <c r="H377" s="4">
        <f t="shared" si="23"/>
        <v>1764</v>
      </c>
      <c r="I377" s="5">
        <f>SQRT(SUM('r-pi-multi'!$D$3:D377)/COUNTIF($A$3:A377,"&lt;&gt;0"))</f>
        <v>77.825171592058396</v>
      </c>
    </row>
    <row r="378" spans="1:9">
      <c r="A378">
        <v>376</v>
      </c>
      <c r="B378">
        <v>3</v>
      </c>
      <c r="C378">
        <v>2600</v>
      </c>
      <c r="D378">
        <v>2576</v>
      </c>
      <c r="E378" s="4">
        <f t="shared" si="24"/>
        <v>1</v>
      </c>
      <c r="F378" s="4">
        <f t="shared" si="21"/>
        <v>24</v>
      </c>
      <c r="G378" s="4">
        <f t="shared" si="22"/>
        <v>8.5207100591715986E-5</v>
      </c>
      <c r="H378" s="4">
        <f t="shared" si="23"/>
        <v>576</v>
      </c>
      <c r="I378" s="5">
        <f>SQRT(SUM('r-pi-multi'!$D$3:D378)/COUNTIF($A$3:A378,"&lt;&gt;0"))</f>
        <v>77.765673661326943</v>
      </c>
    </row>
    <row r="379" spans="1:9">
      <c r="A379">
        <v>377</v>
      </c>
      <c r="B379">
        <v>3</v>
      </c>
      <c r="C379">
        <v>2600</v>
      </c>
      <c r="D379">
        <v>2572</v>
      </c>
      <c r="E379" s="4">
        <f t="shared" si="24"/>
        <v>1</v>
      </c>
      <c r="F379" s="4">
        <f t="shared" si="21"/>
        <v>28</v>
      </c>
      <c r="G379" s="4">
        <f t="shared" si="22"/>
        <v>1.1597633136094674E-4</v>
      </c>
      <c r="H379" s="4">
        <f t="shared" si="23"/>
        <v>784</v>
      </c>
      <c r="I379" s="5">
        <f>SQRT(SUM('r-pi-multi'!$D$3:D379)/COUNTIF($A$3:A379,"&lt;&gt;0"))</f>
        <v>77.706377904961911</v>
      </c>
    </row>
    <row r="380" spans="1:9">
      <c r="A380">
        <v>378</v>
      </c>
      <c r="B380">
        <v>3</v>
      </c>
      <c r="C380">
        <v>2600</v>
      </c>
      <c r="D380">
        <v>2618</v>
      </c>
      <c r="E380" s="4">
        <f t="shared" si="24"/>
        <v>1</v>
      </c>
      <c r="F380" s="4">
        <f t="shared" si="21"/>
        <v>18</v>
      </c>
      <c r="G380" s="4">
        <f t="shared" si="22"/>
        <v>4.7928994082840241E-5</v>
      </c>
      <c r="H380" s="4">
        <f t="shared" si="23"/>
        <v>324</v>
      </c>
      <c r="I380" s="5">
        <f>SQRT(SUM('r-pi-multi'!$D$3:D380)/COUNTIF($A$3:A380,"&lt;&gt;0"))</f>
        <v>77.648134583084513</v>
      </c>
    </row>
    <row r="381" spans="1:9">
      <c r="A381">
        <v>379</v>
      </c>
      <c r="B381">
        <v>3</v>
      </c>
      <c r="C381">
        <v>2600</v>
      </c>
      <c r="D381">
        <v>2613</v>
      </c>
      <c r="E381" s="4">
        <f t="shared" si="24"/>
        <v>1</v>
      </c>
      <c r="F381" s="4">
        <f t="shared" si="21"/>
        <v>13</v>
      </c>
      <c r="G381" s="4">
        <f t="shared" si="22"/>
        <v>2.5000000000000001E-5</v>
      </c>
      <c r="H381" s="4">
        <f t="shared" si="23"/>
        <v>169</v>
      </c>
      <c r="I381" s="5">
        <f>SQRT(SUM('r-pi-multi'!$D$3:D381)/COUNTIF($A$3:A381,"&lt;&gt;0"))</f>
        <v>77.590070223975687</v>
      </c>
    </row>
    <row r="382" spans="1:9">
      <c r="A382">
        <v>380</v>
      </c>
      <c r="B382">
        <v>3</v>
      </c>
      <c r="C382">
        <v>2600</v>
      </c>
      <c r="D382">
        <v>2554</v>
      </c>
      <c r="E382" s="4">
        <f t="shared" si="24"/>
        <v>1</v>
      </c>
      <c r="F382" s="4">
        <f t="shared" si="21"/>
        <v>46</v>
      </c>
      <c r="G382" s="4">
        <f t="shared" si="22"/>
        <v>3.1301775147928989E-4</v>
      </c>
      <c r="H382" s="4">
        <f t="shared" si="23"/>
        <v>2116</v>
      </c>
      <c r="I382" s="5">
        <f>SQRT(SUM('r-pi-multi'!$D$3:D382)/COUNTIF($A$3:A382,"&lt;&gt;0"))</f>
        <v>77.531267037376949</v>
      </c>
    </row>
    <row r="383" spans="1:9">
      <c r="A383">
        <v>381</v>
      </c>
      <c r="B383">
        <v>3</v>
      </c>
      <c r="C383">
        <v>2600</v>
      </c>
      <c r="D383">
        <v>2603</v>
      </c>
      <c r="E383" s="4">
        <f t="shared" si="24"/>
        <v>1</v>
      </c>
      <c r="F383" s="4">
        <f t="shared" si="21"/>
        <v>3</v>
      </c>
      <c r="G383" s="4">
        <f t="shared" si="22"/>
        <v>1.3313609467455623E-6</v>
      </c>
      <c r="H383" s="4">
        <f t="shared" si="23"/>
        <v>9</v>
      </c>
      <c r="I383" s="5">
        <f>SQRT(SUM('r-pi-multi'!$D$3:D383)/COUNTIF($A$3:A383,"&lt;&gt;0"))</f>
        <v>77.473558269716307</v>
      </c>
    </row>
    <row r="384" spans="1:9">
      <c r="A384">
        <v>382</v>
      </c>
      <c r="B384">
        <v>3</v>
      </c>
      <c r="C384">
        <v>2600</v>
      </c>
      <c r="D384">
        <v>2580</v>
      </c>
      <c r="E384" s="4">
        <f t="shared" si="24"/>
        <v>1</v>
      </c>
      <c r="F384" s="4">
        <f t="shared" si="21"/>
        <v>20</v>
      </c>
      <c r="G384" s="4">
        <f t="shared" si="22"/>
        <v>5.9171597633136101E-5</v>
      </c>
      <c r="H384" s="4">
        <f t="shared" si="23"/>
        <v>400</v>
      </c>
      <c r="I384" s="5">
        <f>SQRT(SUM('r-pi-multi'!$D$3:D384)/COUNTIF($A$3:A384,"&lt;&gt;0"))</f>
        <v>77.415720091448392</v>
      </c>
    </row>
    <row r="385" spans="1:9">
      <c r="A385">
        <v>383</v>
      </c>
      <c r="B385">
        <v>3</v>
      </c>
      <c r="C385">
        <v>2600</v>
      </c>
      <c r="D385">
        <v>2635</v>
      </c>
      <c r="E385" s="4">
        <f t="shared" si="24"/>
        <v>1</v>
      </c>
      <c r="F385" s="4">
        <f t="shared" si="21"/>
        <v>35</v>
      </c>
      <c r="G385" s="4">
        <f t="shared" si="22"/>
        <v>1.812130177514793E-4</v>
      </c>
      <c r="H385" s="4">
        <f t="shared" si="23"/>
        <v>1225</v>
      </c>
      <c r="I385" s="5">
        <f>SQRT(SUM('r-pi-multi'!$D$3:D385)/COUNTIF($A$3:A385,"&lt;&gt;0"))</f>
        <v>77.359069199851177</v>
      </c>
    </row>
    <row r="386" spans="1:9">
      <c r="A386">
        <v>384</v>
      </c>
      <c r="B386">
        <v>3</v>
      </c>
      <c r="C386">
        <v>2600</v>
      </c>
      <c r="D386">
        <v>2627</v>
      </c>
      <c r="E386" s="4">
        <f t="shared" si="24"/>
        <v>1</v>
      </c>
      <c r="F386" s="4">
        <f t="shared" si="21"/>
        <v>27</v>
      </c>
      <c r="G386" s="4">
        <f t="shared" si="22"/>
        <v>1.0784023668639054E-4</v>
      </c>
      <c r="H386" s="4">
        <f t="shared" si="23"/>
        <v>729</v>
      </c>
      <c r="I386" s="5">
        <f>SQRT(SUM('r-pi-multi'!$D$3:D386)/COUNTIF($A$3:A386,"&lt;&gt;0"))</f>
        <v>77.302537420622016</v>
      </c>
    </row>
    <row r="387" spans="1:9">
      <c r="A387">
        <v>385</v>
      </c>
      <c r="B387">
        <v>3</v>
      </c>
      <c r="C387">
        <v>2600</v>
      </c>
      <c r="D387">
        <v>2560</v>
      </c>
      <c r="E387" s="4">
        <f t="shared" si="24"/>
        <v>1</v>
      </c>
      <c r="F387" s="4">
        <f t="shared" si="21"/>
        <v>40</v>
      </c>
      <c r="G387" s="4">
        <f t="shared" si="22"/>
        <v>2.366863905325444E-4</v>
      </c>
      <c r="H387" s="4">
        <f t="shared" si="23"/>
        <v>1600</v>
      </c>
      <c r="I387" s="5">
        <f>SQRT(SUM('r-pi-multi'!$D$3:D387)/COUNTIF($A$3:A387,"&lt;&gt;0"))</f>
        <v>77.245131818195432</v>
      </c>
    </row>
    <row r="388" spans="1:9">
      <c r="A388">
        <v>386</v>
      </c>
      <c r="B388">
        <v>3</v>
      </c>
      <c r="C388">
        <v>2600</v>
      </c>
      <c r="D388">
        <v>2541</v>
      </c>
      <c r="E388" s="4">
        <f t="shared" si="24"/>
        <v>1</v>
      </c>
      <c r="F388" s="4">
        <f t="shared" ref="F388:F451" si="25">ABS(C388-D388)</f>
        <v>59</v>
      </c>
      <c r="G388" s="4">
        <f t="shared" ref="G388:G451" si="26">POWER(ABS(C388-D388)/C388,2)</f>
        <v>5.1494082840236686E-4</v>
      </c>
      <c r="H388" s="4">
        <f t="shared" ref="H388:H451" si="27">POWER(F388,2)</f>
        <v>3481</v>
      </c>
      <c r="I388" s="5">
        <f>SQRT(SUM('r-pi-multi'!$D$3:D388)/COUNTIF($A$3:A388,"&lt;&gt;0"))</f>
        <v>77.187662441355357</v>
      </c>
    </row>
    <row r="389" spans="1:9">
      <c r="A389">
        <v>387</v>
      </c>
      <c r="B389">
        <v>3</v>
      </c>
      <c r="C389">
        <v>2600</v>
      </c>
      <c r="D389">
        <v>2590</v>
      </c>
      <c r="E389" s="4">
        <f t="shared" si="24"/>
        <v>1</v>
      </c>
      <c r="F389" s="4">
        <f t="shared" si="25"/>
        <v>10</v>
      </c>
      <c r="G389" s="4">
        <f t="shared" si="26"/>
        <v>1.4792899408284025E-5</v>
      </c>
      <c r="H389" s="4">
        <f t="shared" si="27"/>
        <v>100</v>
      </c>
      <c r="I389" s="5">
        <f>SQRT(SUM('r-pi-multi'!$D$3:D389)/COUNTIF($A$3:A389,"&lt;&gt;0"))</f>
        <v>77.131268355573766</v>
      </c>
    </row>
    <row r="390" spans="1:9">
      <c r="A390">
        <v>388</v>
      </c>
      <c r="B390">
        <v>3</v>
      </c>
      <c r="C390">
        <v>2600</v>
      </c>
      <c r="D390">
        <v>2599</v>
      </c>
      <c r="E390" s="4">
        <f t="shared" si="24"/>
        <v>1</v>
      </c>
      <c r="F390" s="4">
        <f t="shared" si="25"/>
        <v>1</v>
      </c>
      <c r="G390" s="4">
        <f t="shared" si="26"/>
        <v>1.4792899408284022E-7</v>
      </c>
      <c r="H390" s="4">
        <f t="shared" si="27"/>
        <v>1</v>
      </c>
      <c r="I390" s="5">
        <f>SQRT(SUM('r-pi-multi'!$D$3:D390)/COUNTIF($A$3:A390,"&lt;&gt;0"))</f>
        <v>77.075274492825073</v>
      </c>
    </row>
    <row r="391" spans="1:9">
      <c r="A391">
        <v>389</v>
      </c>
      <c r="B391">
        <v>3</v>
      </c>
      <c r="C391">
        <v>2600</v>
      </c>
      <c r="D391">
        <v>2557</v>
      </c>
      <c r="E391" s="4">
        <f t="shared" si="24"/>
        <v>1</v>
      </c>
      <c r="F391" s="4">
        <f t="shared" si="25"/>
        <v>43</v>
      </c>
      <c r="G391" s="4">
        <f t="shared" si="26"/>
        <v>2.7352071005917164E-4</v>
      </c>
      <c r="H391" s="4">
        <f t="shared" si="27"/>
        <v>1849</v>
      </c>
      <c r="I391" s="5">
        <f>SQRT(SUM('r-pi-multi'!$D$3:D391)/COUNTIF($A$3:A391,"&lt;&gt;0"))</f>
        <v>77.018827197839045</v>
      </c>
    </row>
    <row r="392" spans="1:9">
      <c r="A392">
        <v>390</v>
      </c>
      <c r="B392">
        <v>3</v>
      </c>
      <c r="C392">
        <v>2600</v>
      </c>
      <c r="D392">
        <v>2565</v>
      </c>
      <c r="E392" s="4">
        <f t="shared" si="24"/>
        <v>1</v>
      </c>
      <c r="F392" s="4">
        <f t="shared" si="25"/>
        <v>35</v>
      </c>
      <c r="G392" s="4">
        <f t="shared" si="26"/>
        <v>1.812130177514793E-4</v>
      </c>
      <c r="H392" s="4">
        <f t="shared" si="27"/>
        <v>1225</v>
      </c>
      <c r="I392" s="5">
        <f>SQRT(SUM('r-pi-multi'!$D$3:D392)/COUNTIF($A$3:A392,"&lt;&gt;0"))</f>
        <v>76.962761558215064</v>
      </c>
    </row>
    <row r="393" spans="1:9">
      <c r="A393">
        <v>391</v>
      </c>
      <c r="B393">
        <v>3</v>
      </c>
      <c r="C393">
        <v>2600</v>
      </c>
      <c r="D393">
        <v>2608</v>
      </c>
      <c r="E393" s="4">
        <f t="shared" si="24"/>
        <v>1</v>
      </c>
      <c r="F393" s="4">
        <f t="shared" si="25"/>
        <v>8</v>
      </c>
      <c r="G393" s="4">
        <f t="shared" si="26"/>
        <v>9.4674556213017744E-6</v>
      </c>
      <c r="H393" s="4">
        <f t="shared" si="27"/>
        <v>64</v>
      </c>
      <c r="I393" s="5">
        <f>SQRT(SUM('r-pi-multi'!$D$3:D393)/COUNTIF($A$3:A393,"&lt;&gt;0"))</f>
        <v>76.907657120635051</v>
      </c>
    </row>
    <row r="394" spans="1:9">
      <c r="A394">
        <v>392</v>
      </c>
      <c r="B394">
        <v>3</v>
      </c>
      <c r="C394">
        <v>2600</v>
      </c>
      <c r="D394">
        <v>2556</v>
      </c>
      <c r="E394" s="4">
        <f t="shared" si="24"/>
        <v>1</v>
      </c>
      <c r="F394" s="4">
        <f t="shared" si="25"/>
        <v>44</v>
      </c>
      <c r="G394" s="4">
        <f t="shared" si="26"/>
        <v>2.8639053254437869E-4</v>
      </c>
      <c r="H394" s="4">
        <f t="shared" si="27"/>
        <v>1936</v>
      </c>
      <c r="I394" s="5">
        <f>SQRT(SUM('r-pi-multi'!$D$3:D394)/COUNTIF($A$3:A394,"&lt;&gt;0"))</f>
        <v>76.851931581158723</v>
      </c>
    </row>
    <row r="395" spans="1:9">
      <c r="A395">
        <v>393</v>
      </c>
      <c r="B395">
        <v>3</v>
      </c>
      <c r="C395">
        <v>2600</v>
      </c>
      <c r="D395">
        <v>2581</v>
      </c>
      <c r="E395" s="4">
        <f t="shared" si="24"/>
        <v>1</v>
      </c>
      <c r="F395" s="4">
        <f t="shared" si="25"/>
        <v>19</v>
      </c>
      <c r="G395" s="4">
        <f t="shared" si="26"/>
        <v>5.3402366863905324E-5</v>
      </c>
      <c r="H395" s="4">
        <f t="shared" si="27"/>
        <v>361</v>
      </c>
      <c r="I395" s="5">
        <f>SQRT(SUM('r-pi-multi'!$D$3:D395)/COUNTIF($A$3:A395,"&lt;&gt;0"))</f>
        <v>76.79686367111681</v>
      </c>
    </row>
    <row r="396" spans="1:9">
      <c r="A396">
        <v>394</v>
      </c>
      <c r="B396">
        <v>3</v>
      </c>
      <c r="C396">
        <v>2600</v>
      </c>
      <c r="D396">
        <v>2627</v>
      </c>
      <c r="E396" s="4">
        <f t="shared" si="24"/>
        <v>1</v>
      </c>
      <c r="F396" s="4">
        <f t="shared" si="25"/>
        <v>27</v>
      </c>
      <c r="G396" s="4">
        <f t="shared" si="26"/>
        <v>1.0784023668639054E-4</v>
      </c>
      <c r="H396" s="4">
        <f t="shared" si="27"/>
        <v>729</v>
      </c>
      <c r="I396" s="5">
        <f>SQRT(SUM('r-pi-multi'!$D$3:D396)/COUNTIF($A$3:A396,"&lt;&gt;0"))</f>
        <v>76.742796748567088</v>
      </c>
    </row>
    <row r="397" spans="1:9">
      <c r="A397">
        <v>395</v>
      </c>
      <c r="B397">
        <v>3</v>
      </c>
      <c r="C397">
        <v>2600</v>
      </c>
      <c r="D397">
        <v>2602</v>
      </c>
      <c r="E397" s="4">
        <f t="shared" si="24"/>
        <v>1</v>
      </c>
      <c r="F397" s="4">
        <f t="shared" si="25"/>
        <v>2</v>
      </c>
      <c r="G397" s="4">
        <f t="shared" si="26"/>
        <v>5.917159763313609E-7</v>
      </c>
      <c r="H397" s="4">
        <f t="shared" si="27"/>
        <v>4</v>
      </c>
      <c r="I397" s="5">
        <f>SQRT(SUM('r-pi-multi'!$D$3:D397)/COUNTIF($A$3:A397,"&lt;&gt;0"))</f>
        <v>76.688553104196657</v>
      </c>
    </row>
    <row r="398" spans="1:9">
      <c r="A398">
        <v>396</v>
      </c>
      <c r="B398">
        <v>3</v>
      </c>
      <c r="C398">
        <v>2600</v>
      </c>
      <c r="D398">
        <v>2555</v>
      </c>
      <c r="E398" s="4">
        <f t="shared" si="24"/>
        <v>1</v>
      </c>
      <c r="F398" s="4">
        <f t="shared" si="25"/>
        <v>45</v>
      </c>
      <c r="G398" s="4">
        <f t="shared" si="26"/>
        <v>2.9955621301775153E-4</v>
      </c>
      <c r="H398" s="4">
        <f t="shared" si="27"/>
        <v>2025</v>
      </c>
      <c r="I398" s="5">
        <f>SQRT(SUM('r-pi-multi'!$D$3:D398)/COUNTIF($A$3:A398,"&lt;&gt;0"))</f>
        <v>76.633770940003004</v>
      </c>
    </row>
    <row r="399" spans="1:9">
      <c r="A399">
        <v>397</v>
      </c>
      <c r="B399">
        <v>3</v>
      </c>
      <c r="C399">
        <v>2600</v>
      </c>
      <c r="D399">
        <v>2625</v>
      </c>
      <c r="E399" s="4">
        <f t="shared" si="24"/>
        <v>1</v>
      </c>
      <c r="F399" s="4">
        <f t="shared" si="25"/>
        <v>25</v>
      </c>
      <c r="G399" s="4">
        <f t="shared" si="26"/>
        <v>9.2455621301775159E-5</v>
      </c>
      <c r="H399" s="4">
        <f t="shared" si="27"/>
        <v>625</v>
      </c>
      <c r="I399" s="5">
        <f>SQRT(SUM('r-pi-multi'!$D$3:D399)/COUNTIF($A$3:A399,"&lt;&gt;0"))</f>
        <v>76.580377096037367</v>
      </c>
    </row>
    <row r="400" spans="1:9">
      <c r="A400">
        <v>398</v>
      </c>
      <c r="B400">
        <v>3</v>
      </c>
      <c r="C400">
        <v>2600</v>
      </c>
      <c r="D400">
        <v>2537</v>
      </c>
      <c r="E400" s="4">
        <f t="shared" si="24"/>
        <v>1</v>
      </c>
      <c r="F400" s="4">
        <f t="shared" si="25"/>
        <v>63</v>
      </c>
      <c r="G400" s="4">
        <f t="shared" si="26"/>
        <v>5.8713017751479285E-4</v>
      </c>
      <c r="H400" s="4">
        <f t="shared" si="27"/>
        <v>3969</v>
      </c>
      <c r="I400" s="5">
        <f>SQRT(SUM('r-pi-multi'!$D$3:D400)/COUNTIF($A$3:A400,"&lt;&gt;0"))</f>
        <v>76.525769955856589</v>
      </c>
    </row>
    <row r="401" spans="1:9">
      <c r="A401">
        <v>399</v>
      </c>
      <c r="B401">
        <v>3</v>
      </c>
      <c r="C401">
        <v>2600</v>
      </c>
      <c r="D401">
        <v>2588</v>
      </c>
      <c r="E401" s="4">
        <f t="shared" si="24"/>
        <v>1</v>
      </c>
      <c r="F401" s="4">
        <f t="shared" si="25"/>
        <v>12</v>
      </c>
      <c r="G401" s="4">
        <f t="shared" si="26"/>
        <v>2.1301775147928997E-5</v>
      </c>
      <c r="H401" s="4">
        <f t="shared" si="27"/>
        <v>144</v>
      </c>
      <c r="I401" s="5">
        <f>SQRT(SUM('r-pi-multi'!$D$3:D401)/COUNTIF($A$3:A401,"&lt;&gt;0"))</f>
        <v>76.47223356399148</v>
      </c>
    </row>
    <row r="402" spans="1:9">
      <c r="A402">
        <v>400</v>
      </c>
      <c r="B402">
        <v>3</v>
      </c>
      <c r="C402">
        <v>2600</v>
      </c>
      <c r="D402">
        <v>2548</v>
      </c>
      <c r="E402" s="4">
        <f t="shared" si="24"/>
        <v>1</v>
      </c>
      <c r="F402" s="4">
        <f t="shared" si="25"/>
        <v>52</v>
      </c>
      <c r="G402" s="4">
        <f t="shared" si="26"/>
        <v>4.0000000000000002E-4</v>
      </c>
      <c r="H402" s="4">
        <f t="shared" si="27"/>
        <v>2704</v>
      </c>
      <c r="I402" s="5">
        <f>SQRT(SUM('r-pi-multi'!$D$3:D402)/COUNTIF($A$3:A402,"&lt;&gt;0"))</f>
        <v>76.418273338253329</v>
      </c>
    </row>
    <row r="403" spans="1:9">
      <c r="A403">
        <v>401</v>
      </c>
      <c r="B403">
        <v>3</v>
      </c>
      <c r="C403">
        <v>2600</v>
      </c>
      <c r="D403">
        <v>2640</v>
      </c>
      <c r="E403" s="4">
        <f t="shared" si="24"/>
        <v>1</v>
      </c>
      <c r="F403" s="4">
        <f t="shared" si="25"/>
        <v>40</v>
      </c>
      <c r="G403" s="4">
        <f t="shared" si="26"/>
        <v>2.366863905325444E-4</v>
      </c>
      <c r="H403" s="4">
        <f t="shared" si="27"/>
        <v>1600</v>
      </c>
      <c r="I403" s="5">
        <f>SQRT(SUM('r-pi-multi'!$D$3:D403)/COUNTIF($A$3:A403,"&lt;&gt;0"))</f>
        <v>76.366046560835343</v>
      </c>
    </row>
    <row r="404" spans="1:9">
      <c r="A404">
        <v>402</v>
      </c>
      <c r="B404">
        <v>3</v>
      </c>
      <c r="C404">
        <v>2600</v>
      </c>
      <c r="D404">
        <v>2580</v>
      </c>
      <c r="E404" s="4">
        <f t="shared" si="24"/>
        <v>1</v>
      </c>
      <c r="F404" s="4">
        <f t="shared" si="25"/>
        <v>20</v>
      </c>
      <c r="G404" s="4">
        <f t="shared" si="26"/>
        <v>5.9171597633136101E-5</v>
      </c>
      <c r="H404" s="4">
        <f t="shared" si="27"/>
        <v>400</v>
      </c>
      <c r="I404" s="5">
        <f>SQRT(SUM('r-pi-multi'!$D$3:D404)/COUNTIF($A$3:A404,"&lt;&gt;0"))</f>
        <v>76.313066244267702</v>
      </c>
    </row>
    <row r="405" spans="1:9">
      <c r="A405">
        <v>403</v>
      </c>
      <c r="B405">
        <v>3</v>
      </c>
      <c r="C405">
        <v>2600</v>
      </c>
      <c r="D405">
        <v>2603</v>
      </c>
      <c r="E405" s="4">
        <f t="shared" si="24"/>
        <v>1</v>
      </c>
      <c r="F405" s="4">
        <f t="shared" si="25"/>
        <v>3</v>
      </c>
      <c r="G405" s="4">
        <f t="shared" si="26"/>
        <v>1.3313609467455623E-6</v>
      </c>
      <c r="H405" s="4">
        <f t="shared" si="27"/>
        <v>9</v>
      </c>
      <c r="I405" s="5">
        <f>SQRT(SUM('r-pi-multi'!$D$3:D405)/COUNTIF($A$3:A405,"&lt;&gt;0"))</f>
        <v>76.260686514693191</v>
      </c>
    </row>
    <row r="406" spans="1:9">
      <c r="A406">
        <v>404</v>
      </c>
      <c r="B406">
        <v>3</v>
      </c>
      <c r="C406">
        <v>2600</v>
      </c>
      <c r="D406">
        <v>2557</v>
      </c>
      <c r="E406" s="4">
        <f t="shared" si="24"/>
        <v>1</v>
      </c>
      <c r="F406" s="4">
        <f t="shared" si="25"/>
        <v>43</v>
      </c>
      <c r="G406" s="4">
        <f t="shared" si="26"/>
        <v>2.7352071005917164E-4</v>
      </c>
      <c r="H406" s="4">
        <f t="shared" si="27"/>
        <v>1849</v>
      </c>
      <c r="I406" s="5">
        <f>SQRT(SUM('r-pi-multi'!$D$3:D406)/COUNTIF($A$3:A406,"&lt;&gt;0"))</f>
        <v>76.207783313935607</v>
      </c>
    </row>
    <row r="407" spans="1:9">
      <c r="A407">
        <v>405</v>
      </c>
      <c r="B407">
        <v>3</v>
      </c>
      <c r="C407">
        <v>2600</v>
      </c>
      <c r="D407">
        <v>2546</v>
      </c>
      <c r="E407" s="4">
        <f t="shared" si="24"/>
        <v>1</v>
      </c>
      <c r="F407" s="4">
        <f t="shared" si="25"/>
        <v>54</v>
      </c>
      <c r="G407" s="4">
        <f t="shared" si="26"/>
        <v>4.3136094674556215E-4</v>
      </c>
      <c r="H407" s="4">
        <f t="shared" si="27"/>
        <v>2916</v>
      </c>
      <c r="I407" s="5">
        <f>SQRT(SUM('r-pi-multi'!$D$3:D407)/COUNTIF($A$3:A407,"&lt;&gt;0"))</f>
        <v>76.154926560966317</v>
      </c>
    </row>
    <row r="408" spans="1:9">
      <c r="A408">
        <v>406</v>
      </c>
      <c r="B408">
        <v>3</v>
      </c>
      <c r="C408">
        <v>2600</v>
      </c>
      <c r="D408">
        <v>2628</v>
      </c>
      <c r="E408" s="4">
        <f t="shared" si="24"/>
        <v>1</v>
      </c>
      <c r="F408" s="4">
        <f t="shared" si="25"/>
        <v>28</v>
      </c>
      <c r="G408" s="4">
        <f t="shared" si="26"/>
        <v>1.1597633136094674E-4</v>
      </c>
      <c r="H408" s="4">
        <f t="shared" si="27"/>
        <v>784</v>
      </c>
      <c r="I408" s="5">
        <f>SQRT(SUM('r-pi-multi'!$D$3:D408)/COUNTIF($A$3:A408,"&lt;&gt;0"))</f>
        <v>76.103620700620041</v>
      </c>
    </row>
    <row r="409" spans="1:9">
      <c r="A409">
        <v>407</v>
      </c>
      <c r="B409">
        <v>3</v>
      </c>
      <c r="C409">
        <v>2600</v>
      </c>
      <c r="D409">
        <v>2647</v>
      </c>
      <c r="E409" s="4">
        <f t="shared" ref="E409:E472" si="28">IF(AND(D409&lt;=C409*1.2,D409&gt;=C409*0.8),1,0)</f>
        <v>1</v>
      </c>
      <c r="F409" s="4">
        <f t="shared" si="25"/>
        <v>47</v>
      </c>
      <c r="G409" s="4">
        <f t="shared" si="26"/>
        <v>3.267751479289941E-4</v>
      </c>
      <c r="H409" s="4">
        <f t="shared" si="27"/>
        <v>2209</v>
      </c>
      <c r="I409" s="5">
        <f>SQRT(SUM('r-pi-multi'!$D$3:D409)/COUNTIF($A$3:A409,"&lt;&gt;0"))</f>
        <v>76.052839513291005</v>
      </c>
    </row>
    <row r="410" spans="1:9">
      <c r="A410">
        <v>408</v>
      </c>
      <c r="B410">
        <v>3</v>
      </c>
      <c r="C410">
        <v>2600</v>
      </c>
      <c r="D410">
        <v>2568</v>
      </c>
      <c r="E410" s="4">
        <f t="shared" si="28"/>
        <v>1</v>
      </c>
      <c r="F410" s="4">
        <f t="shared" si="25"/>
        <v>32</v>
      </c>
      <c r="G410" s="4">
        <f t="shared" si="26"/>
        <v>1.5147928994082839E-4</v>
      </c>
      <c r="H410" s="4">
        <f t="shared" si="27"/>
        <v>1024</v>
      </c>
      <c r="I410" s="5">
        <f>SQRT(SUM('r-pi-multi'!$D$3:D410)/COUNTIF($A$3:A410,"&lt;&gt;0"))</f>
        <v>76.000999735426603</v>
      </c>
    </row>
    <row r="411" spans="1:9">
      <c r="A411">
        <v>409</v>
      </c>
      <c r="B411">
        <v>3</v>
      </c>
      <c r="C411">
        <v>2600</v>
      </c>
      <c r="D411">
        <v>2523</v>
      </c>
      <c r="E411" s="4">
        <f t="shared" si="28"/>
        <v>1</v>
      </c>
      <c r="F411" s="4">
        <f t="shared" si="25"/>
        <v>77</v>
      </c>
      <c r="G411" s="4">
        <f t="shared" si="26"/>
        <v>8.7707100591715977E-4</v>
      </c>
      <c r="H411" s="4">
        <f t="shared" si="27"/>
        <v>5929</v>
      </c>
      <c r="I411" s="5">
        <f>SQRT(SUM('r-pi-multi'!$D$3:D411)/COUNTIF($A$3:A411,"&lt;&gt;0"))</f>
        <v>75.948653997353887</v>
      </c>
    </row>
    <row r="412" spans="1:9">
      <c r="A412">
        <v>410</v>
      </c>
      <c r="B412">
        <v>3</v>
      </c>
      <c r="C412">
        <v>2600</v>
      </c>
      <c r="D412">
        <v>2574</v>
      </c>
      <c r="E412" s="4">
        <f t="shared" si="28"/>
        <v>1</v>
      </c>
      <c r="F412" s="4">
        <f t="shared" si="25"/>
        <v>26</v>
      </c>
      <c r="G412" s="4">
        <f t="shared" si="26"/>
        <v>1E-4</v>
      </c>
      <c r="H412" s="4">
        <f t="shared" si="27"/>
        <v>676</v>
      </c>
      <c r="I412" s="5">
        <f>SQRT(SUM('r-pi-multi'!$D$3:D412)/COUNTIF($A$3:A412,"&lt;&gt;0"))</f>
        <v>75.897347233438737</v>
      </c>
    </row>
    <row r="413" spans="1:9">
      <c r="A413">
        <v>411</v>
      </c>
      <c r="B413">
        <v>3</v>
      </c>
      <c r="C413">
        <v>2600</v>
      </c>
      <c r="D413">
        <v>2577</v>
      </c>
      <c r="E413" s="4">
        <f t="shared" si="28"/>
        <v>1</v>
      </c>
      <c r="F413" s="4">
        <f t="shared" si="25"/>
        <v>23</v>
      </c>
      <c r="G413" s="4">
        <f t="shared" si="26"/>
        <v>7.8254437869822472E-5</v>
      </c>
      <c r="H413" s="4">
        <f t="shared" si="27"/>
        <v>529</v>
      </c>
      <c r="I413" s="5">
        <f>SQRT(SUM('r-pi-multi'!$D$3:D413)/COUNTIF($A$3:A413,"&lt;&gt;0"))</f>
        <v>75.846303802404364</v>
      </c>
    </row>
    <row r="414" spans="1:9">
      <c r="A414">
        <v>412</v>
      </c>
      <c r="B414">
        <v>3</v>
      </c>
      <c r="C414">
        <v>2600</v>
      </c>
      <c r="D414">
        <v>2545</v>
      </c>
      <c r="E414" s="4">
        <f t="shared" si="28"/>
        <v>1</v>
      </c>
      <c r="F414" s="4">
        <f t="shared" si="25"/>
        <v>55</v>
      </c>
      <c r="G414" s="4">
        <f t="shared" si="26"/>
        <v>4.4748520710059179E-4</v>
      </c>
      <c r="H414" s="4">
        <f t="shared" si="27"/>
        <v>3025</v>
      </c>
      <c r="I414" s="5">
        <f>SQRT(SUM('r-pi-multi'!$D$3:D414)/COUNTIF($A$3:A414,"&lt;&gt;0"))</f>
        <v>75.79496166363721</v>
      </c>
    </row>
    <row r="415" spans="1:9">
      <c r="A415">
        <v>413</v>
      </c>
      <c r="B415">
        <v>3</v>
      </c>
      <c r="C415">
        <v>2600</v>
      </c>
      <c r="D415">
        <v>2545</v>
      </c>
      <c r="E415" s="4">
        <f t="shared" si="28"/>
        <v>1</v>
      </c>
      <c r="F415" s="4">
        <f t="shared" si="25"/>
        <v>55</v>
      </c>
      <c r="G415" s="4">
        <f t="shared" si="26"/>
        <v>4.4748520710059179E-4</v>
      </c>
      <c r="H415" s="4">
        <f t="shared" si="27"/>
        <v>3025</v>
      </c>
      <c r="I415" s="5">
        <f>SQRT(SUM('r-pi-multi'!$D$3:D415)/COUNTIF($A$3:A415,"&lt;&gt;0"))</f>
        <v>75.743833605765033</v>
      </c>
    </row>
    <row r="416" spans="1:9">
      <c r="A416">
        <v>414</v>
      </c>
      <c r="B416">
        <v>3</v>
      </c>
      <c r="C416">
        <v>2600</v>
      </c>
      <c r="D416">
        <v>2589</v>
      </c>
      <c r="E416" s="4">
        <f t="shared" si="28"/>
        <v>1</v>
      </c>
      <c r="F416" s="4">
        <f t="shared" si="25"/>
        <v>11</v>
      </c>
      <c r="G416" s="4">
        <f t="shared" si="26"/>
        <v>1.7899408284023668E-5</v>
      </c>
      <c r="H416" s="4">
        <f t="shared" si="27"/>
        <v>121</v>
      </c>
      <c r="I416" s="5">
        <f>SQRT(SUM('r-pi-multi'!$D$3:D416)/COUNTIF($A$3:A416,"&lt;&gt;0"))</f>
        <v>75.693620303096694</v>
      </c>
    </row>
    <row r="417" spans="1:9">
      <c r="A417">
        <v>415</v>
      </c>
      <c r="B417">
        <v>3</v>
      </c>
      <c r="C417">
        <v>2600</v>
      </c>
      <c r="D417">
        <v>2477</v>
      </c>
      <c r="E417" s="4">
        <f t="shared" si="28"/>
        <v>1</v>
      </c>
      <c r="F417" s="4">
        <f t="shared" si="25"/>
        <v>123</v>
      </c>
      <c r="G417" s="4">
        <f t="shared" si="26"/>
        <v>2.23801775147929E-3</v>
      </c>
      <c r="H417" s="4">
        <f t="shared" si="27"/>
        <v>15129</v>
      </c>
      <c r="I417" s="5">
        <f>SQRT(SUM('r-pi-multi'!$D$3:D417)/COUNTIF($A$3:A417,"&lt;&gt;0"))</f>
        <v>75.641831991219988</v>
      </c>
    </row>
    <row r="418" spans="1:9">
      <c r="A418">
        <v>416</v>
      </c>
      <c r="B418">
        <v>3</v>
      </c>
      <c r="C418">
        <v>2600</v>
      </c>
      <c r="D418">
        <v>2318</v>
      </c>
      <c r="E418" s="4">
        <f t="shared" si="28"/>
        <v>1</v>
      </c>
      <c r="F418" s="4">
        <f t="shared" si="25"/>
        <v>282</v>
      </c>
      <c r="G418" s="4">
        <f t="shared" si="26"/>
        <v>1.1763905325443786E-2</v>
      </c>
      <c r="H418" s="4">
        <f t="shared" si="27"/>
        <v>79524</v>
      </c>
      <c r="I418" s="5">
        <f>SQRT(SUM('r-pi-multi'!$D$3:D418)/COUNTIF($A$3:A418,"&lt;&gt;0"))</f>
        <v>75.587729213757356</v>
      </c>
    </row>
    <row r="419" spans="1:9">
      <c r="A419">
        <v>417</v>
      </c>
      <c r="B419">
        <v>4</v>
      </c>
      <c r="C419">
        <v>2600</v>
      </c>
      <c r="D419">
        <v>4085</v>
      </c>
      <c r="E419" s="4">
        <f t="shared" si="28"/>
        <v>0</v>
      </c>
      <c r="F419" s="4">
        <f t="shared" si="25"/>
        <v>1485</v>
      </c>
      <c r="G419" s="4">
        <f t="shared" si="26"/>
        <v>0.32621671597633134</v>
      </c>
      <c r="H419" s="4">
        <f t="shared" si="27"/>
        <v>2205225</v>
      </c>
      <c r="I419" s="5">
        <f>SQRT(SUM('r-pi-multi'!$D$3:D419)/COUNTIF($A$3:A419,"&lt;&gt;0"))</f>
        <v>75.561891985204369</v>
      </c>
    </row>
    <row r="420" spans="1:9">
      <c r="A420">
        <v>418</v>
      </c>
      <c r="B420">
        <v>3</v>
      </c>
      <c r="C420">
        <v>2600</v>
      </c>
      <c r="D420">
        <v>2469</v>
      </c>
      <c r="E420" s="4">
        <f t="shared" si="28"/>
        <v>1</v>
      </c>
      <c r="F420" s="4">
        <f t="shared" si="25"/>
        <v>131</v>
      </c>
      <c r="G420" s="4">
        <f t="shared" si="26"/>
        <v>2.5386094674556209E-3</v>
      </c>
      <c r="H420" s="4">
        <f t="shared" si="27"/>
        <v>17161</v>
      </c>
      <c r="I420" s="5">
        <f>SQRT(SUM('r-pi-multi'!$D$3:D420)/COUNTIF($A$3:A420,"&lt;&gt;0"))</f>
        <v>75.510574689590015</v>
      </c>
    </row>
    <row r="421" spans="1:9">
      <c r="A421">
        <v>419</v>
      </c>
      <c r="B421">
        <v>3</v>
      </c>
      <c r="C421">
        <v>2600</v>
      </c>
      <c r="D421">
        <v>2570</v>
      </c>
      <c r="E421" s="4">
        <f t="shared" si="28"/>
        <v>1</v>
      </c>
      <c r="F421" s="4">
        <f t="shared" si="25"/>
        <v>30</v>
      </c>
      <c r="G421" s="4">
        <f t="shared" si="26"/>
        <v>1.3313609467455623E-4</v>
      </c>
      <c r="H421" s="4">
        <f t="shared" si="27"/>
        <v>900</v>
      </c>
      <c r="I421" s="5">
        <f>SQRT(SUM('r-pi-multi'!$D$3:D421)/COUNTIF($A$3:A421,"&lt;&gt;0"))</f>
        <v>75.461064894658094</v>
      </c>
    </row>
    <row r="422" spans="1:9">
      <c r="A422">
        <v>420</v>
      </c>
      <c r="B422">
        <v>3</v>
      </c>
      <c r="C422">
        <v>2600</v>
      </c>
      <c r="D422">
        <v>2575</v>
      </c>
      <c r="E422" s="4">
        <f t="shared" si="28"/>
        <v>1</v>
      </c>
      <c r="F422" s="4">
        <f t="shared" si="25"/>
        <v>25</v>
      </c>
      <c r="G422" s="4">
        <f t="shared" si="26"/>
        <v>9.2455621301775159E-5</v>
      </c>
      <c r="H422" s="4">
        <f t="shared" si="27"/>
        <v>625</v>
      </c>
      <c r="I422" s="5">
        <f>SQRT(SUM('r-pi-multi'!$D$3:D422)/COUNTIF($A$3:A422,"&lt;&gt;0"))</f>
        <v>75.411837519684127</v>
      </c>
    </row>
    <row r="423" spans="1:9">
      <c r="A423">
        <v>421</v>
      </c>
      <c r="B423">
        <v>3</v>
      </c>
      <c r="C423">
        <v>2600</v>
      </c>
      <c r="D423">
        <v>2560</v>
      </c>
      <c r="E423" s="4">
        <f t="shared" si="28"/>
        <v>1</v>
      </c>
      <c r="F423" s="4">
        <f t="shared" si="25"/>
        <v>40</v>
      </c>
      <c r="G423" s="4">
        <f t="shared" si="26"/>
        <v>2.366863905325444E-4</v>
      </c>
      <c r="H423" s="4">
        <f t="shared" si="27"/>
        <v>1600</v>
      </c>
      <c r="I423" s="5">
        <f>SQRT(SUM('r-pi-multi'!$D$3:D423)/COUNTIF($A$3:A423,"&lt;&gt;0"))</f>
        <v>75.362575690636007</v>
      </c>
    </row>
    <row r="424" spans="1:9">
      <c r="A424">
        <v>422</v>
      </c>
      <c r="B424">
        <v>3</v>
      </c>
      <c r="C424">
        <v>2600</v>
      </c>
      <c r="D424">
        <v>2505</v>
      </c>
      <c r="E424" s="4">
        <f t="shared" si="28"/>
        <v>1</v>
      </c>
      <c r="F424" s="4">
        <f t="shared" si="25"/>
        <v>95</v>
      </c>
      <c r="G424" s="4">
        <f t="shared" si="26"/>
        <v>1.3350591715976332E-3</v>
      </c>
      <c r="H424" s="4">
        <f t="shared" si="27"/>
        <v>9025</v>
      </c>
      <c r="I424" s="5">
        <f>SQRT(SUM('r-pi-multi'!$D$3:D424)/COUNTIF($A$3:A424,"&lt;&gt;0"))</f>
        <v>75.312650070645546</v>
      </c>
    </row>
    <row r="425" spans="1:9">
      <c r="A425">
        <v>423</v>
      </c>
      <c r="B425">
        <v>3</v>
      </c>
      <c r="C425">
        <v>2600</v>
      </c>
      <c r="D425">
        <v>2569</v>
      </c>
      <c r="E425" s="4">
        <f t="shared" si="28"/>
        <v>1</v>
      </c>
      <c r="F425" s="4">
        <f t="shared" si="25"/>
        <v>31</v>
      </c>
      <c r="G425" s="4">
        <f t="shared" si="26"/>
        <v>1.4215976331360947E-4</v>
      </c>
      <c r="H425" s="4">
        <f t="shared" si="27"/>
        <v>961</v>
      </c>
      <c r="I425" s="5">
        <f>SQRT(SUM('r-pi-multi'!$D$3:D425)/COUNTIF($A$3:A425,"&lt;&gt;0"))</f>
        <v>75.263932759776011</v>
      </c>
    </row>
    <row r="426" spans="1:9">
      <c r="A426">
        <v>424</v>
      </c>
      <c r="B426">
        <v>3</v>
      </c>
      <c r="C426">
        <v>2600</v>
      </c>
      <c r="D426">
        <v>2557</v>
      </c>
      <c r="E426" s="4">
        <f t="shared" si="28"/>
        <v>1</v>
      </c>
      <c r="F426" s="4">
        <f t="shared" si="25"/>
        <v>43</v>
      </c>
      <c r="G426" s="4">
        <f t="shared" si="26"/>
        <v>2.7352071005917164E-4</v>
      </c>
      <c r="H426" s="4">
        <f t="shared" si="27"/>
        <v>1849</v>
      </c>
      <c r="I426" s="5">
        <f>SQRT(SUM('r-pi-multi'!$D$3:D426)/COUNTIF($A$3:A426,"&lt;&gt;0"))</f>
        <v>75.215225776961177</v>
      </c>
    </row>
    <row r="427" spans="1:9">
      <c r="A427">
        <v>425</v>
      </c>
      <c r="B427">
        <v>3</v>
      </c>
      <c r="C427">
        <v>2600</v>
      </c>
      <c r="D427">
        <v>2577</v>
      </c>
      <c r="E427" s="4">
        <f t="shared" si="28"/>
        <v>1</v>
      </c>
      <c r="F427" s="4">
        <f t="shared" si="25"/>
        <v>23</v>
      </c>
      <c r="G427" s="4">
        <f t="shared" si="26"/>
        <v>7.8254437869822472E-5</v>
      </c>
      <c r="H427" s="4">
        <f t="shared" si="27"/>
        <v>529</v>
      </c>
      <c r="I427" s="5">
        <f>SQRT(SUM('r-pi-multi'!$D$3:D427)/COUNTIF($A$3:A427,"&lt;&gt;0"))</f>
        <v>75.167029693484466</v>
      </c>
    </row>
    <row r="428" spans="1:9">
      <c r="A428">
        <v>426</v>
      </c>
      <c r="B428">
        <v>3</v>
      </c>
      <c r="C428">
        <v>2600</v>
      </c>
      <c r="D428">
        <v>2573</v>
      </c>
      <c r="E428" s="4">
        <f t="shared" si="28"/>
        <v>1</v>
      </c>
      <c r="F428" s="4">
        <f t="shared" si="25"/>
        <v>27</v>
      </c>
      <c r="G428" s="4">
        <f t="shared" si="26"/>
        <v>1.0784023668639054E-4</v>
      </c>
      <c r="H428" s="4">
        <f t="shared" si="27"/>
        <v>729</v>
      </c>
      <c r="I428" s="5">
        <f>SQRT(SUM('r-pi-multi'!$D$3:D428)/COUNTIF($A$3:A428,"&lt;&gt;0"))</f>
        <v>75.118966679059</v>
      </c>
    </row>
    <row r="429" spans="1:9">
      <c r="A429">
        <v>427</v>
      </c>
      <c r="B429">
        <v>3</v>
      </c>
      <c r="C429">
        <v>2600</v>
      </c>
      <c r="D429">
        <v>2579</v>
      </c>
      <c r="E429" s="4">
        <f t="shared" si="28"/>
        <v>1</v>
      </c>
      <c r="F429" s="4">
        <f t="shared" si="25"/>
        <v>21</v>
      </c>
      <c r="G429" s="4">
        <f t="shared" si="26"/>
        <v>6.5236686390532543E-5</v>
      </c>
      <c r="H429" s="4">
        <f t="shared" si="27"/>
        <v>441</v>
      </c>
      <c r="I429" s="5">
        <f>SQRT(SUM('r-pi-multi'!$D$3:D429)/COUNTIF($A$3:A429,"&lt;&gt;0"))</f>
        <v>75.071191816497858</v>
      </c>
    </row>
    <row r="430" spans="1:9">
      <c r="A430">
        <v>428</v>
      </c>
      <c r="B430">
        <v>3</v>
      </c>
      <c r="C430">
        <v>2600</v>
      </c>
      <c r="D430">
        <v>2549</v>
      </c>
      <c r="E430" s="4">
        <f t="shared" si="28"/>
        <v>1</v>
      </c>
      <c r="F430" s="4">
        <f t="shared" si="25"/>
        <v>51</v>
      </c>
      <c r="G430" s="4">
        <f t="shared" si="26"/>
        <v>3.8476331360946743E-4</v>
      </c>
      <c r="H430" s="4">
        <f t="shared" si="27"/>
        <v>2601</v>
      </c>
      <c r="I430" s="5">
        <f>SQRT(SUM('r-pi-multi'!$D$3:D430)/COUNTIF($A$3:A430,"&lt;&gt;0"))</f>
        <v>75.023142846836421</v>
      </c>
    </row>
    <row r="431" spans="1:9">
      <c r="A431">
        <v>429</v>
      </c>
      <c r="B431">
        <v>3</v>
      </c>
      <c r="C431">
        <v>2600</v>
      </c>
      <c r="D431">
        <v>2566</v>
      </c>
      <c r="E431" s="4">
        <f t="shared" si="28"/>
        <v>1</v>
      </c>
      <c r="F431" s="4">
        <f t="shared" si="25"/>
        <v>34</v>
      </c>
      <c r="G431" s="4">
        <f t="shared" si="26"/>
        <v>1.7100591715976329E-4</v>
      </c>
      <c r="H431" s="4">
        <f t="shared" si="27"/>
        <v>1156</v>
      </c>
      <c r="I431" s="5">
        <f>SQRT(SUM('r-pi-multi'!$D$3:D431)/COUNTIF($A$3:A431,"&lt;&gt;0"))</f>
        <v>74.975551570717585</v>
      </c>
    </row>
    <row r="432" spans="1:9">
      <c r="A432">
        <v>430</v>
      </c>
      <c r="B432">
        <v>3</v>
      </c>
      <c r="C432">
        <v>2600</v>
      </c>
      <c r="D432">
        <v>2492</v>
      </c>
      <c r="E432" s="4">
        <f t="shared" si="28"/>
        <v>1</v>
      </c>
      <c r="F432" s="4">
        <f t="shared" si="25"/>
        <v>108</v>
      </c>
      <c r="G432" s="4">
        <f t="shared" si="26"/>
        <v>1.7254437869822486E-3</v>
      </c>
      <c r="H432" s="4">
        <f t="shared" si="27"/>
        <v>11664</v>
      </c>
      <c r="I432" s="5">
        <f>SQRT(SUM('r-pi-multi'!$D$3:D432)/COUNTIF($A$3:A432,"&lt;&gt;0"))</f>
        <v>74.927003236173064</v>
      </c>
    </row>
    <row r="433" spans="1:9">
      <c r="A433">
        <v>431</v>
      </c>
      <c r="B433">
        <v>3</v>
      </c>
      <c r="C433">
        <v>2600</v>
      </c>
      <c r="D433">
        <v>2607</v>
      </c>
      <c r="E433" s="4">
        <f t="shared" si="28"/>
        <v>1</v>
      </c>
      <c r="F433" s="4">
        <f t="shared" si="25"/>
        <v>7</v>
      </c>
      <c r="G433" s="4">
        <f t="shared" si="26"/>
        <v>7.2485207100591713E-6</v>
      </c>
      <c r="H433" s="4">
        <f t="shared" si="27"/>
        <v>49</v>
      </c>
      <c r="I433" s="5">
        <f>SQRT(SUM('r-pi-multi'!$D$3:D433)/COUNTIF($A$3:A433,"&lt;&gt;0"))</f>
        <v>74.880430596457614</v>
      </c>
    </row>
    <row r="434" spans="1:9">
      <c r="A434">
        <v>432</v>
      </c>
      <c r="B434">
        <v>3</v>
      </c>
      <c r="C434">
        <v>2600</v>
      </c>
      <c r="D434">
        <v>2601</v>
      </c>
      <c r="E434" s="4">
        <f t="shared" si="28"/>
        <v>1</v>
      </c>
      <c r="F434" s="4">
        <f t="shared" si="25"/>
        <v>1</v>
      </c>
      <c r="G434" s="4">
        <f t="shared" si="26"/>
        <v>1.4792899408284022E-7</v>
      </c>
      <c r="H434" s="4">
        <f t="shared" si="27"/>
        <v>1</v>
      </c>
      <c r="I434" s="5">
        <f>SQRT(SUM('r-pi-multi'!$D$3:D434)/COUNTIF($A$3:A434,"&lt;&gt;0"))</f>
        <v>74.833951989523911</v>
      </c>
    </row>
    <row r="435" spans="1:9">
      <c r="A435">
        <v>433</v>
      </c>
      <c r="B435">
        <v>3</v>
      </c>
      <c r="C435">
        <v>2600</v>
      </c>
      <c r="D435">
        <v>2430</v>
      </c>
      <c r="E435" s="4">
        <f t="shared" si="28"/>
        <v>1</v>
      </c>
      <c r="F435" s="4">
        <f t="shared" si="25"/>
        <v>170</v>
      </c>
      <c r="G435" s="4">
        <f t="shared" si="26"/>
        <v>4.275147928994083E-3</v>
      </c>
      <c r="H435" s="4">
        <f t="shared" si="27"/>
        <v>28900</v>
      </c>
      <c r="I435" s="5">
        <f>SQRT(SUM('r-pi-multi'!$D$3:D435)/COUNTIF($A$3:A435,"&lt;&gt;0"))</f>
        <v>74.785019062727201</v>
      </c>
    </row>
    <row r="436" spans="1:9">
      <c r="A436">
        <v>434</v>
      </c>
      <c r="B436">
        <v>3</v>
      </c>
      <c r="C436">
        <v>2600</v>
      </c>
      <c r="D436">
        <v>2415</v>
      </c>
      <c r="E436" s="4">
        <f t="shared" si="28"/>
        <v>1</v>
      </c>
      <c r="F436" s="4">
        <f t="shared" si="25"/>
        <v>185</v>
      </c>
      <c r="G436" s="4">
        <f t="shared" si="26"/>
        <v>5.0628698224852069E-3</v>
      </c>
      <c r="H436" s="4">
        <f t="shared" si="27"/>
        <v>34225</v>
      </c>
      <c r="I436" s="5">
        <f>SQRT(SUM('r-pi-multi'!$D$3:D436)/COUNTIF($A$3:A436,"&lt;&gt;0"))</f>
        <v>74.736048587849126</v>
      </c>
    </row>
    <row r="437" spans="1:9">
      <c r="A437">
        <v>435</v>
      </c>
      <c r="B437">
        <v>3</v>
      </c>
      <c r="C437">
        <v>2600</v>
      </c>
      <c r="D437">
        <v>2580</v>
      </c>
      <c r="E437" s="4">
        <f t="shared" si="28"/>
        <v>1</v>
      </c>
      <c r="F437" s="4">
        <f t="shared" si="25"/>
        <v>20</v>
      </c>
      <c r="G437" s="4">
        <f t="shared" si="26"/>
        <v>5.9171597633136101E-5</v>
      </c>
      <c r="H437" s="4">
        <f t="shared" si="27"/>
        <v>400</v>
      </c>
      <c r="I437" s="5">
        <f>SQRT(SUM('r-pi-multi'!$D$3:D437)/COUNTIF($A$3:A437,"&lt;&gt;0"))</f>
        <v>74.689810657759438</v>
      </c>
    </row>
    <row r="438" spans="1:9">
      <c r="A438">
        <v>436</v>
      </c>
      <c r="B438">
        <v>3</v>
      </c>
      <c r="C438">
        <v>2600</v>
      </c>
      <c r="D438">
        <v>2562</v>
      </c>
      <c r="E438" s="4">
        <f t="shared" si="28"/>
        <v>1</v>
      </c>
      <c r="F438" s="4">
        <f t="shared" si="25"/>
        <v>38</v>
      </c>
      <c r="G438" s="4">
        <f t="shared" si="26"/>
        <v>2.136094674556213E-4</v>
      </c>
      <c r="H438" s="4">
        <f t="shared" si="27"/>
        <v>1444</v>
      </c>
      <c r="I438" s="5">
        <f>SQRT(SUM('r-pi-multi'!$D$3:D438)/COUNTIF($A$3:A438,"&lt;&gt;0"))</f>
        <v>74.643479839627034</v>
      </c>
    </row>
    <row r="439" spans="1:9">
      <c r="A439">
        <v>437</v>
      </c>
      <c r="B439">
        <v>3</v>
      </c>
      <c r="C439">
        <v>2600</v>
      </c>
      <c r="D439">
        <v>2561</v>
      </c>
      <c r="E439" s="4">
        <f t="shared" si="28"/>
        <v>1</v>
      </c>
      <c r="F439" s="4">
        <f t="shared" si="25"/>
        <v>39</v>
      </c>
      <c r="G439" s="4">
        <f t="shared" si="26"/>
        <v>2.2499999999999999E-4</v>
      </c>
      <c r="H439" s="4">
        <f t="shared" si="27"/>
        <v>1521</v>
      </c>
      <c r="I439" s="5">
        <f>SQRT(SUM('r-pi-multi'!$D$3:D439)/COUNTIF($A$3:A439,"&lt;&gt;0"))</f>
        <v>74.597317146131047</v>
      </c>
    </row>
    <row r="440" spans="1:9">
      <c r="A440">
        <v>438</v>
      </c>
      <c r="B440">
        <v>3</v>
      </c>
      <c r="C440">
        <v>2600</v>
      </c>
      <c r="D440">
        <v>2597</v>
      </c>
      <c r="E440" s="4">
        <f t="shared" si="28"/>
        <v>1</v>
      </c>
      <c r="F440" s="4">
        <f t="shared" si="25"/>
        <v>3</v>
      </c>
      <c r="G440" s="4">
        <f t="shared" si="26"/>
        <v>1.3313609467455623E-6</v>
      </c>
      <c r="H440" s="4">
        <f t="shared" si="27"/>
        <v>9</v>
      </c>
      <c r="I440" s="5">
        <f>SQRT(SUM('r-pi-multi'!$D$3:D440)/COUNTIF($A$3:A440,"&lt;&gt;0"))</f>
        <v>74.551888093225656</v>
      </c>
    </row>
    <row r="441" spans="1:9">
      <c r="A441">
        <v>439</v>
      </c>
      <c r="B441">
        <v>3</v>
      </c>
      <c r="C441">
        <v>2600</v>
      </c>
      <c r="D441">
        <v>2579</v>
      </c>
      <c r="E441" s="4">
        <f t="shared" si="28"/>
        <v>1</v>
      </c>
      <c r="F441" s="4">
        <f t="shared" si="25"/>
        <v>21</v>
      </c>
      <c r="G441" s="4">
        <f t="shared" si="26"/>
        <v>6.5236686390532543E-5</v>
      </c>
      <c r="H441" s="4">
        <f t="shared" si="27"/>
        <v>441</v>
      </c>
      <c r="I441" s="5">
        <f>SQRT(SUM('r-pi-multi'!$D$3:D441)/COUNTIF($A$3:A441,"&lt;&gt;0"))</f>
        <v>74.506363336808604</v>
      </c>
    </row>
    <row r="442" spans="1:9">
      <c r="A442">
        <v>440</v>
      </c>
      <c r="B442">
        <v>3</v>
      </c>
      <c r="C442">
        <v>2600</v>
      </c>
      <c r="D442">
        <v>2584</v>
      </c>
      <c r="E442" s="4">
        <f t="shared" si="28"/>
        <v>1</v>
      </c>
      <c r="F442" s="4">
        <f t="shared" si="25"/>
        <v>16</v>
      </c>
      <c r="G442" s="4">
        <f t="shared" si="26"/>
        <v>3.7869822485207098E-5</v>
      </c>
      <c r="H442" s="4">
        <f t="shared" si="27"/>
        <v>256</v>
      </c>
      <c r="I442" s="5">
        <f>SQRT(SUM('r-pi-multi'!$D$3:D442)/COUNTIF($A$3:A442,"&lt;&gt;0"))</f>
        <v>74.461094173095148</v>
      </c>
    </row>
    <row r="443" spans="1:9">
      <c r="A443">
        <v>441</v>
      </c>
      <c r="B443">
        <v>3</v>
      </c>
      <c r="C443">
        <v>2600</v>
      </c>
      <c r="D443">
        <v>2610</v>
      </c>
      <c r="E443" s="4">
        <f t="shared" si="28"/>
        <v>1</v>
      </c>
      <c r="F443" s="4">
        <f t="shared" si="25"/>
        <v>10</v>
      </c>
      <c r="G443" s="4">
        <f t="shared" si="26"/>
        <v>1.4792899408284025E-5</v>
      </c>
      <c r="H443" s="4">
        <f t="shared" si="27"/>
        <v>100</v>
      </c>
      <c r="I443" s="5">
        <f>SQRT(SUM('r-pi-multi'!$D$3:D443)/COUNTIF($A$3:A443,"&lt;&gt;0"))</f>
        <v>74.41639908995019</v>
      </c>
    </row>
    <row r="444" spans="1:9">
      <c r="A444">
        <v>442</v>
      </c>
      <c r="B444">
        <v>3</v>
      </c>
      <c r="C444">
        <v>2600</v>
      </c>
      <c r="D444">
        <v>2547</v>
      </c>
      <c r="E444" s="4">
        <f t="shared" si="28"/>
        <v>1</v>
      </c>
      <c r="F444" s="4">
        <f t="shared" si="25"/>
        <v>53</v>
      </c>
      <c r="G444" s="4">
        <f t="shared" si="26"/>
        <v>4.1553254437869813E-4</v>
      </c>
      <c r="H444" s="4">
        <f t="shared" si="27"/>
        <v>2809</v>
      </c>
      <c r="I444" s="5">
        <f>SQRT(SUM('r-pi-multi'!$D$3:D444)/COUNTIF($A$3:A444,"&lt;&gt;0"))</f>
        <v>74.370921311031125</v>
      </c>
    </row>
    <row r="445" spans="1:9">
      <c r="A445">
        <v>443</v>
      </c>
      <c r="B445">
        <v>3</v>
      </c>
      <c r="C445">
        <v>2600</v>
      </c>
      <c r="D445">
        <v>2605</v>
      </c>
      <c r="E445" s="4">
        <f t="shared" si="28"/>
        <v>1</v>
      </c>
      <c r="F445" s="4">
        <f t="shared" si="25"/>
        <v>5</v>
      </c>
      <c r="G445" s="4">
        <f t="shared" si="26"/>
        <v>3.6982248520710063E-6</v>
      </c>
      <c r="H445" s="4">
        <f t="shared" si="27"/>
        <v>25</v>
      </c>
      <c r="I445" s="5">
        <f>SQRT(SUM('r-pi-multi'!$D$3:D445)/COUNTIF($A$3:A445,"&lt;&gt;0"))</f>
        <v>74.326501961986565</v>
      </c>
    </row>
    <row r="446" spans="1:9">
      <c r="A446">
        <v>444</v>
      </c>
      <c r="B446">
        <v>3</v>
      </c>
      <c r="C446">
        <v>2600</v>
      </c>
      <c r="D446">
        <v>2577</v>
      </c>
      <c r="E446" s="4">
        <f t="shared" si="28"/>
        <v>1</v>
      </c>
      <c r="F446" s="4">
        <f t="shared" si="25"/>
        <v>23</v>
      </c>
      <c r="G446" s="4">
        <f t="shared" si="26"/>
        <v>7.8254437869822472E-5</v>
      </c>
      <c r="H446" s="4">
        <f t="shared" si="27"/>
        <v>529</v>
      </c>
      <c r="I446" s="5">
        <f>SQRT(SUM('r-pi-multi'!$D$3:D446)/COUNTIF($A$3:A446,"&lt;&gt;0"))</f>
        <v>74.28183183350113</v>
      </c>
    </row>
    <row r="447" spans="1:9">
      <c r="A447">
        <v>445</v>
      </c>
      <c r="B447">
        <v>3</v>
      </c>
      <c r="C447">
        <v>2600</v>
      </c>
      <c r="D447">
        <v>2586</v>
      </c>
      <c r="E447" s="4">
        <f t="shared" si="28"/>
        <v>1</v>
      </c>
      <c r="F447" s="4">
        <f t="shared" si="25"/>
        <v>14</v>
      </c>
      <c r="G447" s="4">
        <f t="shared" si="26"/>
        <v>2.8994082840236685E-5</v>
      </c>
      <c r="H447" s="4">
        <f t="shared" si="27"/>
        <v>196</v>
      </c>
      <c r="I447" s="5">
        <f>SQRT(SUM('r-pi-multi'!$D$3:D447)/COUNTIF($A$3:A447,"&lt;&gt;0"))</f>
        <v>74.237471988147675</v>
      </c>
    </row>
    <row r="448" spans="1:9">
      <c r="A448">
        <v>446</v>
      </c>
      <c r="B448">
        <v>3</v>
      </c>
      <c r="C448">
        <v>2600</v>
      </c>
      <c r="D448">
        <v>2591</v>
      </c>
      <c r="E448" s="4">
        <f t="shared" si="28"/>
        <v>1</v>
      </c>
      <c r="F448" s="4">
        <f t="shared" si="25"/>
        <v>9</v>
      </c>
      <c r="G448" s="4">
        <f t="shared" si="26"/>
        <v>1.198224852071006E-5</v>
      </c>
      <c r="H448" s="4">
        <f t="shared" si="27"/>
        <v>81</v>
      </c>
      <c r="I448" s="5">
        <f>SQRT(SUM('r-pi-multi'!$D$3:D448)/COUNTIF($A$3:A448,"&lt;&gt;0"))</f>
        <v>74.193360272467643</v>
      </c>
    </row>
    <row r="449" spans="1:9">
      <c r="A449">
        <v>447</v>
      </c>
      <c r="B449">
        <v>3</v>
      </c>
      <c r="C449">
        <v>2600</v>
      </c>
      <c r="D449">
        <v>2584</v>
      </c>
      <c r="E449" s="4">
        <f t="shared" si="28"/>
        <v>1</v>
      </c>
      <c r="F449" s="4">
        <f t="shared" si="25"/>
        <v>16</v>
      </c>
      <c r="G449" s="4">
        <f t="shared" si="26"/>
        <v>3.7869822485207098E-5</v>
      </c>
      <c r="H449" s="4">
        <f t="shared" si="27"/>
        <v>256</v>
      </c>
      <c r="I449" s="5">
        <f>SQRT(SUM('r-pi-multi'!$D$3:D449)/COUNTIF($A$3:A449,"&lt;&gt;0"))</f>
        <v>74.149314260950021</v>
      </c>
    </row>
    <row r="450" spans="1:9">
      <c r="A450">
        <v>448</v>
      </c>
      <c r="B450">
        <v>3</v>
      </c>
      <c r="C450">
        <v>2600</v>
      </c>
      <c r="D450">
        <v>2519</v>
      </c>
      <c r="E450" s="4">
        <f t="shared" si="28"/>
        <v>1</v>
      </c>
      <c r="F450" s="4">
        <f t="shared" si="25"/>
        <v>81</v>
      </c>
      <c r="G450" s="4">
        <f t="shared" si="26"/>
        <v>9.7056213017751472E-4</v>
      </c>
      <c r="H450" s="4">
        <f t="shared" si="27"/>
        <v>6561</v>
      </c>
      <c r="I450" s="5">
        <f>SQRT(SUM('r-pi-multi'!$D$3:D450)/COUNTIF($A$3:A450,"&lt;&gt;0"))</f>
        <v>74.104459934222973</v>
      </c>
    </row>
    <row r="451" spans="1:9">
      <c r="A451">
        <v>449</v>
      </c>
      <c r="B451">
        <v>3</v>
      </c>
      <c r="C451">
        <v>2600</v>
      </c>
      <c r="D451">
        <v>2566</v>
      </c>
      <c r="E451" s="4">
        <f t="shared" si="28"/>
        <v>1</v>
      </c>
      <c r="F451" s="4">
        <f t="shared" si="25"/>
        <v>34</v>
      </c>
      <c r="G451" s="4">
        <f t="shared" si="26"/>
        <v>1.7100591715976329E-4</v>
      </c>
      <c r="H451" s="4">
        <f t="shared" si="27"/>
        <v>1156</v>
      </c>
      <c r="I451" s="5">
        <f>SQRT(SUM('r-pi-multi'!$D$3:D451)/COUNTIF($A$3:A451,"&lt;&gt;0"))</f>
        <v>74.060485122433235</v>
      </c>
    </row>
    <row r="452" spans="1:9">
      <c r="A452">
        <v>450</v>
      </c>
      <c r="B452">
        <v>3</v>
      </c>
      <c r="C452">
        <v>2600</v>
      </c>
      <c r="D452">
        <v>2554</v>
      </c>
      <c r="E452" s="4">
        <f t="shared" si="28"/>
        <v>1</v>
      </c>
      <c r="F452" s="4">
        <f t="shared" ref="F452:F502" si="29">ABS(C452-D452)</f>
        <v>46</v>
      </c>
      <c r="G452" s="4">
        <f t="shared" ref="G452:G515" si="30">POWER(ABS(C452-D452)/C452,2)</f>
        <v>3.1301775147928989E-4</v>
      </c>
      <c r="H452" s="4">
        <f t="shared" ref="H452:H502" si="31">POWER(F452,2)</f>
        <v>2116</v>
      </c>
      <c r="I452" s="5">
        <f>SQRT(SUM('r-pi-multi'!$D$3:D452)/COUNTIF($A$3:A452,"&lt;&gt;0"))</f>
        <v>74.016499662049824</v>
      </c>
    </row>
    <row r="453" spans="1:9">
      <c r="A453">
        <v>451</v>
      </c>
      <c r="B453">
        <v>3</v>
      </c>
      <c r="C453">
        <v>8110</v>
      </c>
      <c r="D453">
        <v>2605</v>
      </c>
      <c r="E453" s="4">
        <f t="shared" si="28"/>
        <v>0</v>
      </c>
      <c r="F453" s="4">
        <f t="shared" si="29"/>
        <v>5505</v>
      </c>
      <c r="G453" s="4">
        <f t="shared" si="30"/>
        <v>0.46075805698768929</v>
      </c>
      <c r="H453" s="4">
        <f t="shared" si="31"/>
        <v>30305025</v>
      </c>
      <c r="I453" s="5">
        <f>SQRT(SUM('r-pi-multi'!$D$3:D453)/COUNTIF($A$3:A453,"&lt;&gt;0"))</f>
        <v>73.973447624379432</v>
      </c>
    </row>
    <row r="454" spans="1:9">
      <c r="A454">
        <v>452</v>
      </c>
      <c r="B454">
        <v>5</v>
      </c>
      <c r="C454">
        <v>8110</v>
      </c>
      <c r="D454">
        <v>4261</v>
      </c>
      <c r="E454" s="4">
        <f t="shared" si="28"/>
        <v>0</v>
      </c>
      <c r="F454" s="4">
        <f t="shared" si="29"/>
        <v>3849</v>
      </c>
      <c r="G454" s="4">
        <f t="shared" si="30"/>
        <v>0.22524445775640431</v>
      </c>
      <c r="H454" s="4">
        <f t="shared" si="31"/>
        <v>14814801</v>
      </c>
      <c r="I454" s="5">
        <f>SQRT(SUM('r-pi-multi'!$D$3:D454)/COUNTIF($A$3:A454,"&lt;&gt;0"))</f>
        <v>73.955335121411991</v>
      </c>
    </row>
    <row r="455" spans="1:9">
      <c r="A455">
        <v>453</v>
      </c>
      <c r="B455">
        <v>5</v>
      </c>
      <c r="C455">
        <v>8110</v>
      </c>
      <c r="D455">
        <v>4373</v>
      </c>
      <c r="E455" s="4">
        <f t="shared" si="28"/>
        <v>0</v>
      </c>
      <c r="F455" s="4">
        <f t="shared" si="29"/>
        <v>3737</v>
      </c>
      <c r="G455" s="4">
        <f t="shared" si="30"/>
        <v>0.21232664001909621</v>
      </c>
      <c r="H455" s="4">
        <f t="shared" si="31"/>
        <v>13965169</v>
      </c>
      <c r="I455" s="5">
        <f>SQRT(SUM('r-pi-multi'!$D$3:D455)/COUNTIF($A$3:A455,"&lt;&gt;0"))</f>
        <v>73.938970120148795</v>
      </c>
    </row>
    <row r="456" spans="1:9">
      <c r="A456">
        <v>454</v>
      </c>
      <c r="B456">
        <v>6</v>
      </c>
      <c r="C456">
        <v>8110</v>
      </c>
      <c r="D456">
        <v>5208</v>
      </c>
      <c r="E456" s="4">
        <f t="shared" si="28"/>
        <v>0</v>
      </c>
      <c r="F456" s="4">
        <f t="shared" si="29"/>
        <v>2902</v>
      </c>
      <c r="G456" s="4">
        <f t="shared" si="30"/>
        <v>0.12804219418263976</v>
      </c>
      <c r="H456" s="4">
        <f t="shared" si="31"/>
        <v>8421604</v>
      </c>
      <c r="I456" s="5">
        <f>SQRT(SUM('r-pi-multi'!$D$3:D456)/COUNTIF($A$3:A456,"&lt;&gt;0"))</f>
        <v>73.935112639782119</v>
      </c>
    </row>
    <row r="457" spans="1:9">
      <c r="A457">
        <v>455</v>
      </c>
      <c r="B457">
        <v>6</v>
      </c>
      <c r="C457">
        <v>8110</v>
      </c>
      <c r="D457">
        <v>5149</v>
      </c>
      <c r="E457" s="4">
        <f t="shared" si="28"/>
        <v>0</v>
      </c>
      <c r="F457" s="4">
        <f t="shared" si="29"/>
        <v>2961</v>
      </c>
      <c r="G457" s="4">
        <f t="shared" si="30"/>
        <v>0.13330152146578869</v>
      </c>
      <c r="H457" s="4">
        <f t="shared" si="31"/>
        <v>8767521</v>
      </c>
      <c r="I457" s="5">
        <f>SQRT(SUM('r-pi-multi'!$D$3:D457)/COUNTIF($A$3:A457,"&lt;&gt;0"))</f>
        <v>73.93039494486213</v>
      </c>
    </row>
    <row r="458" spans="1:9">
      <c r="A458">
        <v>456</v>
      </c>
      <c r="B458">
        <v>6</v>
      </c>
      <c r="C458">
        <v>8110</v>
      </c>
      <c r="D458">
        <v>4872</v>
      </c>
      <c r="E458" s="4">
        <f t="shared" si="28"/>
        <v>0</v>
      </c>
      <c r="F458" s="4">
        <f t="shared" si="29"/>
        <v>3238</v>
      </c>
      <c r="G458" s="4">
        <f t="shared" si="30"/>
        <v>0.15940868544565251</v>
      </c>
      <c r="H458" s="4">
        <f t="shared" si="31"/>
        <v>10484644</v>
      </c>
      <c r="I458" s="5">
        <f>SQRT(SUM('r-pi-multi'!$D$3:D458)/COUNTIF($A$3:A458,"&lt;&gt;0"))</f>
        <v>73.921588969593131</v>
      </c>
    </row>
    <row r="459" spans="1:9">
      <c r="A459">
        <v>457</v>
      </c>
      <c r="B459">
        <v>6</v>
      </c>
      <c r="C459">
        <v>8110</v>
      </c>
      <c r="D459">
        <v>4790</v>
      </c>
      <c r="E459" s="4">
        <f t="shared" si="28"/>
        <v>0</v>
      </c>
      <c r="F459" s="4">
        <f t="shared" si="29"/>
        <v>3320</v>
      </c>
      <c r="G459" s="4">
        <f t="shared" si="30"/>
        <v>0.16758473577702399</v>
      </c>
      <c r="H459" s="4">
        <f t="shared" si="31"/>
        <v>11022400</v>
      </c>
      <c r="I459" s="5">
        <f>SQRT(SUM('r-pi-multi'!$D$3:D459)/COUNTIF($A$3:A459,"&lt;&gt;0"))</f>
        <v>73.911606678183816</v>
      </c>
    </row>
    <row r="460" spans="1:9">
      <c r="A460">
        <v>458</v>
      </c>
      <c r="B460">
        <v>7</v>
      </c>
      <c r="C460">
        <v>8110</v>
      </c>
      <c r="D460">
        <v>5559</v>
      </c>
      <c r="E460" s="4">
        <f t="shared" si="28"/>
        <v>0</v>
      </c>
      <c r="F460" s="4">
        <f t="shared" si="29"/>
        <v>2551</v>
      </c>
      <c r="G460" s="4">
        <f t="shared" si="30"/>
        <v>9.8941663714553749E-2</v>
      </c>
      <c r="H460" s="4">
        <f t="shared" si="31"/>
        <v>6507601</v>
      </c>
      <c r="I460" s="5">
        <f>SQRT(SUM('r-pi-multi'!$D$3:D460)/COUNTIF($A$3:A460,"&lt;&gt;0"))</f>
        <v>73.91302572063357</v>
      </c>
    </row>
    <row r="461" spans="1:9">
      <c r="A461">
        <v>459</v>
      </c>
      <c r="B461">
        <v>7</v>
      </c>
      <c r="C461">
        <v>8110</v>
      </c>
      <c r="D461">
        <v>5631</v>
      </c>
      <c r="E461" s="4">
        <f t="shared" si="28"/>
        <v>0</v>
      </c>
      <c r="F461" s="4">
        <f t="shared" si="29"/>
        <v>2479</v>
      </c>
      <c r="G461" s="4">
        <f t="shared" si="30"/>
        <v>9.3435377614520448E-2</v>
      </c>
      <c r="H461" s="4">
        <f t="shared" si="31"/>
        <v>6145441</v>
      </c>
      <c r="I461" s="5">
        <f>SQRT(SUM('r-pi-multi'!$D$3:D461)/COUNTIF($A$3:A461,"&lt;&gt;0"))</f>
        <v>73.915499655516228</v>
      </c>
    </row>
    <row r="462" spans="1:9">
      <c r="A462">
        <v>460</v>
      </c>
      <c r="B462">
        <v>7</v>
      </c>
      <c r="C462">
        <v>8110</v>
      </c>
      <c r="D462">
        <v>5569</v>
      </c>
      <c r="E462" s="4">
        <f t="shared" si="28"/>
        <v>0</v>
      </c>
      <c r="F462" s="4">
        <f t="shared" si="29"/>
        <v>2541</v>
      </c>
      <c r="G462" s="4">
        <f t="shared" si="30"/>
        <v>9.8167475266868476E-2</v>
      </c>
      <c r="H462" s="4">
        <f t="shared" si="31"/>
        <v>6456681</v>
      </c>
      <c r="I462" s="5">
        <f>SQRT(SUM('r-pi-multi'!$D$3:D462)/COUNTIF($A$3:A462,"&lt;&gt;0"))</f>
        <v>73.917051042250108</v>
      </c>
    </row>
    <row r="463" spans="1:9">
      <c r="A463">
        <v>461</v>
      </c>
      <c r="B463">
        <v>7</v>
      </c>
      <c r="C463">
        <v>8110</v>
      </c>
      <c r="D463">
        <v>5569</v>
      </c>
      <c r="E463" s="4">
        <f t="shared" si="28"/>
        <v>0</v>
      </c>
      <c r="F463" s="4">
        <f t="shared" si="29"/>
        <v>2541</v>
      </c>
      <c r="G463" s="4">
        <f t="shared" si="30"/>
        <v>9.8167475266868476E-2</v>
      </c>
      <c r="H463" s="4">
        <f t="shared" si="31"/>
        <v>6456681</v>
      </c>
      <c r="I463" s="5">
        <f>SQRT(SUM('r-pi-multi'!$D$3:D463)/COUNTIF($A$3:A463,"&lt;&gt;0"))</f>
        <v>73.918595666107308</v>
      </c>
    </row>
    <row r="464" spans="1:9">
      <c r="A464">
        <v>462</v>
      </c>
      <c r="B464">
        <v>8</v>
      </c>
      <c r="C464">
        <v>8110</v>
      </c>
      <c r="D464">
        <v>6350</v>
      </c>
      <c r="E464" s="4">
        <f t="shared" si="28"/>
        <v>0</v>
      </c>
      <c r="F464" s="4">
        <f t="shared" si="29"/>
        <v>1760</v>
      </c>
      <c r="G464" s="4">
        <f t="shared" si="30"/>
        <v>4.7095957100351055E-2</v>
      </c>
      <c r="H464" s="4">
        <f t="shared" si="31"/>
        <v>3097600</v>
      </c>
      <c r="I464" s="5">
        <f>SQRT(SUM('r-pi-multi'!$D$3:D464)/COUNTIF($A$3:A464,"&lt;&gt;0"))</f>
        <v>73.931567164348834</v>
      </c>
    </row>
    <row r="465" spans="1:9">
      <c r="A465">
        <v>463</v>
      </c>
      <c r="B465">
        <v>8</v>
      </c>
      <c r="C465">
        <v>8110</v>
      </c>
      <c r="D465">
        <v>6420</v>
      </c>
      <c r="E465" s="4">
        <f t="shared" si="28"/>
        <v>0</v>
      </c>
      <c r="F465" s="4">
        <f t="shared" si="29"/>
        <v>1690</v>
      </c>
      <c r="G465" s="4">
        <f t="shared" si="30"/>
        <v>4.3424187459424293E-2</v>
      </c>
      <c r="H465" s="4">
        <f t="shared" si="31"/>
        <v>2856100</v>
      </c>
      <c r="I465" s="5">
        <f>SQRT(SUM('r-pi-multi'!$D$3:D465)/COUNTIF($A$3:A465,"&lt;&gt;0"))</f>
        <v>73.945502669268535</v>
      </c>
    </row>
    <row r="466" spans="1:9">
      <c r="A466">
        <v>464</v>
      </c>
      <c r="B466">
        <v>8</v>
      </c>
      <c r="C466">
        <v>8110</v>
      </c>
      <c r="D466">
        <v>6449</v>
      </c>
      <c r="E466" s="4">
        <f t="shared" si="28"/>
        <v>0</v>
      </c>
      <c r="F466" s="4">
        <f t="shared" si="29"/>
        <v>1661</v>
      </c>
      <c r="G466" s="4">
        <f t="shared" si="30"/>
        <v>4.1946676478324396E-2</v>
      </c>
      <c r="H466" s="4">
        <f t="shared" si="31"/>
        <v>2758921</v>
      </c>
      <c r="I466" s="5">
        <f>SQRT(SUM('r-pi-multi'!$D$3:D466)/COUNTIF($A$3:A466,"&lt;&gt;0"))</f>
        <v>73.959798026616667</v>
      </c>
    </row>
    <row r="467" spans="1:9">
      <c r="A467">
        <v>465</v>
      </c>
      <c r="B467">
        <v>8</v>
      </c>
      <c r="C467">
        <v>8110</v>
      </c>
      <c r="D467">
        <v>6503</v>
      </c>
      <c r="E467" s="4">
        <f t="shared" si="28"/>
        <v>1</v>
      </c>
      <c r="F467" s="4">
        <f t="shared" si="29"/>
        <v>1607</v>
      </c>
      <c r="G467" s="4">
        <f t="shared" si="30"/>
        <v>3.9263593529779338E-2</v>
      </c>
      <c r="H467" s="4">
        <f t="shared" si="31"/>
        <v>2582449</v>
      </c>
      <c r="I467" s="5">
        <f>SQRT(SUM('r-pi-multi'!$D$3:D467)/COUNTIF($A$3:A467,"&lt;&gt;0"))</f>
        <v>73.974814080736763</v>
      </c>
    </row>
    <row r="468" spans="1:9">
      <c r="A468">
        <v>466</v>
      </c>
      <c r="B468">
        <v>8</v>
      </c>
      <c r="C468">
        <v>8110</v>
      </c>
      <c r="D468">
        <v>6409</v>
      </c>
      <c r="E468" s="4">
        <f t="shared" si="28"/>
        <v>0</v>
      </c>
      <c r="F468" s="4">
        <f t="shared" si="29"/>
        <v>1701</v>
      </c>
      <c r="G468" s="4">
        <f t="shared" si="30"/>
        <v>4.3991312425785405E-2</v>
      </c>
      <c r="H468" s="4">
        <f t="shared" si="31"/>
        <v>2893401</v>
      </c>
      <c r="I468" s="5">
        <f>SQRT(SUM('r-pi-multi'!$D$3:D468)/COUNTIF($A$3:A468,"&lt;&gt;0"))</f>
        <v>73.988399508318707</v>
      </c>
    </row>
    <row r="469" spans="1:9">
      <c r="A469">
        <v>467</v>
      </c>
      <c r="B469">
        <v>8</v>
      </c>
      <c r="C469">
        <v>8110</v>
      </c>
      <c r="D469">
        <v>6383</v>
      </c>
      <c r="E469" s="4">
        <f t="shared" si="28"/>
        <v>0</v>
      </c>
      <c r="F469" s="4">
        <f t="shared" si="29"/>
        <v>1727</v>
      </c>
      <c r="G469" s="4">
        <f t="shared" si="30"/>
        <v>4.5346415881505987E-2</v>
      </c>
      <c r="H469" s="4">
        <f t="shared" si="31"/>
        <v>2982529</v>
      </c>
      <c r="I469" s="5">
        <f>SQRT(SUM('r-pi-multi'!$D$3:D469)/COUNTIF($A$3:A469,"&lt;&gt;0"))</f>
        <v>74.001548105804346</v>
      </c>
    </row>
    <row r="470" spans="1:9">
      <c r="A470">
        <v>468</v>
      </c>
      <c r="B470">
        <v>8</v>
      </c>
      <c r="C470">
        <v>8110</v>
      </c>
      <c r="D470">
        <v>6371</v>
      </c>
      <c r="E470" s="4">
        <f t="shared" si="28"/>
        <v>0</v>
      </c>
      <c r="F470" s="4">
        <f t="shared" si="29"/>
        <v>1739</v>
      </c>
      <c r="G470" s="4">
        <f t="shared" si="30"/>
        <v>4.5978781276559515E-2</v>
      </c>
      <c r="H470" s="4">
        <f t="shared" si="31"/>
        <v>3024121</v>
      </c>
      <c r="I470" s="5">
        <f>SQRT(SUM('r-pi-multi'!$D$3:D470)/COUNTIF($A$3:A470,"&lt;&gt;0"))</f>
        <v>74.014464975712855</v>
      </c>
    </row>
    <row r="471" spans="1:9">
      <c r="A471">
        <v>469</v>
      </c>
      <c r="B471">
        <v>9</v>
      </c>
      <c r="C471">
        <v>8110</v>
      </c>
      <c r="D471">
        <v>6691</v>
      </c>
      <c r="E471" s="4">
        <f t="shared" si="28"/>
        <v>1</v>
      </c>
      <c r="F471" s="4">
        <f t="shared" si="29"/>
        <v>1419</v>
      </c>
      <c r="G471" s="4">
        <f t="shared" si="30"/>
        <v>3.0614211801052425E-2</v>
      </c>
      <c r="H471" s="4">
        <f t="shared" si="31"/>
        <v>2013561</v>
      </c>
      <c r="I471" s="5">
        <f>SQRT(SUM('r-pi-multi'!$D$3:D471)/COUNTIF($A$3:A471,"&lt;&gt;0"))</f>
        <v>74.031932832334306</v>
      </c>
    </row>
    <row r="472" spans="1:9">
      <c r="A472">
        <v>470</v>
      </c>
      <c r="B472">
        <v>9</v>
      </c>
      <c r="C472">
        <v>8110</v>
      </c>
      <c r="D472">
        <v>6676</v>
      </c>
      <c r="E472" s="4">
        <f t="shared" si="28"/>
        <v>1</v>
      </c>
      <c r="F472" s="4">
        <f t="shared" si="29"/>
        <v>1434</v>
      </c>
      <c r="G472" s="4">
        <f t="shared" si="30"/>
        <v>3.126486762624274E-2</v>
      </c>
      <c r="H472" s="4">
        <f t="shared" si="31"/>
        <v>2056356</v>
      </c>
      <c r="I472" s="5">
        <f>SQRT(SUM('r-pi-multi'!$D$3:D472)/COUNTIF($A$3:A472,"&lt;&gt;0"))</f>
        <v>74.049106765483387</v>
      </c>
    </row>
    <row r="473" spans="1:9">
      <c r="A473">
        <v>471</v>
      </c>
      <c r="B473">
        <v>9</v>
      </c>
      <c r="C473">
        <v>8110</v>
      </c>
      <c r="D473">
        <v>6261</v>
      </c>
      <c r="E473" s="4">
        <f t="shared" ref="E473:E502" si="32">IF(AND(D473&lt;=C473*1.2,D473&gt;=C473*0.8),1,0)</f>
        <v>0</v>
      </c>
      <c r="F473" s="4">
        <f t="shared" si="29"/>
        <v>1849</v>
      </c>
      <c r="G473" s="4">
        <f t="shared" si="30"/>
        <v>5.1979501946874132E-2</v>
      </c>
      <c r="H473" s="4">
        <f t="shared" si="31"/>
        <v>3418801</v>
      </c>
      <c r="I473" s="5">
        <f>SQRT(SUM('r-pi-multi'!$D$3:D473)/COUNTIF($A$3:A473,"&lt;&gt;0"))</f>
        <v>74.060255493326039</v>
      </c>
    </row>
    <row r="474" spans="1:9">
      <c r="A474">
        <v>472</v>
      </c>
      <c r="B474">
        <v>9</v>
      </c>
      <c r="C474">
        <v>8110</v>
      </c>
      <c r="D474">
        <v>6753</v>
      </c>
      <c r="E474" s="4">
        <f t="shared" si="32"/>
        <v>1</v>
      </c>
      <c r="F474" s="4">
        <f t="shared" si="29"/>
        <v>1357</v>
      </c>
      <c r="G474" s="4">
        <f t="shared" si="30"/>
        <v>2.7997418358240041E-2</v>
      </c>
      <c r="H474" s="4">
        <f t="shared" si="31"/>
        <v>1841449</v>
      </c>
      <c r="I474" s="5">
        <f>SQRT(SUM('r-pi-multi'!$D$3:D474)/COUNTIF($A$3:A474,"&lt;&gt;0"))</f>
        <v>74.078391254450565</v>
      </c>
    </row>
    <row r="475" spans="1:9">
      <c r="A475">
        <v>473</v>
      </c>
      <c r="B475">
        <v>9</v>
      </c>
      <c r="C475">
        <v>8110</v>
      </c>
      <c r="D475">
        <v>6666</v>
      </c>
      <c r="E475" s="4">
        <f t="shared" si="32"/>
        <v>1</v>
      </c>
      <c r="F475" s="4">
        <f t="shared" si="29"/>
        <v>1444</v>
      </c>
      <c r="G475" s="4">
        <f t="shared" si="30"/>
        <v>3.1702439180138688E-2</v>
      </c>
      <c r="H475" s="4">
        <f t="shared" si="31"/>
        <v>2085136</v>
      </c>
      <c r="I475" s="5">
        <f>SQRT(SUM('r-pi-multi'!$D$3:D475)/COUNTIF($A$3:A475,"&lt;&gt;0"))</f>
        <v>74.095204741943519</v>
      </c>
    </row>
    <row r="476" spans="1:9">
      <c r="A476">
        <v>474</v>
      </c>
      <c r="B476">
        <v>9</v>
      </c>
      <c r="C476">
        <v>8110</v>
      </c>
      <c r="D476">
        <v>6819</v>
      </c>
      <c r="E476" s="4">
        <f t="shared" si="32"/>
        <v>1</v>
      </c>
      <c r="F476" s="4">
        <f t="shared" si="29"/>
        <v>1291</v>
      </c>
      <c r="G476" s="4">
        <f t="shared" si="30"/>
        <v>2.5340243051385006E-2</v>
      </c>
      <c r="H476" s="4">
        <f t="shared" si="31"/>
        <v>1666681</v>
      </c>
      <c r="I476" s="5">
        <f>SQRT(SUM('r-pi-multi'!$D$3:D476)/COUNTIF($A$3:A476,"&lt;&gt;0"))</f>
        <v>74.114121148310844</v>
      </c>
    </row>
    <row r="477" spans="1:9">
      <c r="A477">
        <v>475</v>
      </c>
      <c r="B477">
        <v>9</v>
      </c>
      <c r="C477">
        <v>8110</v>
      </c>
      <c r="D477">
        <v>6802</v>
      </c>
      <c r="E477" s="4">
        <f t="shared" si="32"/>
        <v>1</v>
      </c>
      <c r="F477" s="4">
        <f t="shared" si="29"/>
        <v>1308</v>
      </c>
      <c r="G477" s="4">
        <f t="shared" si="30"/>
        <v>2.6012002049501229E-2</v>
      </c>
      <c r="H477" s="4">
        <f t="shared" si="31"/>
        <v>1710864</v>
      </c>
      <c r="I477" s="5">
        <f>SQRT(SUM('r-pi-multi'!$D$3:D477)/COUNTIF($A$3:A477,"&lt;&gt;0"))</f>
        <v>74.132711722750443</v>
      </c>
    </row>
    <row r="478" spans="1:9">
      <c r="A478">
        <v>476</v>
      </c>
      <c r="B478">
        <v>9</v>
      </c>
      <c r="C478">
        <v>8110</v>
      </c>
      <c r="D478">
        <v>6671</v>
      </c>
      <c r="E478" s="4">
        <f t="shared" si="32"/>
        <v>1</v>
      </c>
      <c r="F478" s="4">
        <f t="shared" si="29"/>
        <v>1439</v>
      </c>
      <c r="G478" s="4">
        <f t="shared" si="30"/>
        <v>3.1483273302813801E-2</v>
      </c>
      <c r="H478" s="4">
        <f t="shared" si="31"/>
        <v>2070721</v>
      </c>
      <c r="I478" s="5">
        <f>SQRT(SUM('r-pi-multi'!$D$3:D478)/COUNTIF($A$3:A478,"&lt;&gt;0"))</f>
        <v>74.149363795386037</v>
      </c>
    </row>
    <row r="479" spans="1:9">
      <c r="A479">
        <v>477</v>
      </c>
      <c r="B479">
        <v>10</v>
      </c>
      <c r="C479">
        <v>8110</v>
      </c>
      <c r="D479">
        <v>7285</v>
      </c>
      <c r="E479" s="4">
        <f t="shared" si="32"/>
        <v>1</v>
      </c>
      <c r="F479" s="4">
        <f t="shared" si="29"/>
        <v>825</v>
      </c>
      <c r="G479" s="4">
        <f t="shared" si="30"/>
        <v>1.0348232761307606E-2</v>
      </c>
      <c r="H479" s="4">
        <f t="shared" si="31"/>
        <v>680625</v>
      </c>
      <c r="I479" s="5">
        <f>SQRT(SUM('r-pi-multi'!$D$3:D479)/COUNTIF($A$3:A479,"&lt;&gt;0"))</f>
        <v>74.174619741772034</v>
      </c>
    </row>
    <row r="480" spans="1:9">
      <c r="A480">
        <v>478</v>
      </c>
      <c r="B480">
        <v>10</v>
      </c>
      <c r="C480">
        <v>8110</v>
      </c>
      <c r="D480">
        <v>7200</v>
      </c>
      <c r="E480" s="4">
        <f t="shared" si="32"/>
        <v>1</v>
      </c>
      <c r="F480" s="4">
        <f t="shared" si="29"/>
        <v>910</v>
      </c>
      <c r="G480" s="4">
        <f t="shared" si="30"/>
        <v>1.2590444884685149E-2</v>
      </c>
      <c r="H480" s="4">
        <f t="shared" si="31"/>
        <v>828100</v>
      </c>
      <c r="I480" s="5">
        <f>SQRT(SUM('r-pi-multi'!$D$3:D480)/COUNTIF($A$3:A480,"&lt;&gt;0"))</f>
        <v>74.198563181794015</v>
      </c>
    </row>
    <row r="481" spans="1:9">
      <c r="A481">
        <v>479</v>
      </c>
      <c r="B481">
        <v>10</v>
      </c>
      <c r="C481">
        <v>8110</v>
      </c>
      <c r="D481">
        <v>6622</v>
      </c>
      <c r="E481" s="4">
        <f t="shared" si="32"/>
        <v>1</v>
      </c>
      <c r="F481" s="4">
        <f t="shared" si="29"/>
        <v>1488</v>
      </c>
      <c r="G481" s="4">
        <f t="shared" si="30"/>
        <v>3.3663878757102181E-2</v>
      </c>
      <c r="H481" s="4">
        <f t="shared" si="31"/>
        <v>2214144</v>
      </c>
      <c r="I481" s="5">
        <f>SQRT(SUM('r-pi-multi'!$D$3:D481)/COUNTIF($A$3:A481,"&lt;&gt;0"))</f>
        <v>74.21426971149161</v>
      </c>
    </row>
    <row r="482" spans="1:9">
      <c r="A482">
        <v>480</v>
      </c>
      <c r="B482">
        <v>10</v>
      </c>
      <c r="C482">
        <v>8110</v>
      </c>
      <c r="D482">
        <v>7050</v>
      </c>
      <c r="E482" s="4">
        <f t="shared" si="32"/>
        <v>1</v>
      </c>
      <c r="F482" s="4">
        <f t="shared" si="29"/>
        <v>1060</v>
      </c>
      <c r="G482" s="4">
        <f t="shared" si="30"/>
        <v>1.7083231339732198E-2</v>
      </c>
      <c r="H482" s="4">
        <f t="shared" si="31"/>
        <v>1123600</v>
      </c>
      <c r="I482" s="5">
        <f>SQRT(SUM('r-pi-multi'!$D$3:D482)/COUNTIF($A$3:A482,"&lt;&gt;0"))</f>
        <v>74.23591336633055</v>
      </c>
    </row>
    <row r="483" spans="1:9">
      <c r="A483">
        <v>481</v>
      </c>
      <c r="B483">
        <v>10</v>
      </c>
      <c r="C483">
        <v>8110</v>
      </c>
      <c r="D483">
        <v>7109</v>
      </c>
      <c r="E483" s="4">
        <f t="shared" si="32"/>
        <v>1</v>
      </c>
      <c r="F483" s="4">
        <f t="shared" si="29"/>
        <v>1001</v>
      </c>
      <c r="G483" s="4">
        <f t="shared" si="30"/>
        <v>1.5234438310469028E-2</v>
      </c>
      <c r="H483" s="4">
        <f t="shared" si="31"/>
        <v>1002001</v>
      </c>
      <c r="I483" s="5">
        <f>SQRT(SUM('r-pi-multi'!$D$3:D483)/COUNTIF($A$3:A483,"&lt;&gt;0"))</f>
        <v>74.258286670870206</v>
      </c>
    </row>
    <row r="484" spans="1:9">
      <c r="A484">
        <v>482</v>
      </c>
      <c r="B484">
        <v>10</v>
      </c>
      <c r="C484">
        <v>8110</v>
      </c>
      <c r="D484">
        <v>7124</v>
      </c>
      <c r="E484" s="4">
        <f t="shared" si="32"/>
        <v>1</v>
      </c>
      <c r="F484" s="4">
        <f t="shared" si="29"/>
        <v>986</v>
      </c>
      <c r="G484" s="4">
        <f t="shared" si="30"/>
        <v>1.4781282641119867E-2</v>
      </c>
      <c r="H484" s="4">
        <f t="shared" si="31"/>
        <v>972196</v>
      </c>
      <c r="I484" s="5">
        <f>SQRT(SUM('r-pi-multi'!$D$3:D484)/COUNTIF($A$3:A484,"&lt;&gt;0"))</f>
        <v>74.280769921178035</v>
      </c>
    </row>
    <row r="485" spans="1:9">
      <c r="A485">
        <v>483</v>
      </c>
      <c r="B485">
        <v>10</v>
      </c>
      <c r="C485">
        <v>8110</v>
      </c>
      <c r="D485">
        <v>7180</v>
      </c>
      <c r="E485" s="4">
        <f t="shared" si="32"/>
        <v>1</v>
      </c>
      <c r="F485" s="4">
        <f t="shared" si="29"/>
        <v>930</v>
      </c>
      <c r="G485" s="4">
        <f t="shared" si="30"/>
        <v>1.3149952639493036E-2</v>
      </c>
      <c r="H485" s="4">
        <f t="shared" si="31"/>
        <v>864900</v>
      </c>
      <c r="I485" s="5">
        <f>SQRT(SUM('r-pi-multi'!$D$3:D485)/COUNTIF($A$3:A485,"&lt;&gt;0"))</f>
        <v>74.303933503963918</v>
      </c>
    </row>
    <row r="486" spans="1:9">
      <c r="A486">
        <v>484</v>
      </c>
      <c r="B486">
        <v>10</v>
      </c>
      <c r="C486">
        <v>8110</v>
      </c>
      <c r="D486">
        <v>7003</v>
      </c>
      <c r="E486" s="4">
        <f t="shared" si="32"/>
        <v>1</v>
      </c>
      <c r="F486" s="4">
        <f t="shared" si="29"/>
        <v>1107</v>
      </c>
      <c r="G486" s="4">
        <f t="shared" si="30"/>
        <v>1.8631745071238413E-2</v>
      </c>
      <c r="H486" s="4">
        <f t="shared" si="31"/>
        <v>1225449</v>
      </c>
      <c r="I486" s="5">
        <f>SQRT(SUM('r-pi-multi'!$D$3:D486)/COUNTIF($A$3:A486,"&lt;&gt;0"))</f>
        <v>74.324534062692678</v>
      </c>
    </row>
    <row r="487" spans="1:9">
      <c r="A487">
        <v>485</v>
      </c>
      <c r="B487">
        <v>10</v>
      </c>
      <c r="C487">
        <v>8110</v>
      </c>
      <c r="D487">
        <v>7083</v>
      </c>
      <c r="E487" s="4">
        <f t="shared" si="32"/>
        <v>1</v>
      </c>
      <c r="F487" s="4">
        <f t="shared" si="29"/>
        <v>1027</v>
      </c>
      <c r="G487" s="4">
        <f t="shared" si="30"/>
        <v>1.6036115617412246E-2</v>
      </c>
      <c r="H487" s="4">
        <f t="shared" si="31"/>
        <v>1054729</v>
      </c>
      <c r="I487" s="5">
        <f>SQRT(SUM('r-pi-multi'!$D$3:D487)/COUNTIF($A$3:A487,"&lt;&gt;0"))</f>
        <v>74.346153333336062</v>
      </c>
    </row>
    <row r="488" spans="1:9">
      <c r="A488">
        <v>486</v>
      </c>
      <c r="B488">
        <v>10</v>
      </c>
      <c r="C488">
        <v>8110</v>
      </c>
      <c r="D488">
        <v>7140</v>
      </c>
      <c r="E488" s="4">
        <f t="shared" si="32"/>
        <v>1</v>
      </c>
      <c r="F488" s="4">
        <f t="shared" si="29"/>
        <v>970</v>
      </c>
      <c r="G488" s="4">
        <f t="shared" si="30"/>
        <v>1.4305457785291941E-2</v>
      </c>
      <c r="H488" s="4">
        <f t="shared" si="31"/>
        <v>940900</v>
      </c>
      <c r="I488" s="5">
        <f>SQRT(SUM('r-pi-multi'!$D$3:D488)/COUNTIF($A$3:A488,"&lt;&gt;0"))</f>
        <v>74.368465926626698</v>
      </c>
    </row>
    <row r="489" spans="1:9">
      <c r="A489">
        <v>487</v>
      </c>
      <c r="B489">
        <v>11</v>
      </c>
      <c r="C489">
        <v>8110</v>
      </c>
      <c r="D489">
        <v>7522</v>
      </c>
      <c r="E489" s="4">
        <f t="shared" si="32"/>
        <v>1</v>
      </c>
      <c r="F489" s="4">
        <f t="shared" si="29"/>
        <v>588</v>
      </c>
      <c r="G489" s="4">
        <f t="shared" si="30"/>
        <v>5.2566969885407336E-3</v>
      </c>
      <c r="H489" s="4">
        <f t="shared" si="31"/>
        <v>345744</v>
      </c>
      <c r="I489" s="5">
        <f>SQRT(SUM('r-pi-multi'!$D$3:D489)/COUNTIF($A$3:A489,"&lt;&gt;0"))</f>
        <v>74.395952176212774</v>
      </c>
    </row>
    <row r="490" spans="1:9">
      <c r="A490">
        <v>488</v>
      </c>
      <c r="B490">
        <v>11</v>
      </c>
      <c r="C490">
        <v>8110</v>
      </c>
      <c r="D490">
        <v>7429</v>
      </c>
      <c r="E490" s="4">
        <f t="shared" si="32"/>
        <v>1</v>
      </c>
      <c r="F490" s="4">
        <f t="shared" si="29"/>
        <v>681</v>
      </c>
      <c r="G490" s="4">
        <f t="shared" si="30"/>
        <v>7.0510292358005903E-3</v>
      </c>
      <c r="H490" s="4">
        <f t="shared" si="31"/>
        <v>463761</v>
      </c>
      <c r="I490" s="5">
        <f>SQRT(SUM('r-pi-multi'!$D$3:D490)/COUNTIF($A$3:A490,"&lt;&gt;0"))</f>
        <v>74.422035340766485</v>
      </c>
    </row>
    <row r="491" spans="1:9">
      <c r="A491">
        <v>489</v>
      </c>
      <c r="B491">
        <v>11</v>
      </c>
      <c r="C491">
        <v>8110</v>
      </c>
      <c r="D491">
        <v>7483</v>
      </c>
      <c r="E491" s="4">
        <f t="shared" si="32"/>
        <v>1</v>
      </c>
      <c r="F491" s="4">
        <f t="shared" si="29"/>
        <v>627</v>
      </c>
      <c r="G491" s="4">
        <f t="shared" si="30"/>
        <v>5.9771392429312726E-3</v>
      </c>
      <c r="H491" s="4">
        <f t="shared" si="31"/>
        <v>393129</v>
      </c>
      <c r="I491" s="5">
        <f>SQRT(SUM('r-pi-multi'!$D$3:D491)/COUNTIF($A$3:A491,"&lt;&gt;0"))</f>
        <v>74.448744394531531</v>
      </c>
    </row>
    <row r="492" spans="1:9">
      <c r="A492">
        <v>490</v>
      </c>
      <c r="B492">
        <v>11</v>
      </c>
      <c r="C492">
        <v>8110</v>
      </c>
      <c r="D492">
        <v>7504</v>
      </c>
      <c r="E492" s="4">
        <f t="shared" si="32"/>
        <v>1</v>
      </c>
      <c r="F492" s="4">
        <f t="shared" si="29"/>
        <v>606</v>
      </c>
      <c r="G492" s="4">
        <f t="shared" si="30"/>
        <v>5.5834616805606023E-3</v>
      </c>
      <c r="H492" s="4">
        <f t="shared" si="31"/>
        <v>367236</v>
      </c>
      <c r="I492" s="5">
        <f>SQRT(SUM('r-pi-multi'!$D$3:D492)/COUNTIF($A$3:A492,"&lt;&gt;0"))</f>
        <v>74.475622638195773</v>
      </c>
    </row>
    <row r="493" spans="1:9">
      <c r="A493">
        <v>491</v>
      </c>
      <c r="B493">
        <v>11</v>
      </c>
      <c r="C493">
        <v>8110</v>
      </c>
      <c r="D493">
        <v>7677</v>
      </c>
      <c r="E493" s="4">
        <f t="shared" si="32"/>
        <v>1</v>
      </c>
      <c r="F493" s="4">
        <f t="shared" si="29"/>
        <v>433</v>
      </c>
      <c r="G493" s="4">
        <f t="shared" si="30"/>
        <v>2.8505855826406637E-3</v>
      </c>
      <c r="H493" s="4">
        <f t="shared" si="31"/>
        <v>187489</v>
      </c>
      <c r="I493" s="5">
        <f>SQRT(SUM('r-pi-multi'!$D$3:D493)/COUNTIF($A$3:A493,"&lt;&gt;0"))</f>
        <v>74.504746359829767</v>
      </c>
    </row>
    <row r="494" spans="1:9">
      <c r="A494">
        <v>492</v>
      </c>
      <c r="B494">
        <v>11</v>
      </c>
      <c r="C494">
        <v>8110</v>
      </c>
      <c r="D494">
        <v>7717</v>
      </c>
      <c r="E494" s="4">
        <f t="shared" si="32"/>
        <v>1</v>
      </c>
      <c r="F494" s="4">
        <f t="shared" si="29"/>
        <v>393</v>
      </c>
      <c r="G494" s="4">
        <f t="shared" si="30"/>
        <v>2.3482449245196676E-3</v>
      </c>
      <c r="H494" s="4">
        <f t="shared" si="31"/>
        <v>154449</v>
      </c>
      <c r="I494" s="5">
        <f>SQRT(SUM('r-pi-multi'!$D$3:D494)/COUNTIF($A$3:A494,"&lt;&gt;0"))</f>
        <v>74.534285775725806</v>
      </c>
    </row>
    <row r="495" spans="1:9">
      <c r="A495">
        <v>493</v>
      </c>
      <c r="B495">
        <v>11</v>
      </c>
      <c r="C495">
        <v>8110</v>
      </c>
      <c r="D495">
        <v>7164</v>
      </c>
      <c r="E495" s="4">
        <f t="shared" si="32"/>
        <v>1</v>
      </c>
      <c r="F495" s="4">
        <f t="shared" si="29"/>
        <v>946</v>
      </c>
      <c r="G495" s="4">
        <f t="shared" si="30"/>
        <v>1.36063163560233E-2</v>
      </c>
      <c r="H495" s="4">
        <f t="shared" si="31"/>
        <v>894916</v>
      </c>
      <c r="I495" s="5">
        <f>SQRT(SUM('r-pi-multi'!$D$3:D495)/COUNTIF($A$3:A495,"&lt;&gt;0"))</f>
        <v>74.55617156247186</v>
      </c>
    </row>
    <row r="496" spans="1:9">
      <c r="A496">
        <v>494</v>
      </c>
      <c r="B496">
        <v>11</v>
      </c>
      <c r="C496">
        <v>8110</v>
      </c>
      <c r="D496">
        <v>6997</v>
      </c>
      <c r="E496" s="4">
        <f t="shared" si="32"/>
        <v>1</v>
      </c>
      <c r="F496" s="4">
        <f t="shared" si="29"/>
        <v>1113</v>
      </c>
      <c r="G496" s="4">
        <f t="shared" si="30"/>
        <v>1.8834262552054747E-2</v>
      </c>
      <c r="H496" s="4">
        <f t="shared" si="31"/>
        <v>1238769</v>
      </c>
      <c r="I496" s="5">
        <f>SQRT(SUM('r-pi-multi'!$D$3:D496)/COUNTIF($A$3:A496,"&lt;&gt;0"))</f>
        <v>74.575695859679826</v>
      </c>
    </row>
    <row r="497" spans="1:9">
      <c r="A497">
        <v>495</v>
      </c>
      <c r="B497">
        <v>11</v>
      </c>
      <c r="C497">
        <v>8110</v>
      </c>
      <c r="D497">
        <v>7538</v>
      </c>
      <c r="E497" s="4">
        <f t="shared" si="32"/>
        <v>1</v>
      </c>
      <c r="F497" s="4">
        <f t="shared" si="29"/>
        <v>572</v>
      </c>
      <c r="G497" s="4">
        <f t="shared" si="30"/>
        <v>4.9745104687245805E-3</v>
      </c>
      <c r="H497" s="4">
        <f t="shared" si="31"/>
        <v>327184</v>
      </c>
      <c r="I497" s="5">
        <f>SQRT(SUM('r-pi-multi'!$D$3:D497)/COUNTIF($A$3:A497,"&lt;&gt;0"))</f>
        <v>74.602461572841364</v>
      </c>
    </row>
    <row r="498" spans="1:9">
      <c r="A498">
        <v>496</v>
      </c>
      <c r="B498">
        <v>11</v>
      </c>
      <c r="C498">
        <v>8110</v>
      </c>
      <c r="D498">
        <v>7358</v>
      </c>
      <c r="E498" s="4">
        <f t="shared" si="32"/>
        <v>1</v>
      </c>
      <c r="F498" s="4">
        <f t="shared" si="29"/>
        <v>752</v>
      </c>
      <c r="G498" s="4">
        <f t="shared" si="30"/>
        <v>8.59793134170872E-3</v>
      </c>
      <c r="H498" s="4">
        <f t="shared" si="31"/>
        <v>565504</v>
      </c>
      <c r="I498" s="5">
        <f>SQRT(SUM('r-pi-multi'!$D$3:D498)/COUNTIF($A$3:A498,"&lt;&gt;0"))</f>
        <v>74.626678400102051</v>
      </c>
    </row>
    <row r="499" spans="1:9">
      <c r="A499">
        <v>497</v>
      </c>
      <c r="B499">
        <v>11</v>
      </c>
      <c r="C499">
        <v>8110</v>
      </c>
      <c r="D499">
        <v>7645</v>
      </c>
      <c r="E499" s="4">
        <f t="shared" si="32"/>
        <v>1</v>
      </c>
      <c r="F499" s="4">
        <f t="shared" si="29"/>
        <v>465</v>
      </c>
      <c r="G499" s="4">
        <f t="shared" si="30"/>
        <v>3.287488159873259E-3</v>
      </c>
      <c r="H499" s="4">
        <f t="shared" si="31"/>
        <v>216225</v>
      </c>
      <c r="I499" s="5">
        <f>SQRT(SUM('r-pi-multi'!$D$3:D499)/COUNTIF($A$3:A499,"&lt;&gt;0"))</f>
        <v>74.654657640663444</v>
      </c>
    </row>
    <row r="500" spans="1:9">
      <c r="A500">
        <v>498</v>
      </c>
      <c r="B500">
        <v>11</v>
      </c>
      <c r="C500">
        <v>8110</v>
      </c>
      <c r="D500">
        <v>7685</v>
      </c>
      <c r="E500" s="4">
        <f t="shared" si="32"/>
        <v>1</v>
      </c>
      <c r="F500" s="4">
        <f t="shared" si="29"/>
        <v>425</v>
      </c>
      <c r="G500" s="4">
        <f t="shared" si="30"/>
        <v>2.7462252231569314E-3</v>
      </c>
      <c r="H500" s="4">
        <f t="shared" si="31"/>
        <v>180625</v>
      </c>
      <c r="I500" s="5">
        <f>SQRT(SUM('r-pi-multi'!$D$3:D500)/COUNTIF($A$3:A500,"&lt;&gt;0"))</f>
        <v>74.683051845326503</v>
      </c>
    </row>
    <row r="501" spans="1:9">
      <c r="A501">
        <v>499</v>
      </c>
      <c r="B501">
        <v>11</v>
      </c>
      <c r="C501">
        <v>8110</v>
      </c>
      <c r="D501">
        <v>7721</v>
      </c>
      <c r="E501" s="4">
        <f t="shared" si="32"/>
        <v>1</v>
      </c>
      <c r="F501" s="4">
        <f t="shared" si="29"/>
        <v>389</v>
      </c>
      <c r="G501" s="4">
        <f t="shared" si="30"/>
        <v>2.3006867653609969E-3</v>
      </c>
      <c r="H501" s="4">
        <f t="shared" si="31"/>
        <v>151321</v>
      </c>
      <c r="I501" s="5">
        <f>SQRT(SUM('r-pi-multi'!$D$3:D501)/COUNTIF($A$3:A501,"&lt;&gt;0"))</f>
        <v>74.711804337834252</v>
      </c>
    </row>
    <row r="502" spans="1:9">
      <c r="A502">
        <v>500</v>
      </c>
      <c r="B502">
        <v>11</v>
      </c>
      <c r="C502">
        <v>8110</v>
      </c>
      <c r="D502">
        <v>7459</v>
      </c>
      <c r="E502" s="4">
        <f t="shared" si="32"/>
        <v>1</v>
      </c>
      <c r="F502" s="4">
        <f t="shared" si="29"/>
        <v>651</v>
      </c>
      <c r="G502" s="4">
        <f t="shared" si="30"/>
        <v>6.4434767933515893E-3</v>
      </c>
      <c r="H502" s="4">
        <f t="shared" si="31"/>
        <v>423801</v>
      </c>
      <c r="I502" s="5">
        <f>SQRT(SUM('r-pi-multi'!$D$3:D502)/COUNTIF($A$3:A502,"&lt;&gt;0"))</f>
        <v>74.736925277937416</v>
      </c>
    </row>
    <row r="503" spans="1:9">
      <c r="A503">
        <v>501</v>
      </c>
      <c r="B503">
        <v>11</v>
      </c>
      <c r="C503">
        <v>8110</v>
      </c>
      <c r="D503">
        <v>7712</v>
      </c>
      <c r="E503" s="4">
        <f t="shared" ref="E503:E566" si="33">IF(AND(D503&lt;=C503*1.2,D503&gt;=C503*0.8),1,0)</f>
        <v>1</v>
      </c>
      <c r="F503" s="4">
        <f t="shared" ref="F503:F566" si="34">ABS(C503-D503)</f>
        <v>398</v>
      </c>
      <c r="G503" s="4">
        <f t="shared" si="30"/>
        <v>2.4083768041464389E-3</v>
      </c>
      <c r="H503" s="4">
        <f t="shared" ref="H503:H566" si="35">POWER(F503,2)</f>
        <v>158404</v>
      </c>
      <c r="I503" s="5">
        <f>SQRT(SUM('r-pi-multi'!$D$3:D503)/COUNTIF($A$3:A503,"&lt;&gt;0"))</f>
        <v>74.765314788404268</v>
      </c>
    </row>
    <row r="504" spans="1:9">
      <c r="A504">
        <v>502</v>
      </c>
      <c r="B504">
        <v>11</v>
      </c>
      <c r="C504">
        <v>8110</v>
      </c>
      <c r="D504">
        <v>7602</v>
      </c>
      <c r="E504" s="4">
        <f t="shared" si="33"/>
        <v>1</v>
      </c>
      <c r="F504" s="4">
        <f t="shared" si="34"/>
        <v>508</v>
      </c>
      <c r="G504" s="4">
        <f t="shared" si="30"/>
        <v>3.9236089466506323E-3</v>
      </c>
      <c r="H504" s="4">
        <f t="shared" si="35"/>
        <v>258064</v>
      </c>
      <c r="I504" s="5">
        <f>SQRT(SUM('r-pi-multi'!$D$3:D504)/COUNTIF($A$3:A504,"&lt;&gt;0"))</f>
        <v>74.792115612335266</v>
      </c>
    </row>
    <row r="505" spans="1:9">
      <c r="A505">
        <v>503</v>
      </c>
      <c r="B505">
        <v>11</v>
      </c>
      <c r="C505">
        <v>8110</v>
      </c>
      <c r="D505">
        <v>7633</v>
      </c>
      <c r="E505" s="4">
        <f t="shared" si="33"/>
        <v>1</v>
      </c>
      <c r="F505" s="4">
        <f t="shared" si="34"/>
        <v>477</v>
      </c>
      <c r="G505" s="4">
        <f t="shared" si="30"/>
        <v>3.4593543462957703E-3</v>
      </c>
      <c r="H505" s="4">
        <f t="shared" si="35"/>
        <v>227529</v>
      </c>
      <c r="I505" s="5">
        <f>SQRT(SUM('r-pi-multi'!$D$3:D505)/COUNTIF($A$3:A505,"&lt;&gt;0"))</f>
        <v>74.819212191271205</v>
      </c>
    </row>
    <row r="506" spans="1:9">
      <c r="A506">
        <v>504</v>
      </c>
      <c r="B506">
        <v>11</v>
      </c>
      <c r="C506">
        <v>8110</v>
      </c>
      <c r="D506">
        <v>7501</v>
      </c>
      <c r="E506" s="4">
        <f t="shared" si="33"/>
        <v>1</v>
      </c>
      <c r="F506" s="4">
        <f t="shared" si="34"/>
        <v>609</v>
      </c>
      <c r="G506" s="4">
        <f t="shared" si="30"/>
        <v>5.6388803155137217E-3</v>
      </c>
      <c r="H506" s="4">
        <f t="shared" si="35"/>
        <v>370881</v>
      </c>
      <c r="I506" s="5">
        <f>SQRT(SUM('r-pi-multi'!$D$3:D506)/COUNTIF($A$3:A506,"&lt;&gt;0"))</f>
        <v>74.844441852354521</v>
      </c>
    </row>
    <row r="507" spans="1:9">
      <c r="A507">
        <v>505</v>
      </c>
      <c r="B507">
        <v>12</v>
      </c>
      <c r="C507">
        <v>8110</v>
      </c>
      <c r="D507">
        <v>8110</v>
      </c>
      <c r="E507" s="4">
        <f t="shared" si="33"/>
        <v>1</v>
      </c>
      <c r="F507" s="4">
        <f t="shared" si="34"/>
        <v>0</v>
      </c>
      <c r="G507" s="4">
        <f t="shared" si="30"/>
        <v>0</v>
      </c>
      <c r="H507" s="4">
        <f t="shared" si="35"/>
        <v>0</v>
      </c>
      <c r="I507" s="5">
        <f>SQRT(SUM('r-pi-multi'!$D$3:D507)/COUNTIF($A$3:A507,"&lt;&gt;0"))</f>
        <v>74.87761631984938</v>
      </c>
    </row>
    <row r="508" spans="1:9">
      <c r="A508">
        <v>506</v>
      </c>
      <c r="B508">
        <v>11</v>
      </c>
      <c r="C508">
        <v>8110</v>
      </c>
      <c r="D508">
        <v>7560</v>
      </c>
      <c r="E508" s="4">
        <f t="shared" si="33"/>
        <v>1</v>
      </c>
      <c r="F508" s="4">
        <f t="shared" si="34"/>
        <v>550</v>
      </c>
      <c r="G508" s="4">
        <f t="shared" si="30"/>
        <v>4.5992145605811587E-3</v>
      </c>
      <c r="H508" s="4">
        <f t="shared" si="35"/>
        <v>302500</v>
      </c>
      <c r="I508" s="5">
        <f>SQRT(SUM('r-pi-multi'!$D$3:D508)/COUNTIF($A$3:A508,"&lt;&gt;0"))</f>
        <v>74.903389686724225</v>
      </c>
    </row>
    <row r="509" spans="1:9">
      <c r="A509">
        <v>507</v>
      </c>
      <c r="B509">
        <v>12</v>
      </c>
      <c r="C509">
        <v>8110</v>
      </c>
      <c r="D509">
        <v>8055</v>
      </c>
      <c r="E509" s="4">
        <f t="shared" si="33"/>
        <v>1</v>
      </c>
      <c r="F509" s="4">
        <f t="shared" si="34"/>
        <v>55</v>
      </c>
      <c r="G509" s="4">
        <f t="shared" si="30"/>
        <v>4.5992145605811577E-5</v>
      </c>
      <c r="H509" s="4">
        <f t="shared" si="35"/>
        <v>3025</v>
      </c>
      <c r="I509" s="5">
        <f>SQRT(SUM('r-pi-multi'!$D$3:D509)/COUNTIF($A$3:A509,"&lt;&gt;0"))</f>
        <v>74.935567326157596</v>
      </c>
    </row>
    <row r="510" spans="1:9">
      <c r="A510">
        <v>508</v>
      </c>
      <c r="B510">
        <v>12</v>
      </c>
      <c r="C510">
        <v>8110</v>
      </c>
      <c r="D510">
        <v>7842</v>
      </c>
      <c r="E510" s="4">
        <f t="shared" si="33"/>
        <v>1</v>
      </c>
      <c r="F510" s="4">
        <f t="shared" si="34"/>
        <v>268</v>
      </c>
      <c r="G510" s="4">
        <f t="shared" si="30"/>
        <v>1.0920131788402681E-3</v>
      </c>
      <c r="H510" s="4">
        <f t="shared" si="35"/>
        <v>71824</v>
      </c>
      <c r="I510" s="5">
        <f>SQRT(SUM('r-pi-multi'!$D$3:D510)/COUNTIF($A$3:A510,"&lt;&gt;0"))</f>
        <v>74.964808016461177</v>
      </c>
    </row>
    <row r="511" spans="1:9">
      <c r="A511">
        <v>509</v>
      </c>
      <c r="B511">
        <v>12</v>
      </c>
      <c r="C511">
        <v>8110</v>
      </c>
      <c r="D511">
        <v>8084</v>
      </c>
      <c r="E511" s="4">
        <f t="shared" si="33"/>
        <v>1</v>
      </c>
      <c r="F511" s="4">
        <f t="shared" si="34"/>
        <v>26</v>
      </c>
      <c r="G511" s="4">
        <f t="shared" si="30"/>
        <v>1.0277914191579712E-5</v>
      </c>
      <c r="H511" s="4">
        <f t="shared" si="35"/>
        <v>676</v>
      </c>
      <c r="I511" s="5">
        <f>SQRT(SUM('r-pi-multi'!$D$3:D511)/COUNTIF($A$3:A511,"&lt;&gt;0"))</f>
        <v>74.997092281551971</v>
      </c>
    </row>
    <row r="512" spans="1:9">
      <c r="A512">
        <v>510</v>
      </c>
      <c r="B512">
        <v>12</v>
      </c>
      <c r="C512">
        <v>8110</v>
      </c>
      <c r="D512">
        <v>8136</v>
      </c>
      <c r="E512" s="4">
        <f t="shared" si="33"/>
        <v>1</v>
      </c>
      <c r="F512" s="4">
        <f t="shared" si="34"/>
        <v>26</v>
      </c>
      <c r="G512" s="4">
        <f t="shared" si="30"/>
        <v>1.0277914191579712E-5</v>
      </c>
      <c r="H512" s="4">
        <f t="shared" si="35"/>
        <v>676</v>
      </c>
      <c r="I512" s="5">
        <f>SQRT(SUM('r-pi-multi'!$D$3:D512)/COUNTIF($A$3:A512,"&lt;&gt;0"))</f>
        <v>75.029915602339031</v>
      </c>
    </row>
    <row r="513" spans="1:9">
      <c r="A513">
        <v>511</v>
      </c>
      <c r="B513">
        <v>12</v>
      </c>
      <c r="C513">
        <v>8110</v>
      </c>
      <c r="D513">
        <v>8059</v>
      </c>
      <c r="E513" s="4">
        <f t="shared" si="33"/>
        <v>1</v>
      </c>
      <c r="F513" s="4">
        <f t="shared" si="34"/>
        <v>51</v>
      </c>
      <c r="G513" s="4">
        <f t="shared" si="30"/>
        <v>3.9545643213459811E-5</v>
      </c>
      <c r="H513" s="4">
        <f t="shared" si="35"/>
        <v>2601</v>
      </c>
      <c r="I513" s="5">
        <f>SQRT(SUM('r-pi-multi'!$D$3:D513)/COUNTIF($A$3:A513,"&lt;&gt;0"))</f>
        <v>75.061592452119882</v>
      </c>
    </row>
    <row r="514" spans="1:9">
      <c r="A514">
        <v>512</v>
      </c>
      <c r="B514">
        <v>12</v>
      </c>
      <c r="C514">
        <v>8110</v>
      </c>
      <c r="D514">
        <v>8077</v>
      </c>
      <c r="E514" s="4">
        <f t="shared" si="33"/>
        <v>1</v>
      </c>
      <c r="F514" s="4">
        <f t="shared" si="34"/>
        <v>33</v>
      </c>
      <c r="G514" s="4">
        <f t="shared" si="30"/>
        <v>1.6557172418092168E-5</v>
      </c>
      <c r="H514" s="4">
        <f t="shared" si="35"/>
        <v>1089</v>
      </c>
      <c r="I514" s="5">
        <f>SQRT(SUM('r-pi-multi'!$D$3:D514)/COUNTIF($A$3:A514,"&lt;&gt;0"))</f>
        <v>75.093366363980508</v>
      </c>
    </row>
    <row r="515" spans="1:9">
      <c r="A515">
        <v>513</v>
      </c>
      <c r="B515">
        <v>12</v>
      </c>
      <c r="C515">
        <v>8110</v>
      </c>
      <c r="D515">
        <v>8080</v>
      </c>
      <c r="E515" s="4">
        <f t="shared" si="33"/>
        <v>1</v>
      </c>
      <c r="F515" s="4">
        <f t="shared" si="34"/>
        <v>30</v>
      </c>
      <c r="G515" s="4">
        <f t="shared" si="30"/>
        <v>1.3683613568671215E-5</v>
      </c>
      <c r="H515" s="4">
        <f t="shared" si="35"/>
        <v>900</v>
      </c>
      <c r="I515" s="5">
        <f>SQRT(SUM('r-pi-multi'!$D$3:D515)/COUNTIF($A$3:A515,"&lt;&gt;0"))</f>
        <v>75.125041962214979</v>
      </c>
    </row>
    <row r="516" spans="1:9">
      <c r="A516">
        <v>514</v>
      </c>
      <c r="B516">
        <v>12</v>
      </c>
      <c r="C516">
        <v>8110</v>
      </c>
      <c r="D516">
        <v>8192</v>
      </c>
      <c r="E516" s="4">
        <f t="shared" si="33"/>
        <v>1</v>
      </c>
      <c r="F516" s="4">
        <f t="shared" si="34"/>
        <v>82</v>
      </c>
      <c r="G516" s="4">
        <f t="shared" ref="G516:G579" si="36">POWER(ABS(C516-D516)/C516,2)</f>
        <v>1.0223179737305027E-4</v>
      </c>
      <c r="H516" s="4">
        <f t="shared" si="35"/>
        <v>6724</v>
      </c>
      <c r="I516" s="5">
        <f>SQRT(SUM('r-pi-multi'!$D$3:D516)/COUNTIF($A$3:A516,"&lt;&gt;0"))</f>
        <v>75.15803065530946</v>
      </c>
    </row>
    <row r="517" spans="1:9">
      <c r="A517">
        <v>515</v>
      </c>
      <c r="B517">
        <v>12</v>
      </c>
      <c r="C517">
        <v>8110</v>
      </c>
      <c r="D517">
        <v>7921</v>
      </c>
      <c r="E517" s="4">
        <f t="shared" si="33"/>
        <v>1</v>
      </c>
      <c r="F517" s="4">
        <f t="shared" si="34"/>
        <v>189</v>
      </c>
      <c r="G517" s="4">
        <f t="shared" si="36"/>
        <v>5.431026225405605E-4</v>
      </c>
      <c r="H517" s="4">
        <f t="shared" si="35"/>
        <v>35721</v>
      </c>
      <c r="I517" s="5">
        <f>SQRT(SUM('r-pi-multi'!$D$3:D517)/COUNTIF($A$3:A517,"&lt;&gt;0"))</f>
        <v>75.187377581431946</v>
      </c>
    </row>
    <row r="518" spans="1:9">
      <c r="A518">
        <v>516</v>
      </c>
      <c r="B518">
        <v>12</v>
      </c>
      <c r="C518">
        <v>8110</v>
      </c>
      <c r="D518">
        <v>8060</v>
      </c>
      <c r="E518" s="4">
        <f t="shared" si="33"/>
        <v>1</v>
      </c>
      <c r="F518" s="4">
        <f t="shared" si="34"/>
        <v>50</v>
      </c>
      <c r="G518" s="4">
        <f t="shared" si="36"/>
        <v>3.8010037690753374E-5</v>
      </c>
      <c r="H518" s="4">
        <f t="shared" si="35"/>
        <v>2500</v>
      </c>
      <c r="I518" s="5">
        <f>SQRT(SUM('r-pi-multi'!$D$3:D518)/COUNTIF($A$3:A518,"&lt;&gt;0"))</f>
        <v>75.218390048912823</v>
      </c>
    </row>
    <row r="519" spans="1:9">
      <c r="A519">
        <v>517</v>
      </c>
      <c r="B519">
        <v>12</v>
      </c>
      <c r="C519">
        <v>8110</v>
      </c>
      <c r="D519">
        <v>8184</v>
      </c>
      <c r="E519" s="4">
        <f t="shared" si="33"/>
        <v>1</v>
      </c>
      <c r="F519" s="4">
        <f t="shared" si="34"/>
        <v>74</v>
      </c>
      <c r="G519" s="4">
        <f t="shared" si="36"/>
        <v>8.32571865578262E-5</v>
      </c>
      <c r="H519" s="4">
        <f t="shared" si="35"/>
        <v>5476</v>
      </c>
      <c r="I519" s="5">
        <f>SQRT(SUM('r-pi-multi'!$D$3:D519)/COUNTIF($A$3:A519,"&lt;&gt;0"))</f>
        <v>75.250863493249639</v>
      </c>
    </row>
    <row r="520" spans="1:9">
      <c r="A520">
        <v>518</v>
      </c>
      <c r="B520">
        <v>12</v>
      </c>
      <c r="C520">
        <v>8110</v>
      </c>
      <c r="D520">
        <v>8096</v>
      </c>
      <c r="E520" s="4">
        <f t="shared" si="33"/>
        <v>1</v>
      </c>
      <c r="F520" s="4">
        <f t="shared" si="34"/>
        <v>14</v>
      </c>
      <c r="G520" s="4">
        <f t="shared" si="36"/>
        <v>2.9799869549550641E-6</v>
      </c>
      <c r="H520" s="4">
        <f t="shared" si="35"/>
        <v>196</v>
      </c>
      <c r="I520" s="5">
        <f>SQRT(SUM('r-pi-multi'!$D$3:D520)/COUNTIF($A$3:A520,"&lt;&gt;0"))</f>
        <v>75.282069321917291</v>
      </c>
    </row>
    <row r="521" spans="1:9">
      <c r="A521">
        <v>519</v>
      </c>
      <c r="B521">
        <v>12</v>
      </c>
      <c r="C521">
        <v>8110</v>
      </c>
      <c r="D521">
        <v>8075</v>
      </c>
      <c r="E521" s="4">
        <f t="shared" si="33"/>
        <v>1</v>
      </c>
      <c r="F521" s="4">
        <f t="shared" si="34"/>
        <v>35</v>
      </c>
      <c r="G521" s="4">
        <f t="shared" si="36"/>
        <v>1.862491846846915E-5</v>
      </c>
      <c r="H521" s="4">
        <f t="shared" si="35"/>
        <v>1225</v>
      </c>
      <c r="I521" s="5">
        <f>SQRT(SUM('r-pi-multi'!$D$3:D521)/COUNTIF($A$3:A521,"&lt;&gt;0"))</f>
        <v>75.31287341307663</v>
      </c>
    </row>
    <row r="522" spans="1:9">
      <c r="A522">
        <v>520</v>
      </c>
      <c r="B522">
        <v>12</v>
      </c>
      <c r="C522">
        <v>8110</v>
      </c>
      <c r="D522">
        <v>7995</v>
      </c>
      <c r="E522" s="4">
        <f t="shared" si="33"/>
        <v>1</v>
      </c>
      <c r="F522" s="4">
        <f t="shared" si="34"/>
        <v>115</v>
      </c>
      <c r="G522" s="4">
        <f t="shared" si="36"/>
        <v>2.0107309938408537E-4</v>
      </c>
      <c r="H522" s="4">
        <f t="shared" si="35"/>
        <v>13225</v>
      </c>
      <c r="I522" s="5">
        <f>SQRT(SUM('r-pi-multi'!$D$3:D522)/COUNTIF($A$3:A522,"&lt;&gt;0"))</f>
        <v>75.342525534031267</v>
      </c>
    </row>
    <row r="523" spans="1:9">
      <c r="A523">
        <v>521</v>
      </c>
      <c r="B523">
        <v>12</v>
      </c>
      <c r="C523">
        <v>8110</v>
      </c>
      <c r="D523">
        <v>8002</v>
      </c>
      <c r="E523" s="4">
        <f t="shared" si="33"/>
        <v>1</v>
      </c>
      <c r="F523" s="4">
        <f t="shared" si="34"/>
        <v>108</v>
      </c>
      <c r="G523" s="4">
        <f t="shared" si="36"/>
        <v>1.7733963184997893E-4</v>
      </c>
      <c r="H523" s="4">
        <f t="shared" si="35"/>
        <v>11664</v>
      </c>
      <c r="I523" s="5">
        <f>SQRT(SUM('r-pi-multi'!$D$3:D523)/COUNTIF($A$3:A523,"&lt;&gt;0"))</f>
        <v>75.372141358052659</v>
      </c>
    </row>
    <row r="524" spans="1:9">
      <c r="A524">
        <v>522</v>
      </c>
      <c r="B524">
        <v>12</v>
      </c>
      <c r="C524">
        <v>8110</v>
      </c>
      <c r="D524">
        <v>8079</v>
      </c>
      <c r="E524" s="4">
        <f t="shared" si="33"/>
        <v>1</v>
      </c>
      <c r="F524" s="4">
        <f t="shared" si="34"/>
        <v>31</v>
      </c>
      <c r="G524" s="4">
        <f t="shared" si="36"/>
        <v>1.4611058488325597E-5</v>
      </c>
      <c r="H524" s="4">
        <f t="shared" si="35"/>
        <v>961</v>
      </c>
      <c r="I524" s="5">
        <f>SQRT(SUM('r-pi-multi'!$D$3:D524)/COUNTIF($A$3:A524,"&lt;&gt;0"))</f>
        <v>75.402610298627877</v>
      </c>
    </row>
    <row r="525" spans="1:9">
      <c r="A525">
        <v>523</v>
      </c>
      <c r="B525">
        <v>12</v>
      </c>
      <c r="C525">
        <v>8110</v>
      </c>
      <c r="D525">
        <v>8013</v>
      </c>
      <c r="E525" s="4">
        <f t="shared" si="33"/>
        <v>1</v>
      </c>
      <c r="F525" s="4">
        <f t="shared" si="34"/>
        <v>97</v>
      </c>
      <c r="G525" s="4">
        <f t="shared" si="36"/>
        <v>1.4305457785291942E-4</v>
      </c>
      <c r="H525" s="4">
        <f t="shared" si="35"/>
        <v>9409</v>
      </c>
      <c r="I525" s="5">
        <f>SQRT(SUM('r-pi-multi'!$D$3:D525)/COUNTIF($A$3:A525,"&lt;&gt;0"))</f>
        <v>75.432114010491432</v>
      </c>
    </row>
    <row r="526" spans="1:9">
      <c r="A526">
        <v>524</v>
      </c>
      <c r="B526">
        <v>12</v>
      </c>
      <c r="C526">
        <v>8110</v>
      </c>
      <c r="D526">
        <v>8294</v>
      </c>
      <c r="E526" s="4">
        <f t="shared" si="33"/>
        <v>1</v>
      </c>
      <c r="F526" s="4">
        <f t="shared" si="34"/>
        <v>184</v>
      </c>
      <c r="G526" s="4">
        <f t="shared" si="36"/>
        <v>5.1474713442325852E-4</v>
      </c>
      <c r="H526" s="4">
        <f t="shared" si="35"/>
        <v>33856</v>
      </c>
      <c r="I526" s="5">
        <f>SQRT(SUM('r-pi-multi'!$D$3:D526)/COUNTIF($A$3:A526,"&lt;&gt;0"))</f>
        <v>75.465046759693649</v>
      </c>
    </row>
    <row r="527" spans="1:9">
      <c r="A527">
        <v>525</v>
      </c>
      <c r="B527">
        <v>12</v>
      </c>
      <c r="C527">
        <v>8110</v>
      </c>
      <c r="D527">
        <v>8000</v>
      </c>
      <c r="E527" s="4">
        <f t="shared" si="33"/>
        <v>1</v>
      </c>
      <c r="F527" s="4">
        <f t="shared" si="34"/>
        <v>110</v>
      </c>
      <c r="G527" s="4">
        <f t="shared" si="36"/>
        <v>1.8396858242324631E-4</v>
      </c>
      <c r="H527" s="4">
        <f t="shared" si="35"/>
        <v>12100</v>
      </c>
      <c r="I527" s="5">
        <f>SQRT(SUM('r-pi-multi'!$D$3:D527)/COUNTIF($A$3:A527,"&lt;&gt;0"))</f>
        <v>75.494130960782698</v>
      </c>
    </row>
    <row r="528" spans="1:9">
      <c r="A528">
        <v>526</v>
      </c>
      <c r="B528">
        <v>12</v>
      </c>
      <c r="C528">
        <v>8110</v>
      </c>
      <c r="D528">
        <v>8057</v>
      </c>
      <c r="E528" s="4">
        <f t="shared" si="33"/>
        <v>1</v>
      </c>
      <c r="F528" s="4">
        <f t="shared" si="34"/>
        <v>53</v>
      </c>
      <c r="G528" s="4">
        <f t="shared" si="36"/>
        <v>4.2708078349330487E-5</v>
      </c>
      <c r="H528" s="4">
        <f t="shared" si="35"/>
        <v>2809</v>
      </c>
      <c r="I528" s="5">
        <f>SQRT(SUM('r-pi-multi'!$D$3:D528)/COUNTIF($A$3:A528,"&lt;&gt;0"))</f>
        <v>75.523810865213648</v>
      </c>
    </row>
    <row r="529" spans="1:9">
      <c r="A529">
        <v>527</v>
      </c>
      <c r="B529">
        <v>12</v>
      </c>
      <c r="C529">
        <v>8110</v>
      </c>
      <c r="D529">
        <v>8137</v>
      </c>
      <c r="E529" s="4">
        <f t="shared" si="33"/>
        <v>1</v>
      </c>
      <c r="F529" s="4">
        <f t="shared" si="34"/>
        <v>27</v>
      </c>
      <c r="G529" s="4">
        <f t="shared" si="36"/>
        <v>1.1083726990623683E-5</v>
      </c>
      <c r="H529" s="4">
        <f t="shared" si="35"/>
        <v>729</v>
      </c>
      <c r="I529" s="5">
        <f>SQRT(SUM('r-pi-multi'!$D$3:D529)/COUNTIF($A$3:A529,"&lt;&gt;0"))</f>
        <v>75.55437113828998</v>
      </c>
    </row>
    <row r="530" spans="1:9">
      <c r="A530">
        <v>528</v>
      </c>
      <c r="B530">
        <v>12</v>
      </c>
      <c r="C530">
        <v>8110</v>
      </c>
      <c r="D530">
        <v>8096</v>
      </c>
      <c r="E530" s="4">
        <f t="shared" si="33"/>
        <v>1</v>
      </c>
      <c r="F530" s="4">
        <f t="shared" si="34"/>
        <v>14</v>
      </c>
      <c r="G530" s="4">
        <f t="shared" si="36"/>
        <v>2.9799869549550641E-6</v>
      </c>
      <c r="H530" s="4">
        <f t="shared" si="35"/>
        <v>196</v>
      </c>
      <c r="I530" s="5">
        <f>SQRT(SUM('r-pi-multi'!$D$3:D530)/COUNTIF($A$3:A530,"&lt;&gt;0"))</f>
        <v>75.584289693592069</v>
      </c>
    </row>
    <row r="531" spans="1:9">
      <c r="A531">
        <v>529</v>
      </c>
      <c r="B531">
        <v>12</v>
      </c>
      <c r="C531">
        <v>8110</v>
      </c>
      <c r="D531">
        <v>7861</v>
      </c>
      <c r="E531" s="4">
        <f t="shared" si="33"/>
        <v>1</v>
      </c>
      <c r="F531" s="4">
        <f t="shared" si="34"/>
        <v>249</v>
      </c>
      <c r="G531" s="4">
        <f t="shared" si="36"/>
        <v>9.4266413874576007E-4</v>
      </c>
      <c r="H531" s="4">
        <f t="shared" si="35"/>
        <v>62001</v>
      </c>
      <c r="I531" s="5">
        <f>SQRT(SUM('r-pi-multi'!$D$3:D531)/COUNTIF($A$3:A531,"&lt;&gt;0"))</f>
        <v>75.611145796238517</v>
      </c>
    </row>
    <row r="532" spans="1:9">
      <c r="A532">
        <v>530</v>
      </c>
      <c r="B532">
        <v>12</v>
      </c>
      <c r="C532">
        <v>8110</v>
      </c>
      <c r="D532">
        <v>8059</v>
      </c>
      <c r="E532" s="4">
        <f t="shared" si="33"/>
        <v>1</v>
      </c>
      <c r="F532" s="4">
        <f t="shared" si="34"/>
        <v>51</v>
      </c>
      <c r="G532" s="4">
        <f t="shared" si="36"/>
        <v>3.9545643213459811E-5</v>
      </c>
      <c r="H532" s="4">
        <f t="shared" si="35"/>
        <v>2601</v>
      </c>
      <c r="I532" s="5">
        <f>SQRT(SUM('r-pi-multi'!$D$3:D532)/COUNTIF($A$3:A532,"&lt;&gt;0"))</f>
        <v>75.640360595011686</v>
      </c>
    </row>
    <row r="533" spans="1:9">
      <c r="A533">
        <v>531</v>
      </c>
      <c r="B533">
        <v>12</v>
      </c>
      <c r="C533">
        <v>8110</v>
      </c>
      <c r="D533">
        <v>7931</v>
      </c>
      <c r="E533" s="4">
        <f t="shared" si="33"/>
        <v>1</v>
      </c>
      <c r="F533" s="4">
        <f t="shared" si="34"/>
        <v>179</v>
      </c>
      <c r="G533" s="4">
        <f t="shared" si="36"/>
        <v>4.8715184705977157E-4</v>
      </c>
      <c r="H533" s="4">
        <f t="shared" si="35"/>
        <v>32041</v>
      </c>
      <c r="I533" s="5">
        <f>SQRT(SUM('r-pi-multi'!$D$3:D533)/COUNTIF($A$3:A533,"&lt;&gt;0"))</f>
        <v>75.667861311159683</v>
      </c>
    </row>
    <row r="534" spans="1:9">
      <c r="A534">
        <v>532</v>
      </c>
      <c r="B534">
        <v>12</v>
      </c>
      <c r="C534">
        <v>8110</v>
      </c>
      <c r="D534">
        <v>8102</v>
      </c>
      <c r="E534" s="4">
        <f t="shared" si="33"/>
        <v>1</v>
      </c>
      <c r="F534" s="4">
        <f t="shared" si="34"/>
        <v>8</v>
      </c>
      <c r="G534" s="4">
        <f t="shared" si="36"/>
        <v>9.7305696488328639E-7</v>
      </c>
      <c r="H534" s="4">
        <f t="shared" si="35"/>
        <v>64</v>
      </c>
      <c r="I534" s="5">
        <f>SQRT(SUM('r-pi-multi'!$D$3:D534)/COUNTIF($A$3:A534,"&lt;&gt;0"))</f>
        <v>75.697371851756898</v>
      </c>
    </row>
    <row r="535" spans="1:9">
      <c r="A535">
        <v>533</v>
      </c>
      <c r="B535">
        <v>12</v>
      </c>
      <c r="C535">
        <v>8110</v>
      </c>
      <c r="D535">
        <v>8078</v>
      </c>
      <c r="E535" s="4">
        <f t="shared" si="33"/>
        <v>1</v>
      </c>
      <c r="F535" s="4">
        <f t="shared" si="34"/>
        <v>32</v>
      </c>
      <c r="G535" s="4">
        <f t="shared" si="36"/>
        <v>1.5568911438132582E-5</v>
      </c>
      <c r="H535" s="4">
        <f t="shared" si="35"/>
        <v>1024</v>
      </c>
      <c r="I535" s="5">
        <f>SQRT(SUM('r-pi-multi'!$D$3:D535)/COUNTIF($A$3:A535,"&lt;&gt;0"))</f>
        <v>75.726462915820179</v>
      </c>
    </row>
    <row r="536" spans="1:9">
      <c r="A536">
        <v>534</v>
      </c>
      <c r="B536">
        <v>12</v>
      </c>
      <c r="C536">
        <v>8110</v>
      </c>
      <c r="D536">
        <v>8194</v>
      </c>
      <c r="E536" s="4">
        <f t="shared" si="33"/>
        <v>1</v>
      </c>
      <c r="F536" s="4">
        <f t="shared" si="34"/>
        <v>84</v>
      </c>
      <c r="G536" s="4">
        <f t="shared" si="36"/>
        <v>1.0727953037838231E-4</v>
      </c>
      <c r="H536" s="4">
        <f t="shared" si="35"/>
        <v>7056</v>
      </c>
      <c r="I536" s="5">
        <f>SQRT(SUM('r-pi-multi'!$D$3:D536)/COUNTIF($A$3:A536,"&lt;&gt;0"))</f>
        <v>75.756867650759432</v>
      </c>
    </row>
    <row r="537" spans="1:9">
      <c r="A537">
        <v>535</v>
      </c>
      <c r="B537">
        <v>12</v>
      </c>
      <c r="C537">
        <v>8110</v>
      </c>
      <c r="D537">
        <v>8138</v>
      </c>
      <c r="E537" s="4">
        <f t="shared" si="33"/>
        <v>1</v>
      </c>
      <c r="F537" s="4">
        <f t="shared" si="34"/>
        <v>28</v>
      </c>
      <c r="G537" s="4">
        <f t="shared" si="36"/>
        <v>1.1919947819820256E-5</v>
      </c>
      <c r="H537" s="4">
        <f t="shared" si="35"/>
        <v>784</v>
      </c>
      <c r="I537" s="5">
        <f>SQRT(SUM('r-pi-multi'!$D$3:D537)/COUNTIF($A$3:A537,"&lt;&gt;0"))</f>
        <v>75.786456018789067</v>
      </c>
    </row>
    <row r="538" spans="1:9">
      <c r="A538">
        <v>536</v>
      </c>
      <c r="B538">
        <v>12</v>
      </c>
      <c r="C538">
        <v>8110</v>
      </c>
      <c r="D538">
        <v>8001</v>
      </c>
      <c r="E538" s="4">
        <f t="shared" si="33"/>
        <v>1</v>
      </c>
      <c r="F538" s="4">
        <f t="shared" si="34"/>
        <v>109</v>
      </c>
      <c r="G538" s="4">
        <f t="shared" si="36"/>
        <v>1.8063890312153632E-4</v>
      </c>
      <c r="H538" s="4">
        <f t="shared" si="35"/>
        <v>11881</v>
      </c>
      <c r="I538" s="5">
        <f>SQRT(SUM('r-pi-multi'!$D$3:D538)/COUNTIF($A$3:A538,"&lt;&gt;0"))</f>
        <v>75.814236838885918</v>
      </c>
    </row>
    <row r="539" spans="1:9">
      <c r="A539">
        <v>537</v>
      </c>
      <c r="B539">
        <v>12</v>
      </c>
      <c r="C539">
        <v>8110</v>
      </c>
      <c r="D539">
        <v>8007</v>
      </c>
      <c r="E539" s="4">
        <f t="shared" si="33"/>
        <v>1</v>
      </c>
      <c r="F539" s="4">
        <f t="shared" si="34"/>
        <v>103</v>
      </c>
      <c r="G539" s="4">
        <f t="shared" si="36"/>
        <v>1.6129939594448101E-4</v>
      </c>
      <c r="H539" s="4">
        <f t="shared" si="35"/>
        <v>10609</v>
      </c>
      <c r="I539" s="5">
        <f>SQRT(SUM('r-pi-multi'!$D$3:D539)/COUNTIF($A$3:A539,"&lt;&gt;0"))</f>
        <v>75.841977733918426</v>
      </c>
    </row>
    <row r="540" spans="1:9">
      <c r="A540">
        <v>538</v>
      </c>
      <c r="B540">
        <v>12</v>
      </c>
      <c r="C540">
        <v>8110</v>
      </c>
      <c r="D540">
        <v>8045</v>
      </c>
      <c r="E540" s="4">
        <f t="shared" si="33"/>
        <v>1</v>
      </c>
      <c r="F540" s="4">
        <f t="shared" si="34"/>
        <v>65</v>
      </c>
      <c r="G540" s="4">
        <f t="shared" si="36"/>
        <v>6.4236963697373204E-5</v>
      </c>
      <c r="H540" s="4">
        <f t="shared" si="35"/>
        <v>4225</v>
      </c>
      <c r="I540" s="5">
        <f>SQRT(SUM('r-pi-multi'!$D$3:D540)/COUNTIF($A$3:A540,"&lt;&gt;0"))</f>
        <v>75.870070897505855</v>
      </c>
    </row>
    <row r="541" spans="1:9">
      <c r="A541">
        <v>539</v>
      </c>
      <c r="B541">
        <v>12</v>
      </c>
      <c r="C541">
        <v>8110</v>
      </c>
      <c r="D541">
        <v>7487</v>
      </c>
      <c r="E541" s="4">
        <f t="shared" si="33"/>
        <v>1</v>
      </c>
      <c r="F541" s="4">
        <f t="shared" si="34"/>
        <v>623</v>
      </c>
      <c r="G541" s="4">
        <f t="shared" si="36"/>
        <v>5.9011191675497664E-3</v>
      </c>
      <c r="H541" s="4">
        <f t="shared" si="35"/>
        <v>388129</v>
      </c>
      <c r="I541" s="5">
        <f>SQRT(SUM('r-pi-multi'!$D$3:D541)/COUNTIF($A$3:A541,"&lt;&gt;0"))</f>
        <v>75.891229165121246</v>
      </c>
    </row>
    <row r="542" spans="1:9">
      <c r="A542">
        <v>540</v>
      </c>
      <c r="B542">
        <v>12</v>
      </c>
      <c r="C542">
        <v>8110</v>
      </c>
      <c r="D542">
        <v>7636</v>
      </c>
      <c r="E542" s="4">
        <f t="shared" si="33"/>
        <v>1</v>
      </c>
      <c r="F542" s="4">
        <f t="shared" si="34"/>
        <v>474</v>
      </c>
      <c r="G542" s="4">
        <f t="shared" si="36"/>
        <v>3.4159772912830816E-3</v>
      </c>
      <c r="H542" s="4">
        <f t="shared" si="35"/>
        <v>224676</v>
      </c>
      <c r="I542" s="5">
        <f>SQRT(SUM('r-pi-multi'!$D$3:D542)/COUNTIF($A$3:A542,"&lt;&gt;0"))</f>
        <v>75.914120581771243</v>
      </c>
    </row>
    <row r="543" spans="1:9">
      <c r="A543">
        <v>541</v>
      </c>
      <c r="B543">
        <v>12</v>
      </c>
      <c r="C543">
        <v>8110</v>
      </c>
      <c r="D543">
        <v>7876</v>
      </c>
      <c r="E543" s="4">
        <f t="shared" si="33"/>
        <v>1</v>
      </c>
      <c r="F543" s="4">
        <f t="shared" si="34"/>
        <v>234</v>
      </c>
      <c r="G543" s="4">
        <f t="shared" si="36"/>
        <v>8.3251104951795676E-4</v>
      </c>
      <c r="H543" s="4">
        <f t="shared" si="35"/>
        <v>54756</v>
      </c>
      <c r="I543" s="5">
        <f>SQRT(SUM('r-pi-multi'!$D$3:D543)/COUNTIF($A$3:A543,"&lt;&gt;0"))</f>
        <v>75.939841449719282</v>
      </c>
    </row>
    <row r="544" spans="1:9">
      <c r="A544">
        <v>542</v>
      </c>
      <c r="B544">
        <v>12</v>
      </c>
      <c r="C544">
        <v>8110</v>
      </c>
      <c r="D544">
        <v>7841</v>
      </c>
      <c r="E544" s="4">
        <f t="shared" si="33"/>
        <v>1</v>
      </c>
      <c r="F544" s="4">
        <f t="shared" si="34"/>
        <v>269</v>
      </c>
      <c r="G544" s="4">
        <f t="shared" si="36"/>
        <v>1.100177734936242E-3</v>
      </c>
      <c r="H544" s="4">
        <f t="shared" si="35"/>
        <v>72361</v>
      </c>
      <c r="I544" s="5">
        <f>SQRT(SUM('r-pi-multi'!$D$3:D544)/COUNTIF($A$3:A544,"&lt;&gt;0"))</f>
        <v>75.965033711987971</v>
      </c>
    </row>
    <row r="545" spans="1:9">
      <c r="A545">
        <v>543</v>
      </c>
      <c r="B545">
        <v>12</v>
      </c>
      <c r="C545">
        <v>8110</v>
      </c>
      <c r="D545">
        <v>8024</v>
      </c>
      <c r="E545" s="4">
        <f t="shared" si="33"/>
        <v>1</v>
      </c>
      <c r="F545" s="4">
        <f t="shared" si="34"/>
        <v>86</v>
      </c>
      <c r="G545" s="4">
        <f t="shared" si="36"/>
        <v>1.1244889550432478E-4</v>
      </c>
      <c r="H545" s="4">
        <f t="shared" si="35"/>
        <v>7396</v>
      </c>
      <c r="I545" s="5">
        <f>SQRT(SUM('r-pi-multi'!$D$3:D545)/COUNTIF($A$3:A545,"&lt;&gt;0"))</f>
        <v>75.992342349504355</v>
      </c>
    </row>
    <row r="546" spans="1:9">
      <c r="A546">
        <v>544</v>
      </c>
      <c r="B546">
        <v>12</v>
      </c>
      <c r="C546">
        <v>8110</v>
      </c>
      <c r="D546">
        <v>7957</v>
      </c>
      <c r="E546" s="4">
        <f t="shared" si="33"/>
        <v>1</v>
      </c>
      <c r="F546" s="4">
        <f t="shared" si="34"/>
        <v>153</v>
      </c>
      <c r="G546" s="4">
        <f t="shared" si="36"/>
        <v>3.5591078892113824E-4</v>
      </c>
      <c r="H546" s="4">
        <f t="shared" si="35"/>
        <v>23409</v>
      </c>
      <c r="I546" s="5">
        <f>SQRT(SUM('r-pi-multi'!$D$3:D546)/COUNTIF($A$3:A546,"&lt;&gt;0"))</f>
        <v>76.01873076071837</v>
      </c>
    </row>
    <row r="547" spans="1:9">
      <c r="A547">
        <v>545</v>
      </c>
      <c r="B547">
        <v>12</v>
      </c>
      <c r="C547">
        <v>8110</v>
      </c>
      <c r="D547">
        <v>7828</v>
      </c>
      <c r="E547" s="4">
        <f t="shared" si="33"/>
        <v>1</v>
      </c>
      <c r="F547" s="4">
        <f t="shared" si="34"/>
        <v>282</v>
      </c>
      <c r="G547" s="4">
        <f t="shared" si="36"/>
        <v>1.2090840949277885E-3</v>
      </c>
      <c r="H547" s="4">
        <f t="shared" si="35"/>
        <v>79524</v>
      </c>
      <c r="I547" s="5">
        <f>SQRT(SUM('r-pi-multi'!$D$3:D547)/COUNTIF($A$3:A547,"&lt;&gt;0"))</f>
        <v>76.043456914119446</v>
      </c>
    </row>
    <row r="548" spans="1:9">
      <c r="A548">
        <v>546</v>
      </c>
      <c r="B548">
        <v>12</v>
      </c>
      <c r="C548">
        <v>8110</v>
      </c>
      <c r="D548">
        <v>8161</v>
      </c>
      <c r="E548" s="4">
        <f t="shared" si="33"/>
        <v>1</v>
      </c>
      <c r="F548" s="4">
        <f t="shared" si="34"/>
        <v>51</v>
      </c>
      <c r="G548" s="4">
        <f t="shared" si="36"/>
        <v>3.9545643213459811E-5</v>
      </c>
      <c r="H548" s="4">
        <f t="shared" si="35"/>
        <v>2601</v>
      </c>
      <c r="I548" s="5">
        <f>SQRT(SUM('r-pi-multi'!$D$3:D548)/COUNTIF($A$3:A548,"&lt;&gt;0"))</f>
        <v>76.072093240316249</v>
      </c>
    </row>
    <row r="549" spans="1:9">
      <c r="A549">
        <v>547</v>
      </c>
      <c r="B549">
        <v>12</v>
      </c>
      <c r="C549">
        <v>8110</v>
      </c>
      <c r="D549">
        <v>8149</v>
      </c>
      <c r="E549" s="4">
        <f t="shared" si="33"/>
        <v>1</v>
      </c>
      <c r="F549" s="4">
        <f t="shared" si="34"/>
        <v>39</v>
      </c>
      <c r="G549" s="4">
        <f t="shared" si="36"/>
        <v>2.3125306931054353E-5</v>
      </c>
      <c r="H549" s="4">
        <f t="shared" si="35"/>
        <v>1521</v>
      </c>
      <c r="I549" s="5">
        <f>SQRT(SUM('r-pi-multi'!$D$3:D549)/COUNTIF($A$3:A549,"&lt;&gt;0"))</f>
        <v>76.10047000938296</v>
      </c>
    </row>
    <row r="550" spans="1:9">
      <c r="A550">
        <v>548</v>
      </c>
      <c r="B550">
        <v>12</v>
      </c>
      <c r="C550">
        <v>8110</v>
      </c>
      <c r="D550">
        <v>7745</v>
      </c>
      <c r="E550" s="4">
        <f t="shared" si="33"/>
        <v>1</v>
      </c>
      <c r="F550" s="4">
        <f t="shared" si="34"/>
        <v>365</v>
      </c>
      <c r="G550" s="4">
        <f t="shared" si="36"/>
        <v>2.0255549085402471E-3</v>
      </c>
      <c r="H550" s="4">
        <f t="shared" si="35"/>
        <v>133225</v>
      </c>
      <c r="I550" s="5">
        <f>SQRT(SUM('r-pi-multi'!$D$3:D550)/COUNTIF($A$3:A550,"&lt;&gt;0"))</f>
        <v>76.12389056878574</v>
      </c>
    </row>
    <row r="551" spans="1:9">
      <c r="A551">
        <v>549</v>
      </c>
      <c r="B551">
        <v>12</v>
      </c>
      <c r="C551">
        <v>8110</v>
      </c>
      <c r="D551">
        <v>8192</v>
      </c>
      <c r="E551" s="4">
        <f t="shared" si="33"/>
        <v>1</v>
      </c>
      <c r="F551" s="4">
        <f t="shared" si="34"/>
        <v>82</v>
      </c>
      <c r="G551" s="4">
        <f t="shared" si="36"/>
        <v>1.0223179737305027E-4</v>
      </c>
      <c r="H551" s="4">
        <f t="shared" si="35"/>
        <v>6724</v>
      </c>
      <c r="I551" s="5">
        <f>SQRT(SUM('r-pi-multi'!$D$3:D551)/COUNTIF($A$3:A551,"&lt;&gt;0"))</f>
        <v>76.15256472866885</v>
      </c>
    </row>
    <row r="552" spans="1:9">
      <c r="A552">
        <v>550</v>
      </c>
      <c r="B552">
        <v>12</v>
      </c>
      <c r="C552">
        <v>8110</v>
      </c>
      <c r="D552">
        <v>8139</v>
      </c>
      <c r="E552" s="4">
        <f t="shared" si="33"/>
        <v>1</v>
      </c>
      <c r="F552" s="4">
        <f t="shared" si="34"/>
        <v>29</v>
      </c>
      <c r="G552" s="4">
        <f t="shared" si="36"/>
        <v>1.2786576679169437E-5</v>
      </c>
      <c r="H552" s="4">
        <f t="shared" si="35"/>
        <v>841</v>
      </c>
      <c r="I552" s="5">
        <f>SQRT(SUM('r-pi-multi'!$D$3:D552)/COUNTIF($A$3:A552,"&lt;&gt;0"))</f>
        <v>76.180491418257944</v>
      </c>
    </row>
    <row r="553" spans="1:9">
      <c r="A553">
        <v>551</v>
      </c>
      <c r="B553">
        <v>12</v>
      </c>
      <c r="C553">
        <v>8110</v>
      </c>
      <c r="D553">
        <v>8076</v>
      </c>
      <c r="E553" s="4">
        <f t="shared" si="33"/>
        <v>1</v>
      </c>
      <c r="F553" s="4">
        <f t="shared" si="34"/>
        <v>34</v>
      </c>
      <c r="G553" s="4">
        <f t="shared" si="36"/>
        <v>1.7575841428204358E-5</v>
      </c>
      <c r="H553" s="4">
        <f t="shared" si="35"/>
        <v>1156</v>
      </c>
      <c r="I553" s="5">
        <f>SQRT(SUM('r-pi-multi'!$D$3:D553)/COUNTIF($A$3:A553,"&lt;&gt;0"))</f>
        <v>76.207556393986607</v>
      </c>
    </row>
    <row r="554" spans="1:9">
      <c r="A554">
        <v>552</v>
      </c>
      <c r="B554">
        <v>12</v>
      </c>
      <c r="C554">
        <v>8110</v>
      </c>
      <c r="D554">
        <v>8192</v>
      </c>
      <c r="E554" s="4">
        <f t="shared" si="33"/>
        <v>1</v>
      </c>
      <c r="F554" s="4">
        <f t="shared" si="34"/>
        <v>82</v>
      </c>
      <c r="G554" s="4">
        <f t="shared" si="36"/>
        <v>1.0223179737305027E-4</v>
      </c>
      <c r="H554" s="4">
        <f t="shared" si="35"/>
        <v>6724</v>
      </c>
      <c r="I554" s="5">
        <f>SQRT(SUM('r-pi-multi'!$D$3:D554)/COUNTIF($A$3:A554,"&lt;&gt;0"))</f>
        <v>76.235892018681454</v>
      </c>
    </row>
    <row r="555" spans="1:9">
      <c r="A555">
        <v>553</v>
      </c>
      <c r="B555">
        <v>12</v>
      </c>
      <c r="C555">
        <v>8110</v>
      </c>
      <c r="D555">
        <v>7822</v>
      </c>
      <c r="E555" s="4">
        <f t="shared" si="33"/>
        <v>1</v>
      </c>
      <c r="F555" s="4">
        <f t="shared" si="34"/>
        <v>288</v>
      </c>
      <c r="G555" s="4">
        <f t="shared" si="36"/>
        <v>1.2610818264887395E-3</v>
      </c>
      <c r="H555" s="4">
        <f t="shared" si="35"/>
        <v>82944</v>
      </c>
      <c r="I555" s="5">
        <f>SQRT(SUM('r-pi-multi'!$D$3:D555)/COUNTIF($A$3:A555,"&lt;&gt;0"))</f>
        <v>76.259727983488986</v>
      </c>
    </row>
    <row r="556" spans="1:9">
      <c r="A556">
        <v>554</v>
      </c>
      <c r="B556">
        <v>12</v>
      </c>
      <c r="C556">
        <v>8110</v>
      </c>
      <c r="D556">
        <v>8004</v>
      </c>
      <c r="E556" s="4">
        <f t="shared" si="33"/>
        <v>1</v>
      </c>
      <c r="F556" s="4">
        <f t="shared" si="34"/>
        <v>106</v>
      </c>
      <c r="G556" s="4">
        <f t="shared" si="36"/>
        <v>1.7083231339732195E-4</v>
      </c>
      <c r="H556" s="4">
        <f t="shared" si="35"/>
        <v>11236</v>
      </c>
      <c r="I556" s="5">
        <f>SQRT(SUM('r-pi-multi'!$D$3:D556)/COUNTIF($A$3:A556,"&lt;&gt;0"))</f>
        <v>76.285623743217158</v>
      </c>
    </row>
    <row r="557" spans="1:9">
      <c r="A557">
        <v>555</v>
      </c>
      <c r="B557">
        <v>12</v>
      </c>
      <c r="C557">
        <v>8110</v>
      </c>
      <c r="D557">
        <v>7985</v>
      </c>
      <c r="E557" s="4">
        <f t="shared" si="33"/>
        <v>1</v>
      </c>
      <c r="F557" s="4">
        <f t="shared" si="34"/>
        <v>125</v>
      </c>
      <c r="G557" s="4">
        <f t="shared" si="36"/>
        <v>2.3756273556720857E-4</v>
      </c>
      <c r="H557" s="4">
        <f t="shared" si="35"/>
        <v>15625</v>
      </c>
      <c r="I557" s="5">
        <f>SQRT(SUM('r-pi-multi'!$D$3:D557)/COUNTIF($A$3:A557,"&lt;&gt;0"))</f>
        <v>76.311193138347647</v>
      </c>
    </row>
    <row r="558" spans="1:9">
      <c r="A558">
        <v>556</v>
      </c>
      <c r="B558">
        <v>12</v>
      </c>
      <c r="C558">
        <v>8110</v>
      </c>
      <c r="D558">
        <v>8087</v>
      </c>
      <c r="E558" s="4">
        <f t="shared" si="33"/>
        <v>1</v>
      </c>
      <c r="F558" s="4">
        <f t="shared" si="34"/>
        <v>23</v>
      </c>
      <c r="G558" s="4">
        <f t="shared" si="36"/>
        <v>8.0429239753634143E-6</v>
      </c>
      <c r="H558" s="4">
        <f t="shared" si="35"/>
        <v>529</v>
      </c>
      <c r="I558" s="5">
        <f>SQRT(SUM('r-pi-multi'!$D$3:D558)/COUNTIF($A$3:A558,"&lt;&gt;0"))</f>
        <v>76.337863635684954</v>
      </c>
    </row>
    <row r="559" spans="1:9">
      <c r="A559">
        <v>557</v>
      </c>
      <c r="B559">
        <v>12</v>
      </c>
      <c r="C559">
        <v>8110</v>
      </c>
      <c r="D559">
        <v>8048</v>
      </c>
      <c r="E559" s="4">
        <f t="shared" si="33"/>
        <v>1</v>
      </c>
      <c r="F559" s="4">
        <f t="shared" si="34"/>
        <v>62</v>
      </c>
      <c r="G559" s="4">
        <f t="shared" si="36"/>
        <v>5.8444233953302387E-5</v>
      </c>
      <c r="H559" s="4">
        <f t="shared" si="35"/>
        <v>3844</v>
      </c>
      <c r="I559" s="5">
        <f>SQRT(SUM('r-pi-multi'!$D$3:D559)/COUNTIF($A$3:A559,"&lt;&gt;0"))</f>
        <v>76.363970656080056</v>
      </c>
    </row>
    <row r="560" spans="1:9">
      <c r="A560">
        <v>558</v>
      </c>
      <c r="B560">
        <v>12</v>
      </c>
      <c r="C560">
        <v>8110</v>
      </c>
      <c r="D560">
        <v>8047</v>
      </c>
      <c r="E560" s="4">
        <f t="shared" si="33"/>
        <v>1</v>
      </c>
      <c r="F560" s="4">
        <f t="shared" si="34"/>
        <v>63</v>
      </c>
      <c r="G560" s="4">
        <f t="shared" si="36"/>
        <v>6.0344735837840052E-5</v>
      </c>
      <c r="H560" s="4">
        <f t="shared" si="35"/>
        <v>3969</v>
      </c>
      <c r="I560" s="5">
        <f>SQRT(SUM('r-pi-multi'!$D$3:D560)/COUNTIF($A$3:A560,"&lt;&gt;0"))</f>
        <v>76.389963498469427</v>
      </c>
    </row>
    <row r="561" spans="1:9">
      <c r="A561">
        <v>559</v>
      </c>
      <c r="B561">
        <v>12</v>
      </c>
      <c r="C561">
        <v>8110</v>
      </c>
      <c r="D561">
        <v>8119</v>
      </c>
      <c r="E561" s="4">
        <f t="shared" si="33"/>
        <v>1</v>
      </c>
      <c r="F561" s="4">
        <f t="shared" si="34"/>
        <v>9</v>
      </c>
      <c r="G561" s="4">
        <f t="shared" si="36"/>
        <v>1.2315252211804096E-6</v>
      </c>
      <c r="H561" s="4">
        <f t="shared" si="35"/>
        <v>81</v>
      </c>
      <c r="I561" s="5">
        <f>SQRT(SUM('r-pi-multi'!$D$3:D561)/COUNTIF($A$3:A561,"&lt;&gt;0"))</f>
        <v>76.416697310908276</v>
      </c>
    </row>
    <row r="562" spans="1:9">
      <c r="A562">
        <v>560</v>
      </c>
      <c r="B562">
        <v>12</v>
      </c>
      <c r="C562">
        <v>8110</v>
      </c>
      <c r="D562">
        <v>8054</v>
      </c>
      <c r="E562" s="4">
        <f t="shared" si="33"/>
        <v>1</v>
      </c>
      <c r="F562" s="4">
        <f t="shared" si="34"/>
        <v>56</v>
      </c>
      <c r="G562" s="4">
        <f t="shared" si="36"/>
        <v>4.7679791279281026E-5</v>
      </c>
      <c r="H562" s="4">
        <f t="shared" si="35"/>
        <v>3136</v>
      </c>
      <c r="I562" s="5">
        <f>SQRT(SUM('r-pi-multi'!$D$3:D562)/COUNTIF($A$3:A562,"&lt;&gt;0"))</f>
        <v>76.442567143107979</v>
      </c>
    </row>
    <row r="563" spans="1:9">
      <c r="A563">
        <v>561</v>
      </c>
      <c r="B563">
        <v>12</v>
      </c>
      <c r="C563">
        <v>8110</v>
      </c>
      <c r="D563">
        <v>8001</v>
      </c>
      <c r="E563" s="4">
        <f t="shared" si="33"/>
        <v>1</v>
      </c>
      <c r="F563" s="4">
        <f t="shared" si="34"/>
        <v>109</v>
      </c>
      <c r="G563" s="4">
        <f t="shared" si="36"/>
        <v>1.8063890312153632E-4</v>
      </c>
      <c r="H563" s="4">
        <f t="shared" si="35"/>
        <v>11881</v>
      </c>
      <c r="I563" s="5">
        <f>SQRT(SUM('r-pi-multi'!$D$3:D563)/COUNTIF($A$3:A563,"&lt;&gt;0"))</f>
        <v>76.467718306217307</v>
      </c>
    </row>
    <row r="564" spans="1:9">
      <c r="A564">
        <v>562</v>
      </c>
      <c r="B564">
        <v>12</v>
      </c>
      <c r="C564">
        <v>8110</v>
      </c>
      <c r="D564">
        <v>8078</v>
      </c>
      <c r="E564" s="4">
        <f t="shared" si="33"/>
        <v>1</v>
      </c>
      <c r="F564" s="4">
        <f t="shared" si="34"/>
        <v>32</v>
      </c>
      <c r="G564" s="4">
        <f t="shared" si="36"/>
        <v>1.5568911438132582E-5</v>
      </c>
      <c r="H564" s="4">
        <f t="shared" si="35"/>
        <v>1024</v>
      </c>
      <c r="I564" s="5">
        <f>SQRT(SUM('r-pi-multi'!$D$3:D564)/COUNTIF($A$3:A564,"&lt;&gt;0"))</f>
        <v>76.493667311680355</v>
      </c>
    </row>
    <row r="565" spans="1:9">
      <c r="A565">
        <v>563</v>
      </c>
      <c r="B565">
        <v>12</v>
      </c>
      <c r="C565">
        <v>8110</v>
      </c>
      <c r="D565">
        <v>8083</v>
      </c>
      <c r="E565" s="4">
        <f t="shared" si="33"/>
        <v>1</v>
      </c>
      <c r="F565" s="4">
        <f t="shared" si="34"/>
        <v>27</v>
      </c>
      <c r="G565" s="4">
        <f t="shared" si="36"/>
        <v>1.1083726990623683E-5</v>
      </c>
      <c r="H565" s="4">
        <f t="shared" si="35"/>
        <v>729</v>
      </c>
      <c r="I565" s="5">
        <f>SQRT(SUM('r-pi-multi'!$D$3:D565)/COUNTIF($A$3:A565,"&lt;&gt;0"))</f>
        <v>76.519573413950312</v>
      </c>
    </row>
    <row r="566" spans="1:9">
      <c r="A566">
        <v>564</v>
      </c>
      <c r="B566">
        <v>12</v>
      </c>
      <c r="C566">
        <v>8110</v>
      </c>
      <c r="D566">
        <v>8087</v>
      </c>
      <c r="E566" s="4">
        <f t="shared" si="33"/>
        <v>1</v>
      </c>
      <c r="F566" s="4">
        <f t="shared" si="34"/>
        <v>23</v>
      </c>
      <c r="G566" s="4">
        <f t="shared" si="36"/>
        <v>8.0429239753634143E-6</v>
      </c>
      <c r="H566" s="4">
        <f t="shared" si="35"/>
        <v>529</v>
      </c>
      <c r="I566" s="5">
        <f>SQRT(SUM('r-pi-multi'!$D$3:D566)/COUNTIF($A$3:A566,"&lt;&gt;0"))</f>
        <v>76.545425256246205</v>
      </c>
    </row>
    <row r="567" spans="1:9">
      <c r="A567">
        <v>565</v>
      </c>
      <c r="B567">
        <v>12</v>
      </c>
      <c r="C567">
        <v>8110</v>
      </c>
      <c r="D567">
        <v>8080</v>
      </c>
      <c r="E567" s="4">
        <f t="shared" ref="E567:E630" si="37">IF(AND(D567&lt;=C567*1.2,D567&gt;=C567*0.8),1,0)</f>
        <v>1</v>
      </c>
      <c r="F567" s="4">
        <f t="shared" ref="F567:F630" si="38">ABS(C567-D567)</f>
        <v>30</v>
      </c>
      <c r="G567" s="4">
        <f t="shared" si="36"/>
        <v>1.3683613568671215E-5</v>
      </c>
      <c r="H567" s="4">
        <f t="shared" ref="H567:H630" si="39">POWER(F567,2)</f>
        <v>900</v>
      </c>
      <c r="I567" s="5">
        <f>SQRT(SUM('r-pi-multi'!$D$3:D567)/COUNTIF($A$3:A567,"&lt;&gt;0"))</f>
        <v>76.571096004712061</v>
      </c>
    </row>
    <row r="568" spans="1:9">
      <c r="A568">
        <v>566</v>
      </c>
      <c r="B568">
        <v>12</v>
      </c>
      <c r="C568">
        <v>8110</v>
      </c>
      <c r="D568">
        <v>8164</v>
      </c>
      <c r="E568" s="4">
        <f t="shared" si="37"/>
        <v>1</v>
      </c>
      <c r="F568" s="4">
        <f t="shared" si="38"/>
        <v>54</v>
      </c>
      <c r="G568" s="4">
        <f t="shared" si="36"/>
        <v>4.4334907962494733E-5</v>
      </c>
      <c r="H568" s="4">
        <f t="shared" si="39"/>
        <v>2916</v>
      </c>
      <c r="I568" s="5">
        <f>SQRT(SUM('r-pi-multi'!$D$3:D568)/COUNTIF($A$3:A568,"&lt;&gt;0"))</f>
        <v>76.597636255035027</v>
      </c>
    </row>
    <row r="569" spans="1:9">
      <c r="A569">
        <v>567</v>
      </c>
      <c r="B569">
        <v>12</v>
      </c>
      <c r="C569">
        <v>8110</v>
      </c>
      <c r="D569">
        <v>8093</v>
      </c>
      <c r="E569" s="4">
        <f t="shared" si="37"/>
        <v>1</v>
      </c>
      <c r="F569" s="4">
        <f t="shared" si="38"/>
        <v>17</v>
      </c>
      <c r="G569" s="4">
        <f t="shared" si="36"/>
        <v>4.3939603570510895E-6</v>
      </c>
      <c r="H569" s="4">
        <f t="shared" si="39"/>
        <v>289</v>
      </c>
      <c r="I569" s="5">
        <f>SQRT(SUM('r-pi-multi'!$D$3:D569)/COUNTIF($A$3:A569,"&lt;&gt;0"))</f>
        <v>76.623256631326527</v>
      </c>
    </row>
    <row r="570" spans="1:9">
      <c r="A570">
        <v>568</v>
      </c>
      <c r="B570">
        <v>12</v>
      </c>
      <c r="C570">
        <v>8110</v>
      </c>
      <c r="D570">
        <v>7930</v>
      </c>
      <c r="E570" s="4">
        <f t="shared" si="37"/>
        <v>1</v>
      </c>
      <c r="F570" s="4">
        <f t="shared" si="38"/>
        <v>180</v>
      </c>
      <c r="G570" s="4">
        <f t="shared" si="36"/>
        <v>4.9261008847216361E-4</v>
      </c>
      <c r="H570" s="4">
        <f t="shared" si="39"/>
        <v>32400</v>
      </c>
      <c r="I570" s="5">
        <f>SQRT(SUM('r-pi-multi'!$D$3:D570)/COUNTIF($A$3:A570,"&lt;&gt;0"))</f>
        <v>76.64690626135291</v>
      </c>
    </row>
    <row r="571" spans="1:9">
      <c r="A571">
        <v>569</v>
      </c>
      <c r="B571">
        <v>12</v>
      </c>
      <c r="C571">
        <v>8110</v>
      </c>
      <c r="D571">
        <v>8116</v>
      </c>
      <c r="E571" s="4">
        <f t="shared" si="37"/>
        <v>1</v>
      </c>
      <c r="F571" s="4">
        <f t="shared" si="38"/>
        <v>6</v>
      </c>
      <c r="G571" s="4">
        <f t="shared" si="36"/>
        <v>5.4734454274684868E-7</v>
      </c>
      <c r="H571" s="4">
        <f t="shared" si="39"/>
        <v>36</v>
      </c>
      <c r="I571" s="5">
        <f>SQRT(SUM('r-pi-multi'!$D$3:D571)/COUNTIF($A$3:A571,"&lt;&gt;0"))</f>
        <v>76.672597259219785</v>
      </c>
    </row>
    <row r="572" spans="1:9">
      <c r="A572">
        <v>570</v>
      </c>
      <c r="B572">
        <v>12</v>
      </c>
      <c r="C572">
        <v>8110</v>
      </c>
      <c r="D572">
        <v>7981</v>
      </c>
      <c r="E572" s="4">
        <f t="shared" si="37"/>
        <v>1</v>
      </c>
      <c r="F572" s="4">
        <f t="shared" si="38"/>
        <v>129</v>
      </c>
      <c r="G572" s="4">
        <f t="shared" si="36"/>
        <v>2.5301001488473078E-4</v>
      </c>
      <c r="H572" s="4">
        <f t="shared" si="39"/>
        <v>16641</v>
      </c>
      <c r="I572" s="5">
        <f>SQRT(SUM('r-pi-multi'!$D$3:D572)/COUNTIF($A$3:A572,"&lt;&gt;0"))</f>
        <v>76.696645549831516</v>
      </c>
    </row>
    <row r="573" spans="1:9">
      <c r="A573">
        <v>571</v>
      </c>
      <c r="B573">
        <v>12</v>
      </c>
      <c r="C573">
        <v>8110</v>
      </c>
      <c r="D573">
        <v>8071</v>
      </c>
      <c r="E573" s="4">
        <f t="shared" si="37"/>
        <v>1</v>
      </c>
      <c r="F573" s="4">
        <f t="shared" si="38"/>
        <v>39</v>
      </c>
      <c r="G573" s="4">
        <f t="shared" si="36"/>
        <v>2.3125306931054353E-5</v>
      </c>
      <c r="H573" s="4">
        <f t="shared" si="39"/>
        <v>1521</v>
      </c>
      <c r="I573" s="5">
        <f>SQRT(SUM('r-pi-multi'!$D$3:D573)/COUNTIF($A$3:A573,"&lt;&gt;0"))</f>
        <v>76.721629325143567</v>
      </c>
    </row>
    <row r="574" spans="1:9">
      <c r="A574">
        <v>572</v>
      </c>
      <c r="B574">
        <v>12</v>
      </c>
      <c r="C574">
        <v>8110</v>
      </c>
      <c r="D574">
        <v>8208</v>
      </c>
      <c r="E574" s="4">
        <f t="shared" si="37"/>
        <v>1</v>
      </c>
      <c r="F574" s="4">
        <f t="shared" si="38"/>
        <v>98</v>
      </c>
      <c r="G574" s="4">
        <f t="shared" si="36"/>
        <v>1.4601936079279817E-4</v>
      </c>
      <c r="H574" s="4">
        <f t="shared" si="39"/>
        <v>9604</v>
      </c>
      <c r="I574" s="5">
        <f>SQRT(SUM('r-pi-multi'!$D$3:D574)/COUNTIF($A$3:A574,"&lt;&gt;0"))</f>
        <v>76.748078037938399</v>
      </c>
    </row>
    <row r="575" spans="1:9">
      <c r="A575">
        <v>573</v>
      </c>
      <c r="B575">
        <v>12</v>
      </c>
      <c r="C575">
        <v>8110</v>
      </c>
      <c r="D575">
        <v>8160</v>
      </c>
      <c r="E575" s="4">
        <f t="shared" si="37"/>
        <v>1</v>
      </c>
      <c r="F575" s="4">
        <f t="shared" si="38"/>
        <v>50</v>
      </c>
      <c r="G575" s="4">
        <f t="shared" si="36"/>
        <v>3.8010037690753374E-5</v>
      </c>
      <c r="H575" s="4">
        <f t="shared" si="39"/>
        <v>2500</v>
      </c>
      <c r="I575" s="5">
        <f>SQRT(SUM('r-pi-multi'!$D$3:D575)/COUNTIF($A$3:A575,"&lt;&gt;0"))</f>
        <v>76.773879811374968</v>
      </c>
    </row>
    <row r="576" spans="1:9">
      <c r="A576">
        <v>574</v>
      </c>
      <c r="B576">
        <v>12</v>
      </c>
      <c r="C576">
        <v>8110</v>
      </c>
      <c r="D576">
        <v>8068</v>
      </c>
      <c r="E576" s="4">
        <f t="shared" si="37"/>
        <v>1</v>
      </c>
      <c r="F576" s="4">
        <f t="shared" si="38"/>
        <v>42</v>
      </c>
      <c r="G576" s="4">
        <f t="shared" si="36"/>
        <v>2.6819882594595578E-5</v>
      </c>
      <c r="H576" s="4">
        <f t="shared" si="39"/>
        <v>1764</v>
      </c>
      <c r="I576" s="5">
        <f>SQRT(SUM('r-pi-multi'!$D$3:D576)/COUNTIF($A$3:A576,"&lt;&gt;0"))</f>
        <v>76.798539565817975</v>
      </c>
    </row>
    <row r="577" spans="1:9">
      <c r="A577">
        <v>575</v>
      </c>
      <c r="B577">
        <v>12</v>
      </c>
      <c r="C577">
        <v>8110</v>
      </c>
      <c r="D577">
        <v>8139</v>
      </c>
      <c r="E577" s="4">
        <f t="shared" si="37"/>
        <v>1</v>
      </c>
      <c r="F577" s="4">
        <f t="shared" si="38"/>
        <v>29</v>
      </c>
      <c r="G577" s="4">
        <f t="shared" si="36"/>
        <v>1.2786576679169437E-5</v>
      </c>
      <c r="H577" s="4">
        <f t="shared" si="39"/>
        <v>841</v>
      </c>
      <c r="I577" s="5">
        <f>SQRT(SUM('r-pi-multi'!$D$3:D577)/COUNTIF($A$3:A577,"&lt;&gt;0"))</f>
        <v>76.823909321761676</v>
      </c>
    </row>
    <row r="578" spans="1:9">
      <c r="A578">
        <v>576</v>
      </c>
      <c r="B578">
        <v>12</v>
      </c>
      <c r="C578">
        <v>8110</v>
      </c>
      <c r="D578">
        <v>8305</v>
      </c>
      <c r="E578" s="4">
        <f t="shared" si="37"/>
        <v>1</v>
      </c>
      <c r="F578" s="4">
        <f t="shared" si="38"/>
        <v>195</v>
      </c>
      <c r="G578" s="4">
        <f t="shared" si="36"/>
        <v>5.7813267327635879E-4</v>
      </c>
      <c r="H578" s="4">
        <f t="shared" si="39"/>
        <v>38025</v>
      </c>
      <c r="I578" s="5">
        <f>SQRT(SUM('r-pi-multi'!$D$3:D578)/COUNTIF($A$3:A578,"&lt;&gt;0"))</f>
        <v>76.851057698931143</v>
      </c>
    </row>
    <row r="579" spans="1:9">
      <c r="A579">
        <v>577</v>
      </c>
      <c r="B579">
        <v>12</v>
      </c>
      <c r="C579">
        <v>8110</v>
      </c>
      <c r="D579">
        <v>7969</v>
      </c>
      <c r="E579" s="4">
        <f t="shared" si="37"/>
        <v>1</v>
      </c>
      <c r="F579" s="4">
        <f t="shared" si="38"/>
        <v>141</v>
      </c>
      <c r="G579" s="4">
        <f t="shared" si="36"/>
        <v>3.0227102373194713E-4</v>
      </c>
      <c r="H579" s="4">
        <f t="shared" si="39"/>
        <v>19881</v>
      </c>
      <c r="I579" s="5">
        <f>SQRT(SUM('r-pi-multi'!$D$3:D579)/COUNTIF($A$3:A579,"&lt;&gt;0"))</f>
        <v>76.874315034076275</v>
      </c>
    </row>
    <row r="580" spans="1:9">
      <c r="A580">
        <v>578</v>
      </c>
      <c r="B580">
        <v>12</v>
      </c>
      <c r="C580">
        <v>8110</v>
      </c>
      <c r="D580">
        <v>8007</v>
      </c>
      <c r="E580" s="4">
        <f t="shared" si="37"/>
        <v>1</v>
      </c>
      <c r="F580" s="4">
        <f t="shared" si="38"/>
        <v>103</v>
      </c>
      <c r="G580" s="4">
        <f t="shared" ref="G580:G643" si="40">POWER(ABS(C580-D580)/C580,2)</f>
        <v>1.6129939594448101E-4</v>
      </c>
      <c r="H580" s="4">
        <f t="shared" si="39"/>
        <v>10609</v>
      </c>
      <c r="I580" s="5">
        <f>SQRT(SUM('r-pi-multi'!$D$3:D580)/COUNTIF($A$3:A580,"&lt;&gt;0"))</f>
        <v>76.897912373065367</v>
      </c>
    </row>
    <row r="581" spans="1:9">
      <c r="A581">
        <v>579</v>
      </c>
      <c r="B581">
        <v>12</v>
      </c>
      <c r="C581">
        <v>8110</v>
      </c>
      <c r="D581">
        <v>8159</v>
      </c>
      <c r="E581" s="4">
        <f t="shared" si="37"/>
        <v>1</v>
      </c>
      <c r="F581" s="4">
        <f t="shared" si="38"/>
        <v>49</v>
      </c>
      <c r="G581" s="4">
        <f t="shared" si="40"/>
        <v>3.6504840198199543E-5</v>
      </c>
      <c r="H581" s="4">
        <f t="shared" si="39"/>
        <v>2401</v>
      </c>
      <c r="I581" s="5">
        <f>SQRT(SUM('r-pi-multi'!$D$3:D581)/COUNTIF($A$3:A581,"&lt;&gt;0"))</f>
        <v>76.923127407981312</v>
      </c>
    </row>
    <row r="582" spans="1:9">
      <c r="A582">
        <v>580</v>
      </c>
      <c r="B582">
        <v>12</v>
      </c>
      <c r="C582">
        <v>8110</v>
      </c>
      <c r="D582">
        <v>7879</v>
      </c>
      <c r="E582" s="4">
        <f t="shared" si="37"/>
        <v>1</v>
      </c>
      <c r="F582" s="4">
        <f t="shared" si="38"/>
        <v>231</v>
      </c>
      <c r="G582" s="4">
        <f t="shared" si="40"/>
        <v>8.1130144848651632E-4</v>
      </c>
      <c r="H582" s="4">
        <f t="shared" si="39"/>
        <v>53361</v>
      </c>
      <c r="I582" s="5">
        <f>SQRT(SUM('r-pi-multi'!$D$3:D582)/COUNTIF($A$3:A582,"&lt;&gt;0"))</f>
        <v>76.945110305983704</v>
      </c>
    </row>
    <row r="583" spans="1:9">
      <c r="A583">
        <v>581</v>
      </c>
      <c r="B583">
        <v>12</v>
      </c>
      <c r="C583">
        <v>8110</v>
      </c>
      <c r="D583">
        <v>8108</v>
      </c>
      <c r="E583" s="4">
        <f t="shared" si="37"/>
        <v>1</v>
      </c>
      <c r="F583" s="4">
        <f t="shared" si="38"/>
        <v>2</v>
      </c>
      <c r="G583" s="4">
        <f t="shared" si="40"/>
        <v>6.0816060305205399E-8</v>
      </c>
      <c r="H583" s="4">
        <f t="shared" si="39"/>
        <v>4</v>
      </c>
      <c r="I583" s="5">
        <f>SQRT(SUM('r-pi-multi'!$D$3:D583)/COUNTIF($A$3:A583,"&lt;&gt;0"))</f>
        <v>76.969571742230997</v>
      </c>
    </row>
    <row r="584" spans="1:9">
      <c r="A584">
        <v>582</v>
      </c>
      <c r="B584">
        <v>12</v>
      </c>
      <c r="C584">
        <v>8110</v>
      </c>
      <c r="D584">
        <v>8071</v>
      </c>
      <c r="E584" s="4">
        <f t="shared" si="37"/>
        <v>1</v>
      </c>
      <c r="F584" s="4">
        <f t="shared" si="38"/>
        <v>39</v>
      </c>
      <c r="G584" s="4">
        <f t="shared" si="40"/>
        <v>2.3125306931054353E-5</v>
      </c>
      <c r="H584" s="4">
        <f t="shared" si="39"/>
        <v>1521</v>
      </c>
      <c r="I584" s="5">
        <f>SQRT(SUM('r-pi-multi'!$D$3:D584)/COUNTIF($A$3:A584,"&lt;&gt;0"))</f>
        <v>76.993528536014736</v>
      </c>
    </row>
    <row r="585" spans="1:9">
      <c r="A585">
        <v>583</v>
      </c>
      <c r="B585">
        <v>12</v>
      </c>
      <c r="C585">
        <v>8110</v>
      </c>
      <c r="D585">
        <v>7919</v>
      </c>
      <c r="E585" s="4">
        <f t="shared" si="37"/>
        <v>1</v>
      </c>
      <c r="F585" s="4">
        <f t="shared" si="38"/>
        <v>191</v>
      </c>
      <c r="G585" s="4">
        <f t="shared" si="40"/>
        <v>5.5465767399854953E-4</v>
      </c>
      <c r="H585" s="4">
        <f t="shared" si="39"/>
        <v>36481</v>
      </c>
      <c r="I585" s="5">
        <f>SQRT(SUM('r-pi-multi'!$D$3:D585)/COUNTIF($A$3:A585,"&lt;&gt;0"))</f>
        <v>77.015703105739121</v>
      </c>
    </row>
    <row r="586" spans="1:9">
      <c r="A586">
        <v>584</v>
      </c>
      <c r="B586">
        <v>12</v>
      </c>
      <c r="C586">
        <v>8110</v>
      </c>
      <c r="D586">
        <v>8074</v>
      </c>
      <c r="E586" s="4">
        <f t="shared" si="37"/>
        <v>1</v>
      </c>
      <c r="F586" s="4">
        <f t="shared" si="38"/>
        <v>36</v>
      </c>
      <c r="G586" s="4">
        <f t="shared" si="40"/>
        <v>1.9704403538886554E-5</v>
      </c>
      <c r="H586" s="4">
        <f t="shared" si="39"/>
        <v>1296</v>
      </c>
      <c r="I586" s="5">
        <f>SQRT(SUM('r-pi-multi'!$D$3:D586)/COUNTIF($A$3:A586,"&lt;&gt;0"))</f>
        <v>77.03951796816439</v>
      </c>
    </row>
    <row r="587" spans="1:9">
      <c r="A587">
        <v>585</v>
      </c>
      <c r="B587">
        <v>12</v>
      </c>
      <c r="C587">
        <v>8110</v>
      </c>
      <c r="D587">
        <v>8054</v>
      </c>
      <c r="E587" s="4">
        <f t="shared" si="37"/>
        <v>1</v>
      </c>
      <c r="F587" s="4">
        <f t="shared" si="38"/>
        <v>56</v>
      </c>
      <c r="G587" s="4">
        <f t="shared" si="40"/>
        <v>4.7679791279281026E-5</v>
      </c>
      <c r="H587" s="4">
        <f t="shared" si="39"/>
        <v>3136</v>
      </c>
      <c r="I587" s="5">
        <f>SQRT(SUM('r-pi-multi'!$D$3:D587)/COUNTIF($A$3:A587,"&lt;&gt;0"))</f>
        <v>77.06302227209494</v>
      </c>
    </row>
    <row r="588" spans="1:9">
      <c r="A588">
        <v>586</v>
      </c>
      <c r="B588">
        <v>12</v>
      </c>
      <c r="C588">
        <v>8110</v>
      </c>
      <c r="D588">
        <v>8041</v>
      </c>
      <c r="E588" s="4">
        <f t="shared" si="37"/>
        <v>1</v>
      </c>
      <c r="F588" s="4">
        <f t="shared" si="38"/>
        <v>69</v>
      </c>
      <c r="G588" s="4">
        <f t="shared" si="40"/>
        <v>7.2386315778270714E-5</v>
      </c>
      <c r="H588" s="4">
        <f t="shared" si="39"/>
        <v>4761</v>
      </c>
      <c r="I588" s="5">
        <f>SQRT(SUM('r-pi-multi'!$D$3:D588)/COUNTIF($A$3:A588,"&lt;&gt;0"))</f>
        <v>77.086295334045246</v>
      </c>
    </row>
    <row r="589" spans="1:9">
      <c r="A589">
        <v>587</v>
      </c>
      <c r="B589">
        <v>12</v>
      </c>
      <c r="C589">
        <v>8110</v>
      </c>
      <c r="D589">
        <v>8252</v>
      </c>
      <c r="E589" s="4">
        <f t="shared" si="37"/>
        <v>1</v>
      </c>
      <c r="F589" s="4">
        <f t="shared" si="38"/>
        <v>142</v>
      </c>
      <c r="G589" s="4">
        <f t="shared" si="40"/>
        <v>3.0657375999854037E-4</v>
      </c>
      <c r="H589" s="4">
        <f t="shared" si="39"/>
        <v>20164</v>
      </c>
      <c r="I589" s="5">
        <f>SQRT(SUM('r-pi-multi'!$D$3:D589)/COUNTIF($A$3:A589,"&lt;&gt;0"))</f>
        <v>77.111812885846078</v>
      </c>
    </row>
    <row r="590" spans="1:9">
      <c r="A590">
        <v>588</v>
      </c>
      <c r="B590">
        <v>12</v>
      </c>
      <c r="C590">
        <v>8110</v>
      </c>
      <c r="D590">
        <v>8239</v>
      </c>
      <c r="E590" s="4">
        <f t="shared" si="37"/>
        <v>1</v>
      </c>
      <c r="F590" s="4">
        <f t="shared" si="38"/>
        <v>129</v>
      </c>
      <c r="G590" s="4">
        <f t="shared" si="40"/>
        <v>2.5301001488473078E-4</v>
      </c>
      <c r="H590" s="4">
        <f t="shared" si="39"/>
        <v>16641</v>
      </c>
      <c r="I590" s="5">
        <f>SQRT(SUM('r-pi-multi'!$D$3:D590)/COUNTIF($A$3:A590,"&lt;&gt;0"))</f>
        <v>77.137091936246549</v>
      </c>
    </row>
    <row r="591" spans="1:9">
      <c r="A591">
        <v>589</v>
      </c>
      <c r="B591">
        <v>12</v>
      </c>
      <c r="C591">
        <v>8110</v>
      </c>
      <c r="D591">
        <v>8247</v>
      </c>
      <c r="E591" s="4">
        <f t="shared" si="37"/>
        <v>1</v>
      </c>
      <c r="F591" s="4">
        <f t="shared" si="38"/>
        <v>137</v>
      </c>
      <c r="G591" s="4">
        <f t="shared" si="40"/>
        <v>2.8536415896710004E-4</v>
      </c>
      <c r="H591" s="4">
        <f t="shared" si="39"/>
        <v>18769</v>
      </c>
      <c r="I591" s="5">
        <f>SQRT(SUM('r-pi-multi'!$D$3:D591)/COUNTIF($A$3:A591,"&lt;&gt;0"))</f>
        <v>77.162364921454085</v>
      </c>
    </row>
    <row r="592" spans="1:9">
      <c r="A592">
        <v>590</v>
      </c>
      <c r="B592">
        <v>12</v>
      </c>
      <c r="C592">
        <v>8110</v>
      </c>
      <c r="D592">
        <v>8068</v>
      </c>
      <c r="E592" s="4">
        <f t="shared" si="37"/>
        <v>1</v>
      </c>
      <c r="F592" s="4">
        <f t="shared" si="38"/>
        <v>42</v>
      </c>
      <c r="G592" s="4">
        <f t="shared" si="40"/>
        <v>2.6819882594595578E-5</v>
      </c>
      <c r="H592" s="4">
        <f t="shared" si="39"/>
        <v>1764</v>
      </c>
      <c r="I592" s="5">
        <f>SQRT(SUM('r-pi-multi'!$D$3:D592)/COUNTIF($A$3:A592,"&lt;&gt;0"))</f>
        <v>77.185578700441411</v>
      </c>
    </row>
    <row r="593" spans="1:9">
      <c r="A593">
        <v>591</v>
      </c>
      <c r="B593">
        <v>12</v>
      </c>
      <c r="C593">
        <v>8110</v>
      </c>
      <c r="D593">
        <v>8203</v>
      </c>
      <c r="E593" s="4">
        <f t="shared" si="37"/>
        <v>1</v>
      </c>
      <c r="F593" s="4">
        <f t="shared" si="38"/>
        <v>93</v>
      </c>
      <c r="G593" s="4">
        <f t="shared" si="40"/>
        <v>1.3149952639493039E-4</v>
      </c>
      <c r="H593" s="4">
        <f t="shared" si="39"/>
        <v>8649</v>
      </c>
      <c r="I593" s="5">
        <f>SQRT(SUM('r-pi-multi'!$D$3:D593)/COUNTIF($A$3:A593,"&lt;&gt;0"))</f>
        <v>77.210186242231458</v>
      </c>
    </row>
    <row r="594" spans="1:9">
      <c r="A594">
        <v>592</v>
      </c>
      <c r="B594">
        <v>12</v>
      </c>
      <c r="C594">
        <v>8110</v>
      </c>
      <c r="D594">
        <v>8127</v>
      </c>
      <c r="E594" s="4">
        <f t="shared" si="37"/>
        <v>1</v>
      </c>
      <c r="F594" s="4">
        <f t="shared" si="38"/>
        <v>17</v>
      </c>
      <c r="G594" s="4">
        <f t="shared" si="40"/>
        <v>4.3939603570510895E-6</v>
      </c>
      <c r="H594" s="4">
        <f t="shared" si="39"/>
        <v>289</v>
      </c>
      <c r="I594" s="5">
        <f>SQRT(SUM('r-pi-multi'!$D$3:D594)/COUNTIF($A$3:A594,"&lt;&gt;0"))</f>
        <v>77.233871752916457</v>
      </c>
    </row>
    <row r="595" spans="1:9">
      <c r="A595">
        <v>593</v>
      </c>
      <c r="B595">
        <v>12</v>
      </c>
      <c r="C595">
        <v>8110</v>
      </c>
      <c r="D595">
        <v>8192</v>
      </c>
      <c r="E595" s="4">
        <f t="shared" si="37"/>
        <v>1</v>
      </c>
      <c r="F595" s="4">
        <f t="shared" si="38"/>
        <v>82</v>
      </c>
      <c r="G595" s="4">
        <f t="shared" si="40"/>
        <v>1.0223179737305027E-4</v>
      </c>
      <c r="H595" s="4">
        <f t="shared" si="39"/>
        <v>6724</v>
      </c>
      <c r="I595" s="5">
        <f>SQRT(SUM('r-pi-multi'!$D$3:D595)/COUNTIF($A$3:A595,"&lt;&gt;0"))</f>
        <v>77.258179546983868</v>
      </c>
    </row>
    <row r="596" spans="1:9">
      <c r="A596">
        <v>594</v>
      </c>
      <c r="B596">
        <v>12</v>
      </c>
      <c r="C596">
        <v>8110</v>
      </c>
      <c r="D596">
        <v>8185</v>
      </c>
      <c r="E596" s="4">
        <f t="shared" si="37"/>
        <v>1</v>
      </c>
      <c r="F596" s="4">
        <f t="shared" si="38"/>
        <v>75</v>
      </c>
      <c r="G596" s="4">
        <f t="shared" si="40"/>
        <v>8.5522584804195099E-5</v>
      </c>
      <c r="H596" s="4">
        <f t="shared" si="39"/>
        <v>5625</v>
      </c>
      <c r="I596" s="5">
        <f>SQRT(SUM('r-pi-multi'!$D$3:D596)/COUNTIF($A$3:A596,"&lt;&gt;0"))</f>
        <v>77.282321646397492</v>
      </c>
    </row>
    <row r="597" spans="1:9">
      <c r="A597">
        <v>595</v>
      </c>
      <c r="B597">
        <v>12</v>
      </c>
      <c r="C597">
        <v>8110</v>
      </c>
      <c r="D597">
        <v>8201</v>
      </c>
      <c r="E597" s="4">
        <f t="shared" si="37"/>
        <v>1</v>
      </c>
      <c r="F597" s="4">
        <f t="shared" si="38"/>
        <v>91</v>
      </c>
      <c r="G597" s="4">
        <f t="shared" si="40"/>
        <v>1.2590444884685146E-4</v>
      </c>
      <c r="H597" s="4">
        <f t="shared" si="39"/>
        <v>8281</v>
      </c>
      <c r="I597" s="5">
        <f>SQRT(SUM('r-pi-multi'!$D$3:D597)/COUNTIF($A$3:A597,"&lt;&gt;0"))</f>
        <v>77.306549017585851</v>
      </c>
    </row>
    <row r="598" spans="1:9">
      <c r="A598">
        <v>596</v>
      </c>
      <c r="B598">
        <v>12</v>
      </c>
      <c r="C598">
        <v>8110</v>
      </c>
      <c r="D598">
        <v>7517</v>
      </c>
      <c r="E598" s="4">
        <f t="shared" si="37"/>
        <v>1</v>
      </c>
      <c r="F598" s="4">
        <f t="shared" si="38"/>
        <v>593</v>
      </c>
      <c r="G598" s="4">
        <f t="shared" si="40"/>
        <v>5.346476697566294E-3</v>
      </c>
      <c r="H598" s="4">
        <f t="shared" si="39"/>
        <v>351649</v>
      </c>
      <c r="I598" s="5">
        <f>SQRT(SUM('r-pi-multi'!$D$3:D598)/COUNTIF($A$3:A598,"&lt;&gt;0"))</f>
        <v>77.323266769405294</v>
      </c>
    </row>
    <row r="599" spans="1:9">
      <c r="A599">
        <v>597</v>
      </c>
      <c r="B599">
        <v>12</v>
      </c>
      <c r="C599">
        <v>8110</v>
      </c>
      <c r="D599">
        <v>7597</v>
      </c>
      <c r="E599" s="4">
        <f t="shared" si="37"/>
        <v>1</v>
      </c>
      <c r="F599" s="4">
        <f t="shared" si="38"/>
        <v>513</v>
      </c>
      <c r="G599" s="4">
        <f t="shared" si="40"/>
        <v>4.0012254436151496E-3</v>
      </c>
      <c r="H599" s="4">
        <f t="shared" si="39"/>
        <v>263169</v>
      </c>
      <c r="I599" s="5">
        <f>SQRT(SUM('r-pi-multi'!$D$3:D599)/COUNTIF($A$3:A599,"&lt;&gt;0"))</f>
        <v>77.340791242071916</v>
      </c>
    </row>
    <row r="600" spans="1:9">
      <c r="A600">
        <v>598</v>
      </c>
      <c r="B600">
        <v>12</v>
      </c>
      <c r="C600">
        <v>8110</v>
      </c>
      <c r="D600">
        <v>7430</v>
      </c>
      <c r="E600" s="4">
        <f t="shared" si="37"/>
        <v>1</v>
      </c>
      <c r="F600" s="4">
        <f t="shared" si="38"/>
        <v>680</v>
      </c>
      <c r="G600" s="4">
        <f t="shared" si="40"/>
        <v>7.030336571281744E-3</v>
      </c>
      <c r="H600" s="4">
        <f t="shared" si="39"/>
        <v>462400</v>
      </c>
      <c r="I600" s="5">
        <f>SQRT(SUM('r-pi-multi'!$D$3:D600)/COUNTIF($A$3:A600,"&lt;&gt;0"))</f>
        <v>77.356448127416186</v>
      </c>
    </row>
    <row r="601" spans="1:9">
      <c r="A601">
        <v>599</v>
      </c>
      <c r="B601">
        <v>12</v>
      </c>
      <c r="C601">
        <v>8110</v>
      </c>
      <c r="D601">
        <v>7673</v>
      </c>
      <c r="E601" s="4">
        <f t="shared" si="37"/>
        <v>1</v>
      </c>
      <c r="F601" s="4">
        <f t="shared" si="38"/>
        <v>437</v>
      </c>
      <c r="G601" s="4">
        <f t="shared" si="40"/>
        <v>2.9034955551061922E-3</v>
      </c>
      <c r="H601" s="4">
        <f t="shared" si="39"/>
        <v>190969</v>
      </c>
      <c r="I601" s="5">
        <f>SQRT(SUM('r-pi-multi'!$D$3:D601)/COUNTIF($A$3:A601,"&lt;&gt;0"))</f>
        <v>77.37467113266554</v>
      </c>
    </row>
    <row r="602" spans="1:9">
      <c r="A602">
        <v>600</v>
      </c>
      <c r="B602">
        <v>12</v>
      </c>
      <c r="C602">
        <v>8110</v>
      </c>
      <c r="D602">
        <v>8104</v>
      </c>
      <c r="E602" s="4">
        <f t="shared" si="37"/>
        <v>1</v>
      </c>
      <c r="F602" s="4">
        <f t="shared" si="38"/>
        <v>6</v>
      </c>
      <c r="G602" s="4">
        <f t="shared" si="40"/>
        <v>5.4734454274684868E-7</v>
      </c>
      <c r="H602" s="4">
        <f t="shared" si="39"/>
        <v>36</v>
      </c>
      <c r="I602" s="5">
        <f>SQRT(SUM('r-pi-multi'!$D$3:D602)/COUNTIF($A$3:A602,"&lt;&gt;0"))</f>
        <v>77.397469812218887</v>
      </c>
    </row>
    <row r="603" spans="1:9">
      <c r="A603">
        <v>601</v>
      </c>
      <c r="B603">
        <v>12</v>
      </c>
      <c r="C603">
        <v>6680</v>
      </c>
      <c r="D603">
        <v>7831</v>
      </c>
      <c r="E603" s="4">
        <f t="shared" si="37"/>
        <v>1</v>
      </c>
      <c r="F603" s="4">
        <f t="shared" si="38"/>
        <v>1151</v>
      </c>
      <c r="G603" s="4">
        <f t="shared" si="40"/>
        <v>2.9689147154792213E-2</v>
      </c>
      <c r="H603" s="4">
        <f t="shared" si="39"/>
        <v>1324801</v>
      </c>
      <c r="I603" s="5">
        <f>SQRT(SUM('r-pi-multi'!$D$3:D603)/COUNTIF($A$3:A603,"&lt;&gt;0"))</f>
        <v>77.417252266011744</v>
      </c>
    </row>
    <row r="604" spans="1:9">
      <c r="A604">
        <v>602</v>
      </c>
      <c r="B604">
        <v>12</v>
      </c>
      <c r="C604">
        <v>6680</v>
      </c>
      <c r="D604">
        <v>7879</v>
      </c>
      <c r="E604" s="4">
        <f t="shared" si="37"/>
        <v>1</v>
      </c>
      <c r="F604" s="4">
        <f t="shared" si="38"/>
        <v>1199</v>
      </c>
      <c r="G604" s="4">
        <f t="shared" si="40"/>
        <v>3.2217025529778766E-2</v>
      </c>
      <c r="H604" s="4">
        <f t="shared" si="39"/>
        <v>1437601</v>
      </c>
      <c r="I604" s="5">
        <f>SQRT(SUM('r-pi-multi'!$D$3:D604)/COUNTIF($A$3:A604,"&lt;&gt;0"))</f>
        <v>77.437478800149407</v>
      </c>
    </row>
    <row r="605" spans="1:9">
      <c r="A605">
        <v>603</v>
      </c>
      <c r="B605">
        <v>12</v>
      </c>
      <c r="C605">
        <v>6680</v>
      </c>
      <c r="D605">
        <v>8132</v>
      </c>
      <c r="E605" s="4">
        <f t="shared" si="37"/>
        <v>0</v>
      </c>
      <c r="F605" s="4">
        <f t="shared" si="38"/>
        <v>1452</v>
      </c>
      <c r="G605" s="4">
        <f t="shared" si="40"/>
        <v>4.7247660367886982E-2</v>
      </c>
      <c r="H605" s="4">
        <f t="shared" si="39"/>
        <v>2108304</v>
      </c>
      <c r="I605" s="5">
        <f>SQRT(SUM('r-pi-multi'!$D$3:D605)/COUNTIF($A$3:A605,"&lt;&gt;0"))</f>
        <v>77.460341321297705</v>
      </c>
    </row>
    <row r="606" spans="1:9">
      <c r="A606">
        <v>604</v>
      </c>
      <c r="B606">
        <v>12</v>
      </c>
      <c r="C606">
        <v>6680</v>
      </c>
      <c r="D606">
        <v>8015</v>
      </c>
      <c r="E606" s="4">
        <f t="shared" si="37"/>
        <v>1</v>
      </c>
      <c r="F606" s="4">
        <f t="shared" si="38"/>
        <v>1335</v>
      </c>
      <c r="G606" s="4">
        <f t="shared" si="40"/>
        <v>3.9940142170748323E-2</v>
      </c>
      <c r="H606" s="4">
        <f t="shared" si="39"/>
        <v>1782225</v>
      </c>
      <c r="I606" s="5">
        <f>SQRT(SUM('r-pi-multi'!$D$3:D606)/COUNTIF($A$3:A606,"&lt;&gt;0"))</f>
        <v>77.481871411001634</v>
      </c>
    </row>
    <row r="607" spans="1:9">
      <c r="A607">
        <v>605</v>
      </c>
      <c r="B607">
        <v>11</v>
      </c>
      <c r="C607">
        <v>6680</v>
      </c>
      <c r="D607">
        <v>7719</v>
      </c>
      <c r="E607" s="4">
        <f t="shared" si="37"/>
        <v>1</v>
      </c>
      <c r="F607" s="4">
        <f t="shared" si="38"/>
        <v>1039</v>
      </c>
      <c r="G607" s="4">
        <f t="shared" si="40"/>
        <v>2.4192356305353366E-2</v>
      </c>
      <c r="H607" s="4">
        <f t="shared" si="39"/>
        <v>1079521</v>
      </c>
      <c r="I607" s="5">
        <f>SQRT(SUM('r-pi-multi'!$D$3:D607)/COUNTIF($A$3:A607,"&lt;&gt;0"))</f>
        <v>77.500167955029951</v>
      </c>
    </row>
    <row r="608" spans="1:9">
      <c r="A608">
        <v>606</v>
      </c>
      <c r="B608">
        <v>11</v>
      </c>
      <c r="C608">
        <v>6680</v>
      </c>
      <c r="D608">
        <v>7627</v>
      </c>
      <c r="E608" s="4">
        <f t="shared" si="37"/>
        <v>1</v>
      </c>
      <c r="F608" s="4">
        <f t="shared" si="38"/>
        <v>947</v>
      </c>
      <c r="G608" s="4">
        <f t="shared" si="40"/>
        <v>2.009773118433791E-2</v>
      </c>
      <c r="H608" s="4">
        <f t="shared" si="39"/>
        <v>896809</v>
      </c>
      <c r="I608" s="5">
        <f>SQRT(SUM('r-pi-multi'!$D$3:D608)/COUNTIF($A$3:A608,"&lt;&gt;0"))</f>
        <v>77.517420590790465</v>
      </c>
    </row>
    <row r="609" spans="1:9">
      <c r="A609">
        <v>607</v>
      </c>
      <c r="B609">
        <v>11</v>
      </c>
      <c r="C609">
        <v>6680</v>
      </c>
      <c r="D609">
        <v>7466</v>
      </c>
      <c r="E609" s="4">
        <f t="shared" si="37"/>
        <v>1</v>
      </c>
      <c r="F609" s="4">
        <f t="shared" si="38"/>
        <v>786</v>
      </c>
      <c r="G609" s="4">
        <f t="shared" si="40"/>
        <v>1.3844974721216249E-2</v>
      </c>
      <c r="H609" s="4">
        <f t="shared" si="39"/>
        <v>617796</v>
      </c>
      <c r="I609" s="5">
        <f>SQRT(SUM('r-pi-multi'!$D$3:D609)/COUNTIF($A$3:A609,"&lt;&gt;0"))</f>
        <v>77.53290208740772</v>
      </c>
    </row>
    <row r="610" spans="1:9">
      <c r="A610">
        <v>608</v>
      </c>
      <c r="B610">
        <v>11</v>
      </c>
      <c r="C610">
        <v>6680</v>
      </c>
      <c r="D610">
        <v>7363</v>
      </c>
      <c r="E610" s="4">
        <f t="shared" si="37"/>
        <v>1</v>
      </c>
      <c r="F610" s="4">
        <f t="shared" si="38"/>
        <v>683</v>
      </c>
      <c r="G610" s="4">
        <f t="shared" si="40"/>
        <v>1.0454144106995588E-2</v>
      </c>
      <c r="H610" s="4">
        <f t="shared" si="39"/>
        <v>466489</v>
      </c>
      <c r="I610" s="5">
        <f>SQRT(SUM('r-pi-multi'!$D$3:D610)/COUNTIF($A$3:A610,"&lt;&gt;0"))</f>
        <v>77.547237301904545</v>
      </c>
    </row>
    <row r="611" spans="1:9">
      <c r="A611">
        <v>609</v>
      </c>
      <c r="B611">
        <v>11</v>
      </c>
      <c r="C611">
        <v>6680</v>
      </c>
      <c r="D611">
        <v>7530</v>
      </c>
      <c r="E611" s="4">
        <f t="shared" si="37"/>
        <v>1</v>
      </c>
      <c r="F611" s="4">
        <f t="shared" si="38"/>
        <v>850</v>
      </c>
      <c r="G611" s="4">
        <f t="shared" si="40"/>
        <v>1.6191419556097385E-2</v>
      </c>
      <c r="H611" s="4">
        <f t="shared" si="39"/>
        <v>722500</v>
      </c>
      <c r="I611" s="5">
        <f>SQRT(SUM('r-pi-multi'!$D$3:D611)/COUNTIF($A$3:A611,"&lt;&gt;0"))</f>
        <v>77.563290540105811</v>
      </c>
    </row>
    <row r="612" spans="1:9">
      <c r="A612">
        <v>610</v>
      </c>
      <c r="B612">
        <v>11</v>
      </c>
      <c r="C612">
        <v>6680</v>
      </c>
      <c r="D612">
        <v>7647</v>
      </c>
      <c r="E612" s="4">
        <f t="shared" si="37"/>
        <v>1</v>
      </c>
      <c r="F612" s="4">
        <f t="shared" si="38"/>
        <v>967</v>
      </c>
      <c r="G612" s="4">
        <f t="shared" si="40"/>
        <v>2.0955596292445047E-2</v>
      </c>
      <c r="H612" s="4">
        <f t="shared" si="39"/>
        <v>935089</v>
      </c>
      <c r="I612" s="5">
        <f>SQRT(SUM('r-pi-multi'!$D$3:D612)/COUNTIF($A$3:A612,"&lt;&gt;0"))</f>
        <v>77.580524005178219</v>
      </c>
    </row>
    <row r="613" spans="1:9">
      <c r="A613">
        <v>611</v>
      </c>
      <c r="B613">
        <v>11</v>
      </c>
      <c r="C613">
        <v>6680</v>
      </c>
      <c r="D613">
        <v>7736</v>
      </c>
      <c r="E613" s="4">
        <f t="shared" si="37"/>
        <v>1</v>
      </c>
      <c r="F613" s="4">
        <f t="shared" si="38"/>
        <v>1056</v>
      </c>
      <c r="G613" s="4">
        <f t="shared" si="40"/>
        <v>2.4990498045824525E-2</v>
      </c>
      <c r="H613" s="4">
        <f t="shared" si="39"/>
        <v>1115136</v>
      </c>
      <c r="I613" s="5">
        <f>SQRT(SUM('r-pi-multi'!$D$3:D613)/COUNTIF($A$3:A613,"&lt;&gt;0"))</f>
        <v>77.598635822453275</v>
      </c>
    </row>
    <row r="614" spans="1:9">
      <c r="A614">
        <v>612</v>
      </c>
      <c r="B614">
        <v>11</v>
      </c>
      <c r="C614">
        <v>6680</v>
      </c>
      <c r="D614">
        <v>7570</v>
      </c>
      <c r="E614" s="4">
        <f t="shared" si="37"/>
        <v>1</v>
      </c>
      <c r="F614" s="4">
        <f t="shared" si="38"/>
        <v>890</v>
      </c>
      <c r="G614" s="4">
        <f t="shared" si="40"/>
        <v>1.7751174298110364E-2</v>
      </c>
      <c r="H614" s="4">
        <f t="shared" si="39"/>
        <v>792100</v>
      </c>
      <c r="I614" s="5">
        <f>SQRT(SUM('r-pi-multi'!$D$3:D614)/COUNTIF($A$3:A614,"&lt;&gt;0"))</f>
        <v>77.614936908900134</v>
      </c>
    </row>
    <row r="615" spans="1:9">
      <c r="A615">
        <v>613</v>
      </c>
      <c r="B615">
        <v>11</v>
      </c>
      <c r="C615">
        <v>6680</v>
      </c>
      <c r="D615">
        <v>7608</v>
      </c>
      <c r="E615" s="4">
        <f t="shared" si="37"/>
        <v>1</v>
      </c>
      <c r="F615" s="4">
        <f t="shared" si="38"/>
        <v>928</v>
      </c>
      <c r="G615" s="4">
        <f t="shared" si="40"/>
        <v>1.9299365341173942E-2</v>
      </c>
      <c r="H615" s="4">
        <f t="shared" si="39"/>
        <v>861184</v>
      </c>
      <c r="I615" s="5">
        <f>SQRT(SUM('r-pi-multi'!$D$3:D615)/COUNTIF($A$3:A615,"&lt;&gt;0"))</f>
        <v>77.631580664548792</v>
      </c>
    </row>
    <row r="616" spans="1:9">
      <c r="A616">
        <v>614</v>
      </c>
      <c r="B616">
        <v>11</v>
      </c>
      <c r="C616">
        <v>6680</v>
      </c>
      <c r="D616">
        <v>7611</v>
      </c>
      <c r="E616" s="4">
        <f t="shared" si="37"/>
        <v>1</v>
      </c>
      <c r="F616" s="4">
        <f t="shared" si="38"/>
        <v>931</v>
      </c>
      <c r="G616" s="4">
        <f t="shared" si="40"/>
        <v>1.9424347412958513E-2</v>
      </c>
      <c r="H616" s="4">
        <f t="shared" si="39"/>
        <v>866761</v>
      </c>
      <c r="I616" s="5">
        <f>SQRT(SUM('r-pi-multi'!$D$3:D616)/COUNTIF($A$3:A616,"&lt;&gt;0"))</f>
        <v>77.648198118242078</v>
      </c>
    </row>
    <row r="617" spans="1:9">
      <c r="A617">
        <v>615</v>
      </c>
      <c r="B617">
        <v>11</v>
      </c>
      <c r="C617">
        <v>6680</v>
      </c>
      <c r="D617">
        <v>7544</v>
      </c>
      <c r="E617" s="4">
        <f t="shared" si="37"/>
        <v>1</v>
      </c>
      <c r="F617" s="4">
        <f t="shared" si="38"/>
        <v>864</v>
      </c>
      <c r="G617" s="4">
        <f t="shared" si="40"/>
        <v>1.6729176377783355E-2</v>
      </c>
      <c r="H617" s="4">
        <f t="shared" si="39"/>
        <v>746496</v>
      </c>
      <c r="I617" s="5">
        <f>SQRT(SUM('r-pi-multi'!$D$3:D617)/COUNTIF($A$3:A617,"&lt;&gt;0"))</f>
        <v>77.66405662246153</v>
      </c>
    </row>
    <row r="618" spans="1:9">
      <c r="A618">
        <v>616</v>
      </c>
      <c r="B618">
        <v>11</v>
      </c>
      <c r="C618">
        <v>6680</v>
      </c>
      <c r="D618">
        <v>7641</v>
      </c>
      <c r="E618" s="4">
        <f t="shared" si="37"/>
        <v>1</v>
      </c>
      <c r="F618" s="4">
        <f t="shared" si="38"/>
        <v>961</v>
      </c>
      <c r="G618" s="4">
        <f t="shared" si="40"/>
        <v>2.0696354297393239E-2</v>
      </c>
      <c r="H618" s="4">
        <f t="shared" si="39"/>
        <v>923521</v>
      </c>
      <c r="I618" s="5">
        <f>SQRT(SUM('r-pi-multi'!$D$3:D618)/COUNTIF($A$3:A618,"&lt;&gt;0"))</f>
        <v>77.680873976920353</v>
      </c>
    </row>
    <row r="619" spans="1:9">
      <c r="A619">
        <v>617</v>
      </c>
      <c r="B619">
        <v>10</v>
      </c>
      <c r="C619">
        <v>6680</v>
      </c>
      <c r="D619">
        <v>6814</v>
      </c>
      <c r="E619" s="4">
        <f t="shared" si="37"/>
        <v>1</v>
      </c>
      <c r="F619" s="4">
        <f t="shared" si="38"/>
        <v>134</v>
      </c>
      <c r="G619" s="4">
        <f t="shared" si="40"/>
        <v>4.0239879522392338E-4</v>
      </c>
      <c r="H619" s="4">
        <f t="shared" si="39"/>
        <v>17956</v>
      </c>
      <c r="I619" s="5">
        <f>SQRT(SUM('r-pi-multi'!$D$3:D619)/COUNTIF($A$3:A619,"&lt;&gt;0"))</f>
        <v>77.689007251025672</v>
      </c>
    </row>
    <row r="620" spans="1:9">
      <c r="A620">
        <v>618</v>
      </c>
      <c r="B620">
        <v>11</v>
      </c>
      <c r="C620">
        <v>6680</v>
      </c>
      <c r="D620">
        <v>7521</v>
      </c>
      <c r="E620" s="4">
        <f t="shared" si="37"/>
        <v>1</v>
      </c>
      <c r="F620" s="4">
        <f t="shared" si="38"/>
        <v>841</v>
      </c>
      <c r="G620" s="4">
        <f t="shared" si="40"/>
        <v>1.5850357667897736E-2</v>
      </c>
      <c r="H620" s="4">
        <f t="shared" si="39"/>
        <v>707281</v>
      </c>
      <c r="I620" s="5">
        <f>SQRT(SUM('r-pi-multi'!$D$3:D620)/COUNTIF($A$3:A620,"&lt;&gt;0"))</f>
        <v>77.704475012017184</v>
      </c>
    </row>
    <row r="621" spans="1:9">
      <c r="A621">
        <v>619</v>
      </c>
      <c r="B621">
        <v>10</v>
      </c>
      <c r="C621">
        <v>6680</v>
      </c>
      <c r="D621">
        <v>6213</v>
      </c>
      <c r="E621" s="4">
        <f t="shared" si="37"/>
        <v>1</v>
      </c>
      <c r="F621" s="4">
        <f t="shared" si="38"/>
        <v>467</v>
      </c>
      <c r="G621" s="4">
        <f t="shared" si="40"/>
        <v>4.8874332173975401E-3</v>
      </c>
      <c r="H621" s="4">
        <f t="shared" si="39"/>
        <v>218089</v>
      </c>
      <c r="I621" s="5">
        <f>SQRT(SUM('r-pi-multi'!$D$3:D621)/COUNTIF($A$3:A621,"&lt;&gt;0"))</f>
        <v>77.706294304097142</v>
      </c>
    </row>
    <row r="622" spans="1:9">
      <c r="A622">
        <v>620</v>
      </c>
      <c r="B622">
        <v>11</v>
      </c>
      <c r="C622">
        <v>6680</v>
      </c>
      <c r="D622">
        <v>7522</v>
      </c>
      <c r="E622" s="4">
        <f t="shared" si="37"/>
        <v>1</v>
      </c>
      <c r="F622" s="4">
        <f t="shared" si="38"/>
        <v>842</v>
      </c>
      <c r="G622" s="4">
        <f t="shared" si="40"/>
        <v>1.5888074151099E-2</v>
      </c>
      <c r="H622" s="4">
        <f t="shared" si="39"/>
        <v>708964</v>
      </c>
      <c r="I622" s="5">
        <f>SQRT(SUM('r-pi-multi'!$D$3:D622)/COUNTIF($A$3:A622,"&lt;&gt;0"))</f>
        <v>77.721691247183884</v>
      </c>
    </row>
    <row r="623" spans="1:9">
      <c r="A623">
        <v>621</v>
      </c>
      <c r="B623">
        <v>10</v>
      </c>
      <c r="C623">
        <v>6680</v>
      </c>
      <c r="D623">
        <v>7138</v>
      </c>
      <c r="E623" s="4">
        <f t="shared" si="37"/>
        <v>1</v>
      </c>
      <c r="F623" s="4">
        <f t="shared" si="38"/>
        <v>458</v>
      </c>
      <c r="G623" s="4">
        <f t="shared" si="40"/>
        <v>4.7008677256265901E-3</v>
      </c>
      <c r="H623" s="4">
        <f t="shared" si="39"/>
        <v>209764</v>
      </c>
      <c r="I623" s="5">
        <f>SQRT(SUM('r-pi-multi'!$D$3:D623)/COUNTIF($A$3:A623,"&lt;&gt;0"))</f>
        <v>77.733058227403248</v>
      </c>
    </row>
    <row r="624" spans="1:9">
      <c r="A624">
        <v>622</v>
      </c>
      <c r="B624">
        <v>10</v>
      </c>
      <c r="C624">
        <v>6680</v>
      </c>
      <c r="D624">
        <v>7119</v>
      </c>
      <c r="E624" s="4">
        <f t="shared" si="37"/>
        <v>1</v>
      </c>
      <c r="F624" s="4">
        <f t="shared" si="38"/>
        <v>439</v>
      </c>
      <c r="G624" s="4">
        <f t="shared" si="40"/>
        <v>4.3189295062569478E-3</v>
      </c>
      <c r="H624" s="4">
        <f t="shared" si="39"/>
        <v>192721</v>
      </c>
      <c r="I624" s="5">
        <f>SQRT(SUM('r-pi-multi'!$D$3:D624)/COUNTIF($A$3:A624,"&lt;&gt;0"))</f>
        <v>77.744190548150527</v>
      </c>
    </row>
    <row r="625" spans="1:9">
      <c r="A625">
        <v>623</v>
      </c>
      <c r="B625">
        <v>10</v>
      </c>
      <c r="C625">
        <v>6680</v>
      </c>
      <c r="D625">
        <v>7319</v>
      </c>
      <c r="E625" s="4">
        <f t="shared" si="37"/>
        <v>1</v>
      </c>
      <c r="F625" s="4">
        <f t="shared" si="38"/>
        <v>639</v>
      </c>
      <c r="G625" s="4">
        <f t="shared" si="40"/>
        <v>9.1505835634120986E-3</v>
      </c>
      <c r="H625" s="4">
        <f t="shared" si="39"/>
        <v>408321</v>
      </c>
      <c r="I625" s="5">
        <f>SQRT(SUM('r-pi-multi'!$D$3:D625)/COUNTIF($A$3:A625,"&lt;&gt;0"))</f>
        <v>77.757349861372489</v>
      </c>
    </row>
    <row r="626" spans="1:9">
      <c r="A626">
        <v>624</v>
      </c>
      <c r="B626">
        <v>10</v>
      </c>
      <c r="C626">
        <v>6680</v>
      </c>
      <c r="D626">
        <v>7156</v>
      </c>
      <c r="E626" s="4">
        <f t="shared" si="37"/>
        <v>1</v>
      </c>
      <c r="F626" s="4">
        <f t="shared" si="38"/>
        <v>476</v>
      </c>
      <c r="G626" s="4">
        <f t="shared" si="40"/>
        <v>5.0776291727921393E-3</v>
      </c>
      <c r="H626" s="4">
        <f t="shared" si="39"/>
        <v>226576</v>
      </c>
      <c r="I626" s="5">
        <f>SQRT(SUM('r-pi-multi'!$D$3:D626)/COUNTIF($A$3:A626,"&lt;&gt;0"))</f>
        <v>77.768785347072097</v>
      </c>
    </row>
    <row r="627" spans="1:9">
      <c r="A627">
        <v>625</v>
      </c>
      <c r="B627">
        <v>10</v>
      </c>
      <c r="C627">
        <v>6680</v>
      </c>
      <c r="D627">
        <v>7017</v>
      </c>
      <c r="E627" s="4">
        <f t="shared" si="37"/>
        <v>1</v>
      </c>
      <c r="F627" s="4">
        <f t="shared" si="38"/>
        <v>337</v>
      </c>
      <c r="G627" s="4">
        <f t="shared" si="40"/>
        <v>2.5451118720642547E-3</v>
      </c>
      <c r="H627" s="4">
        <f t="shared" si="39"/>
        <v>113569</v>
      </c>
      <c r="I627" s="5">
        <f>SQRT(SUM('r-pi-multi'!$D$3:D627)/COUNTIF($A$3:A627,"&lt;&gt;0"))</f>
        <v>77.778752882776402</v>
      </c>
    </row>
    <row r="628" spans="1:9">
      <c r="A628">
        <v>626</v>
      </c>
      <c r="B628">
        <v>10</v>
      </c>
      <c r="C628">
        <v>6680</v>
      </c>
      <c r="D628">
        <v>7086</v>
      </c>
      <c r="E628" s="4">
        <f t="shared" si="37"/>
        <v>1</v>
      </c>
      <c r="F628" s="4">
        <f t="shared" si="38"/>
        <v>406</v>
      </c>
      <c r="G628" s="4">
        <f t="shared" si="40"/>
        <v>3.6940191473340748E-3</v>
      </c>
      <c r="H628" s="4">
        <f t="shared" si="39"/>
        <v>164836</v>
      </c>
      <c r="I628" s="5">
        <f>SQRT(SUM('r-pi-multi'!$D$3:D628)/COUNTIF($A$3:A628,"&lt;&gt;0"))</f>
        <v>77.789395780187448</v>
      </c>
    </row>
    <row r="629" spans="1:9">
      <c r="A629">
        <v>627</v>
      </c>
      <c r="B629">
        <v>10</v>
      </c>
      <c r="C629">
        <v>6680</v>
      </c>
      <c r="D629">
        <v>7162</v>
      </c>
      <c r="E629" s="4">
        <f t="shared" si="37"/>
        <v>1</v>
      </c>
      <c r="F629" s="4">
        <f t="shared" si="38"/>
        <v>482</v>
      </c>
      <c r="G629" s="4">
        <f t="shared" si="40"/>
        <v>5.2064434006239028E-3</v>
      </c>
      <c r="H629" s="4">
        <f t="shared" si="39"/>
        <v>232324</v>
      </c>
      <c r="I629" s="5">
        <f>SQRT(SUM('r-pi-multi'!$D$3:D629)/COUNTIF($A$3:A629,"&lt;&gt;0"))</f>
        <v>77.800782274267902</v>
      </c>
    </row>
    <row r="630" spans="1:9">
      <c r="A630">
        <v>628</v>
      </c>
      <c r="B630">
        <v>10</v>
      </c>
      <c r="C630">
        <v>6680</v>
      </c>
      <c r="D630">
        <v>7113</v>
      </c>
      <c r="E630" s="4">
        <f t="shared" si="37"/>
        <v>1</v>
      </c>
      <c r="F630" s="4">
        <f t="shared" si="38"/>
        <v>433</v>
      </c>
      <c r="G630" s="4">
        <f t="shared" si="40"/>
        <v>4.2016789773745931E-3</v>
      </c>
      <c r="H630" s="4">
        <f t="shared" si="39"/>
        <v>187489</v>
      </c>
      <c r="I630" s="5">
        <f>SQRT(SUM('r-pi-multi'!$D$3:D630)/COUNTIF($A$3:A630,"&lt;&gt;0"))</f>
        <v>77.811629474832756</v>
      </c>
    </row>
    <row r="631" spans="1:9">
      <c r="A631">
        <v>629</v>
      </c>
      <c r="B631">
        <v>10</v>
      </c>
      <c r="C631">
        <v>6680</v>
      </c>
      <c r="D631">
        <v>7016</v>
      </c>
      <c r="E631" s="4">
        <f t="shared" ref="E631:E694" si="41">IF(AND(D631&lt;=C631*1.2,D631&gt;=C631*0.8),1,0)</f>
        <v>1</v>
      </c>
      <c r="F631" s="4">
        <f t="shared" ref="F631:F694" si="42">ABS(C631-D631)</f>
        <v>336</v>
      </c>
      <c r="G631" s="4">
        <f t="shared" si="40"/>
        <v>2.5300297608376061E-3</v>
      </c>
      <c r="H631" s="4">
        <f t="shared" ref="H631:H694" si="43">POWER(F631,2)</f>
        <v>112896</v>
      </c>
      <c r="I631" s="5">
        <f>SQRT(SUM('r-pi-multi'!$D$3:D631)/COUNTIF($A$3:A631,"&lt;&gt;0"))</f>
        <v>77.821449873497954</v>
      </c>
    </row>
    <row r="632" spans="1:9">
      <c r="A632">
        <v>630</v>
      </c>
      <c r="B632">
        <v>10</v>
      </c>
      <c r="C632">
        <v>6680</v>
      </c>
      <c r="D632">
        <v>7116</v>
      </c>
      <c r="E632" s="4">
        <f t="shared" si="41"/>
        <v>1</v>
      </c>
      <c r="F632" s="4">
        <f t="shared" si="42"/>
        <v>436</v>
      </c>
      <c r="G632" s="4">
        <f t="shared" si="40"/>
        <v>4.2601025493922339E-3</v>
      </c>
      <c r="H632" s="4">
        <f t="shared" si="43"/>
        <v>190096</v>
      </c>
      <c r="I632" s="5">
        <f>SQRT(SUM('r-pi-multi'!$D$3:D632)/COUNTIF($A$3:A632,"&lt;&gt;0"))</f>
        <v>77.832257563688316</v>
      </c>
    </row>
    <row r="633" spans="1:9">
      <c r="A633">
        <v>631</v>
      </c>
      <c r="B633">
        <v>10</v>
      </c>
      <c r="C633">
        <v>6680</v>
      </c>
      <c r="D633">
        <v>7092</v>
      </c>
      <c r="E633" s="4">
        <f t="shared" si="41"/>
        <v>1</v>
      </c>
      <c r="F633" s="4">
        <f t="shared" si="42"/>
        <v>412</v>
      </c>
      <c r="G633" s="4">
        <f t="shared" si="40"/>
        <v>3.8040087489691274E-3</v>
      </c>
      <c r="H633" s="4">
        <f t="shared" si="43"/>
        <v>169744</v>
      </c>
      <c r="I633" s="5">
        <f>SQRT(SUM('r-pi-multi'!$D$3:D633)/COUNTIF($A$3:A633,"&lt;&gt;0"))</f>
        <v>77.84278519944526</v>
      </c>
    </row>
    <row r="634" spans="1:9">
      <c r="A634">
        <v>632</v>
      </c>
      <c r="B634">
        <v>10</v>
      </c>
      <c r="C634">
        <v>6680</v>
      </c>
      <c r="D634">
        <v>7196</v>
      </c>
      <c r="E634" s="4">
        <f t="shared" si="41"/>
        <v>1</v>
      </c>
      <c r="F634" s="4">
        <f t="shared" si="42"/>
        <v>516</v>
      </c>
      <c r="G634" s="4">
        <f t="shared" si="40"/>
        <v>5.9668686578937934E-3</v>
      </c>
      <c r="H634" s="4">
        <f t="shared" si="43"/>
        <v>266256</v>
      </c>
      <c r="I634" s="5">
        <f>SQRT(SUM('r-pi-multi'!$D$3:D634)/COUNTIF($A$3:A634,"&lt;&gt;0"))</f>
        <v>77.854334936176997</v>
      </c>
    </row>
    <row r="635" spans="1:9">
      <c r="A635">
        <v>633</v>
      </c>
      <c r="B635">
        <v>10</v>
      </c>
      <c r="C635">
        <v>6680</v>
      </c>
      <c r="D635">
        <v>7344</v>
      </c>
      <c r="E635" s="4">
        <f t="shared" si="41"/>
        <v>1</v>
      </c>
      <c r="F635" s="4">
        <f t="shared" si="42"/>
        <v>664</v>
      </c>
      <c r="G635" s="4">
        <f t="shared" si="40"/>
        <v>9.8805980852665933E-3</v>
      </c>
      <c r="H635" s="4">
        <f t="shared" si="43"/>
        <v>440896</v>
      </c>
      <c r="I635" s="5">
        <f>SQRT(SUM('r-pi-multi'!$D$3:D635)/COUNTIF($A$3:A635,"&lt;&gt;0"))</f>
        <v>77.867347808053324</v>
      </c>
    </row>
    <row r="636" spans="1:9">
      <c r="A636">
        <v>634</v>
      </c>
      <c r="B636">
        <v>10</v>
      </c>
      <c r="C636">
        <v>6680</v>
      </c>
      <c r="D636">
        <v>7037</v>
      </c>
      <c r="E636" s="4">
        <f t="shared" si="41"/>
        <v>1</v>
      </c>
      <c r="F636" s="4">
        <f t="shared" si="42"/>
        <v>357</v>
      </c>
      <c r="G636" s="4">
        <f t="shared" si="40"/>
        <v>2.8561664096955785E-3</v>
      </c>
      <c r="H636" s="4">
        <f t="shared" si="43"/>
        <v>127449</v>
      </c>
      <c r="I636" s="5">
        <f>SQRT(SUM('r-pi-multi'!$D$3:D636)/COUNTIF($A$3:A636,"&lt;&gt;0"))</f>
        <v>77.877208613631652</v>
      </c>
    </row>
    <row r="637" spans="1:9">
      <c r="A637">
        <v>635</v>
      </c>
      <c r="B637">
        <v>10</v>
      </c>
      <c r="C637">
        <v>6680</v>
      </c>
      <c r="D637">
        <v>7162</v>
      </c>
      <c r="E637" s="4">
        <f t="shared" si="41"/>
        <v>1</v>
      </c>
      <c r="F637" s="4">
        <f t="shared" si="42"/>
        <v>482</v>
      </c>
      <c r="G637" s="4">
        <f t="shared" si="40"/>
        <v>5.2064434006239028E-3</v>
      </c>
      <c r="H637" s="4">
        <f t="shared" si="43"/>
        <v>232324</v>
      </c>
      <c r="I637" s="5">
        <f>SQRT(SUM('r-pi-multi'!$D$3:D637)/COUNTIF($A$3:A637,"&lt;&gt;0"))</f>
        <v>77.888300800407777</v>
      </c>
    </row>
    <row r="638" spans="1:9">
      <c r="A638">
        <v>636</v>
      </c>
      <c r="B638">
        <v>10</v>
      </c>
      <c r="C638">
        <v>6680</v>
      </c>
      <c r="D638">
        <v>7166</v>
      </c>
      <c r="E638" s="4">
        <f t="shared" si="41"/>
        <v>1</v>
      </c>
      <c r="F638" s="4">
        <f t="shared" si="42"/>
        <v>486</v>
      </c>
      <c r="G638" s="4">
        <f t="shared" si="40"/>
        <v>5.2932159632830137E-3</v>
      </c>
      <c r="H638" s="4">
        <f t="shared" si="43"/>
        <v>236196</v>
      </c>
      <c r="I638" s="5">
        <f>SQRT(SUM('r-pi-multi'!$D$3:D638)/COUNTIF($A$3:A638,"&lt;&gt;0"))</f>
        <v>77.899396902260094</v>
      </c>
    </row>
    <row r="639" spans="1:9">
      <c r="A639">
        <v>637</v>
      </c>
      <c r="B639">
        <v>10</v>
      </c>
      <c r="C639">
        <v>6680</v>
      </c>
      <c r="D639">
        <v>7083</v>
      </c>
      <c r="E639" s="4">
        <f t="shared" si="41"/>
        <v>1</v>
      </c>
      <c r="F639" s="4">
        <f t="shared" si="42"/>
        <v>403</v>
      </c>
      <c r="G639" s="4">
        <f t="shared" si="40"/>
        <v>3.6396294237871561E-3</v>
      </c>
      <c r="H639" s="4">
        <f t="shared" si="43"/>
        <v>162409</v>
      </c>
      <c r="I639" s="5">
        <f>SQRT(SUM('r-pi-multi'!$D$3:D639)/COUNTIF($A$3:A639,"&lt;&gt;0"))</f>
        <v>77.909620382817053</v>
      </c>
    </row>
    <row r="640" spans="1:9">
      <c r="A640">
        <v>638</v>
      </c>
      <c r="B640">
        <v>10</v>
      </c>
      <c r="C640">
        <v>6680</v>
      </c>
      <c r="D640">
        <v>7076</v>
      </c>
      <c r="E640" s="4">
        <f t="shared" si="41"/>
        <v>1</v>
      </c>
      <c r="F640" s="4">
        <f t="shared" si="42"/>
        <v>396</v>
      </c>
      <c r="G640" s="4">
        <f t="shared" si="40"/>
        <v>3.5142887876940727E-3</v>
      </c>
      <c r="H640" s="4">
        <f t="shared" si="43"/>
        <v>156816</v>
      </c>
      <c r="I640" s="5">
        <f>SQRT(SUM('r-pi-multi'!$D$3:D640)/COUNTIF($A$3:A640,"&lt;&gt;0"))</f>
        <v>77.919740075393776</v>
      </c>
    </row>
    <row r="641" spans="1:9">
      <c r="A641">
        <v>639</v>
      </c>
      <c r="B641">
        <v>10</v>
      </c>
      <c r="C641">
        <v>6680</v>
      </c>
      <c r="D641">
        <v>7080</v>
      </c>
      <c r="E641" s="4">
        <f t="shared" si="41"/>
        <v>1</v>
      </c>
      <c r="F641" s="4">
        <f t="shared" si="42"/>
        <v>400</v>
      </c>
      <c r="G641" s="4">
        <f t="shared" si="40"/>
        <v>3.5856430850873104E-3</v>
      </c>
      <c r="H641" s="4">
        <f t="shared" si="43"/>
        <v>160000</v>
      </c>
      <c r="I641" s="5">
        <f>SQRT(SUM('r-pi-multi'!$D$3:D641)/COUNTIF($A$3:A641,"&lt;&gt;0"))</f>
        <v>77.929866949420003</v>
      </c>
    </row>
    <row r="642" spans="1:9">
      <c r="A642">
        <v>640</v>
      </c>
      <c r="B642">
        <v>10</v>
      </c>
      <c r="C642">
        <v>6680</v>
      </c>
      <c r="D642">
        <v>7213</v>
      </c>
      <c r="E642" s="4">
        <f t="shared" si="41"/>
        <v>1</v>
      </c>
      <c r="F642" s="4">
        <f t="shared" si="42"/>
        <v>533</v>
      </c>
      <c r="G642" s="4">
        <f t="shared" si="40"/>
        <v>6.3665109899960553E-3</v>
      </c>
      <c r="H642" s="4">
        <f t="shared" si="43"/>
        <v>284089</v>
      </c>
      <c r="I642" s="5">
        <f>SQRT(SUM('r-pi-multi'!$D$3:D642)/COUNTIF($A$3:A642,"&lt;&gt;0"))</f>
        <v>77.941294013507374</v>
      </c>
    </row>
    <row r="643" spans="1:9">
      <c r="A643">
        <v>641</v>
      </c>
      <c r="B643">
        <v>9</v>
      </c>
      <c r="C643">
        <v>6680</v>
      </c>
      <c r="D643">
        <v>6484</v>
      </c>
      <c r="E643" s="4">
        <f t="shared" si="41"/>
        <v>1</v>
      </c>
      <c r="F643" s="4">
        <f t="shared" si="42"/>
        <v>196</v>
      </c>
      <c r="G643" s="4">
        <f t="shared" si="40"/>
        <v>8.6091290472946336E-4</v>
      </c>
      <c r="H643" s="4">
        <f t="shared" si="43"/>
        <v>38416</v>
      </c>
      <c r="I643" s="5">
        <f>SQRT(SUM('r-pi-multi'!$D$3:D643)/COUNTIF($A$3:A643,"&lt;&gt;0"))</f>
        <v>77.94538869840072</v>
      </c>
    </row>
    <row r="644" spans="1:9">
      <c r="A644">
        <v>642</v>
      </c>
      <c r="B644">
        <v>10</v>
      </c>
      <c r="C644">
        <v>6680</v>
      </c>
      <c r="D644">
        <v>7184</v>
      </c>
      <c r="E644" s="4">
        <f t="shared" si="41"/>
        <v>1</v>
      </c>
      <c r="F644" s="4">
        <f t="shared" si="42"/>
        <v>504</v>
      </c>
      <c r="G644" s="4">
        <f t="shared" ref="G644:G707" si="44">POWER(ABS(C644-D644)/C644,2)</f>
        <v>5.6925669618846132E-3</v>
      </c>
      <c r="H644" s="4">
        <f t="shared" si="43"/>
        <v>254016</v>
      </c>
      <c r="I644" s="5">
        <f>SQRT(SUM('r-pi-multi'!$D$3:D644)/COUNTIF($A$3:A644,"&lt;&gt;0"))</f>
        <v>77.95646400635313</v>
      </c>
    </row>
    <row r="645" spans="1:9">
      <c r="A645">
        <v>643</v>
      </c>
      <c r="B645">
        <v>9</v>
      </c>
      <c r="C645">
        <v>6680</v>
      </c>
      <c r="D645">
        <v>6701</v>
      </c>
      <c r="E645" s="4">
        <f t="shared" si="41"/>
        <v>1</v>
      </c>
      <c r="F645" s="4">
        <f t="shared" si="42"/>
        <v>21</v>
      </c>
      <c r="G645" s="4">
        <f t="shared" si="44"/>
        <v>9.8829287532718987E-6</v>
      </c>
      <c r="H645" s="4">
        <f t="shared" si="43"/>
        <v>441</v>
      </c>
      <c r="I645" s="5">
        <f>SQRT(SUM('r-pi-multi'!$D$3:D645)/COUNTIF($A$3:A645,"&lt;&gt;0"))</f>
        <v>77.962685974474923</v>
      </c>
    </row>
    <row r="646" spans="1:9">
      <c r="A646">
        <v>644</v>
      </c>
      <c r="B646">
        <v>10</v>
      </c>
      <c r="C646">
        <v>6680</v>
      </c>
      <c r="D646">
        <v>6980</v>
      </c>
      <c r="E646" s="4">
        <f t="shared" si="41"/>
        <v>1</v>
      </c>
      <c r="F646" s="4">
        <f t="shared" si="42"/>
        <v>300</v>
      </c>
      <c r="G646" s="4">
        <f t="shared" si="44"/>
        <v>2.0169242353616119E-3</v>
      </c>
      <c r="H646" s="4">
        <f t="shared" si="43"/>
        <v>90000</v>
      </c>
      <c r="I646" s="5">
        <f>SQRT(SUM('r-pi-multi'!$D$3:D646)/COUNTIF($A$3:A646,"&lt;&gt;0"))</f>
        <v>77.971666298352346</v>
      </c>
    </row>
    <row r="647" spans="1:9">
      <c r="A647">
        <v>645</v>
      </c>
      <c r="B647">
        <v>9</v>
      </c>
      <c r="C647">
        <v>6680</v>
      </c>
      <c r="D647">
        <v>6752</v>
      </c>
      <c r="E647" s="4">
        <f t="shared" si="41"/>
        <v>1</v>
      </c>
      <c r="F647" s="4">
        <f t="shared" si="42"/>
        <v>72</v>
      </c>
      <c r="G647" s="4">
        <f t="shared" si="44"/>
        <v>1.1617483595682887E-4</v>
      </c>
      <c r="H647" s="4">
        <f t="shared" si="43"/>
        <v>5184</v>
      </c>
      <c r="I647" s="5">
        <f>SQRT(SUM('r-pi-multi'!$D$3:D647)/COUNTIF($A$3:A647,"&lt;&gt;0"))</f>
        <v>77.97835119963716</v>
      </c>
    </row>
    <row r="648" spans="1:9">
      <c r="A648">
        <v>646</v>
      </c>
      <c r="B648">
        <v>9</v>
      </c>
      <c r="C648">
        <v>6680</v>
      </c>
      <c r="D648">
        <v>6313</v>
      </c>
      <c r="E648" s="4">
        <f t="shared" si="41"/>
        <v>1</v>
      </c>
      <c r="F648" s="4">
        <f t="shared" si="42"/>
        <v>367</v>
      </c>
      <c r="G648" s="4">
        <f t="shared" si="44"/>
        <v>3.0184167592957798E-3</v>
      </c>
      <c r="H648" s="4">
        <f t="shared" si="43"/>
        <v>134689</v>
      </c>
      <c r="I648" s="5">
        <f>SQRT(SUM('r-pi-multi'!$D$3:D648)/COUNTIF($A$3:A648,"&lt;&gt;0"))</f>
        <v>77.980657679556813</v>
      </c>
    </row>
    <row r="649" spans="1:9">
      <c r="A649">
        <v>647</v>
      </c>
      <c r="B649">
        <v>10</v>
      </c>
      <c r="C649">
        <v>6680</v>
      </c>
      <c r="D649">
        <v>7220</v>
      </c>
      <c r="E649" s="4">
        <f t="shared" si="41"/>
        <v>1</v>
      </c>
      <c r="F649" s="4">
        <f t="shared" si="42"/>
        <v>540</v>
      </c>
      <c r="G649" s="4">
        <f t="shared" si="44"/>
        <v>6.5348345225716229E-3</v>
      </c>
      <c r="H649" s="4">
        <f t="shared" si="43"/>
        <v>291600</v>
      </c>
      <c r="I649" s="5">
        <f>SQRT(SUM('r-pi-multi'!$D$3:D649)/COUNTIF($A$3:A649,"&lt;&gt;0"))</f>
        <v>77.991944655977264</v>
      </c>
    </row>
    <row r="650" spans="1:9">
      <c r="A650">
        <v>648</v>
      </c>
      <c r="B650">
        <v>9</v>
      </c>
      <c r="C650">
        <v>6680</v>
      </c>
      <c r="D650">
        <v>6611</v>
      </c>
      <c r="E650" s="4">
        <f t="shared" si="41"/>
        <v>1</v>
      </c>
      <c r="F650" s="4">
        <f t="shared" si="42"/>
        <v>69</v>
      </c>
      <c r="G650" s="4">
        <f t="shared" si="44"/>
        <v>1.0669529205062929E-4</v>
      </c>
      <c r="H650" s="4">
        <f t="shared" si="43"/>
        <v>4761</v>
      </c>
      <c r="I650" s="5">
        <f>SQRT(SUM('r-pi-multi'!$D$3:D650)/COUNTIF($A$3:A650,"&lt;&gt;0"))</f>
        <v>77.997170730580407</v>
      </c>
    </row>
    <row r="651" spans="1:9">
      <c r="A651">
        <v>649</v>
      </c>
      <c r="B651">
        <v>9</v>
      </c>
      <c r="C651">
        <v>6680</v>
      </c>
      <c r="D651">
        <v>6762</v>
      </c>
      <c r="E651" s="4">
        <f t="shared" si="41"/>
        <v>1</v>
      </c>
      <c r="F651" s="4">
        <f t="shared" si="42"/>
        <v>82</v>
      </c>
      <c r="G651" s="4">
        <f t="shared" si="44"/>
        <v>1.5068665065079423E-4</v>
      </c>
      <c r="H651" s="4">
        <f t="shared" si="43"/>
        <v>6724</v>
      </c>
      <c r="I651" s="5">
        <f>SQRT(SUM('r-pi-multi'!$D$3:D651)/COUNTIF($A$3:A651,"&lt;&gt;0"))</f>
        <v>78.003871738288282</v>
      </c>
    </row>
    <row r="652" spans="1:9">
      <c r="A652">
        <v>650</v>
      </c>
      <c r="B652">
        <v>9</v>
      </c>
      <c r="C652">
        <v>6680</v>
      </c>
      <c r="D652">
        <v>6628</v>
      </c>
      <c r="E652" s="4">
        <f t="shared" si="41"/>
        <v>1</v>
      </c>
      <c r="F652" s="4">
        <f t="shared" si="42"/>
        <v>52</v>
      </c>
      <c r="G652" s="4">
        <f t="shared" si="44"/>
        <v>6.0597368137975551E-5</v>
      </c>
      <c r="H652" s="4">
        <f t="shared" si="43"/>
        <v>2704</v>
      </c>
      <c r="I652" s="5">
        <f>SQRT(SUM('r-pi-multi'!$D$3:D652)/COUNTIF($A$3:A652,"&lt;&gt;0"))</f>
        <v>78.00923022309604</v>
      </c>
    </row>
    <row r="653" spans="1:9">
      <c r="A653">
        <v>651</v>
      </c>
      <c r="B653">
        <v>9</v>
      </c>
      <c r="C653">
        <v>6680</v>
      </c>
      <c r="D653">
        <v>6672</v>
      </c>
      <c r="E653" s="4">
        <f t="shared" si="41"/>
        <v>1</v>
      </c>
      <c r="F653" s="4">
        <f t="shared" si="42"/>
        <v>8</v>
      </c>
      <c r="G653" s="4">
        <f t="shared" si="44"/>
        <v>1.4342572340349241E-6</v>
      </c>
      <c r="H653" s="4">
        <f t="shared" si="43"/>
        <v>64</v>
      </c>
      <c r="I653" s="5">
        <f>SQRT(SUM('r-pi-multi'!$D$3:D653)/COUNTIF($A$3:A653,"&lt;&gt;0"))</f>
        <v>78.015005055597385</v>
      </c>
    </row>
    <row r="654" spans="1:9">
      <c r="A654">
        <v>652</v>
      </c>
      <c r="B654">
        <v>9</v>
      </c>
      <c r="C654">
        <v>6680</v>
      </c>
      <c r="D654">
        <v>6786</v>
      </c>
      <c r="E654" s="4">
        <f t="shared" si="41"/>
        <v>1</v>
      </c>
      <c r="F654" s="4">
        <f t="shared" si="42"/>
        <v>106</v>
      </c>
      <c r="G654" s="4">
        <f t="shared" si="44"/>
        <v>2.5180178565025634E-4</v>
      </c>
      <c r="H654" s="4">
        <f t="shared" si="43"/>
        <v>11236</v>
      </c>
      <c r="I654" s="5">
        <f>SQRT(SUM('r-pi-multi'!$D$3:D654)/COUNTIF($A$3:A654,"&lt;&gt;0"))</f>
        <v>78.021882253823179</v>
      </c>
    </row>
    <row r="655" spans="1:9">
      <c r="A655">
        <v>653</v>
      </c>
      <c r="B655">
        <v>9</v>
      </c>
      <c r="C655">
        <v>6680</v>
      </c>
      <c r="D655">
        <v>6484</v>
      </c>
      <c r="E655" s="4">
        <f t="shared" si="41"/>
        <v>1</v>
      </c>
      <c r="F655" s="4">
        <f t="shared" si="42"/>
        <v>196</v>
      </c>
      <c r="G655" s="4">
        <f t="shared" si="44"/>
        <v>8.6091290472946336E-4</v>
      </c>
      <c r="H655" s="4">
        <f t="shared" si="43"/>
        <v>38416</v>
      </c>
      <c r="I655" s="5">
        <f>SQRT(SUM('r-pi-multi'!$D$3:D655)/COUNTIF($A$3:A655,"&lt;&gt;0"))</f>
        <v>78.025774200003639</v>
      </c>
    </row>
    <row r="656" spans="1:9">
      <c r="A656">
        <v>654</v>
      </c>
      <c r="B656">
        <v>10</v>
      </c>
      <c r="C656">
        <v>6680</v>
      </c>
      <c r="D656">
        <v>7068</v>
      </c>
      <c r="E656" s="4">
        <f t="shared" si="41"/>
        <v>1</v>
      </c>
      <c r="F656" s="4">
        <f t="shared" si="42"/>
        <v>388</v>
      </c>
      <c r="G656" s="4">
        <f t="shared" si="44"/>
        <v>3.3737315787586504E-3</v>
      </c>
      <c r="H656" s="4">
        <f t="shared" si="43"/>
        <v>150544</v>
      </c>
      <c r="I656" s="5">
        <f>SQRT(SUM('r-pi-multi'!$D$3:D656)/COUNTIF($A$3:A656,"&lt;&gt;0"))</f>
        <v>78.035375809153635</v>
      </c>
    </row>
    <row r="657" spans="1:9">
      <c r="A657">
        <v>655</v>
      </c>
      <c r="B657">
        <v>9</v>
      </c>
      <c r="C657">
        <v>6680</v>
      </c>
      <c r="D657">
        <v>6558</v>
      </c>
      <c r="E657" s="4">
        <f t="shared" si="41"/>
        <v>1</v>
      </c>
      <c r="F657" s="4">
        <f t="shared" si="42"/>
        <v>122</v>
      </c>
      <c r="G657" s="4">
        <f t="shared" si="44"/>
        <v>3.3355444799024707E-4</v>
      </c>
      <c r="H657" s="4">
        <f t="shared" si="43"/>
        <v>14884</v>
      </c>
      <c r="I657" s="5">
        <f>SQRT(SUM('r-pi-multi'!$D$3:D657)/COUNTIF($A$3:A657,"&lt;&gt;0"))</f>
        <v>78.039958447604363</v>
      </c>
    </row>
    <row r="658" spans="1:9">
      <c r="A658">
        <v>656</v>
      </c>
      <c r="B658">
        <v>9</v>
      </c>
      <c r="C658">
        <v>6680</v>
      </c>
      <c r="D658">
        <v>6506</v>
      </c>
      <c r="E658" s="4">
        <f t="shared" si="41"/>
        <v>1</v>
      </c>
      <c r="F658" s="4">
        <f t="shared" si="42"/>
        <v>174</v>
      </c>
      <c r="G658" s="4">
        <f t="shared" si="44"/>
        <v>6.7849331277564638E-4</v>
      </c>
      <c r="H658" s="4">
        <f t="shared" si="43"/>
        <v>30276</v>
      </c>
      <c r="I658" s="5">
        <f>SQRT(SUM('r-pi-multi'!$D$3:D658)/COUNTIF($A$3:A658,"&lt;&gt;0"))</f>
        <v>78.044019004911732</v>
      </c>
    </row>
    <row r="659" spans="1:9">
      <c r="A659">
        <v>657</v>
      </c>
      <c r="B659">
        <v>10</v>
      </c>
      <c r="C659">
        <v>6680</v>
      </c>
      <c r="D659">
        <v>7147</v>
      </c>
      <c r="E659" s="4">
        <f t="shared" si="41"/>
        <v>1</v>
      </c>
      <c r="F659" s="4">
        <f t="shared" si="42"/>
        <v>467</v>
      </c>
      <c r="G659" s="4">
        <f t="shared" si="44"/>
        <v>4.8874332173975401E-3</v>
      </c>
      <c r="H659" s="4">
        <f t="shared" si="43"/>
        <v>218089</v>
      </c>
      <c r="I659" s="5">
        <f>SQRT(SUM('r-pi-multi'!$D$3:D659)/COUNTIF($A$3:A659,"&lt;&gt;0"))</f>
        <v>78.054317035733291</v>
      </c>
    </row>
    <row r="660" spans="1:9">
      <c r="A660">
        <v>658</v>
      </c>
      <c r="B660">
        <v>9</v>
      </c>
      <c r="C660">
        <v>6680</v>
      </c>
      <c r="D660">
        <v>6651</v>
      </c>
      <c r="E660" s="4">
        <f t="shared" si="41"/>
        <v>1</v>
      </c>
      <c r="F660" s="4">
        <f t="shared" si="42"/>
        <v>29</v>
      </c>
      <c r="G660" s="4">
        <f t="shared" si="44"/>
        <v>1.8847036465990178E-5</v>
      </c>
      <c r="H660" s="4">
        <f t="shared" si="43"/>
        <v>841</v>
      </c>
      <c r="I660" s="5">
        <f>SQRT(SUM('r-pi-multi'!$D$3:D660)/COUNTIF($A$3:A660,"&lt;&gt;0"))</f>
        <v>78.059754214086055</v>
      </c>
    </row>
    <row r="661" spans="1:9">
      <c r="A661">
        <v>659</v>
      </c>
      <c r="B661">
        <v>9</v>
      </c>
      <c r="C661">
        <v>6680</v>
      </c>
      <c r="D661">
        <v>6777</v>
      </c>
      <c r="E661" s="4">
        <f t="shared" si="41"/>
        <v>1</v>
      </c>
      <c r="F661" s="4">
        <f t="shared" si="42"/>
        <v>97</v>
      </c>
      <c r="G661" s="4">
        <f t="shared" si="44"/>
        <v>2.1085822367241565E-4</v>
      </c>
      <c r="H661" s="4">
        <f t="shared" si="43"/>
        <v>9409</v>
      </c>
      <c r="I661" s="5">
        <f>SQRT(SUM('r-pi-multi'!$D$3:D661)/COUNTIF($A$3:A661,"&lt;&gt;0"))</f>
        <v>78.066399114556333</v>
      </c>
    </row>
    <row r="662" spans="1:9">
      <c r="A662">
        <v>660</v>
      </c>
      <c r="B662">
        <v>9</v>
      </c>
      <c r="C662">
        <v>6680</v>
      </c>
      <c r="D662">
        <v>6691</v>
      </c>
      <c r="E662" s="4">
        <f t="shared" si="41"/>
        <v>1</v>
      </c>
      <c r="F662" s="4">
        <f t="shared" si="42"/>
        <v>11</v>
      </c>
      <c r="G662" s="4">
        <f t="shared" si="44"/>
        <v>2.7116425830972783E-6</v>
      </c>
      <c r="H662" s="4">
        <f t="shared" si="43"/>
        <v>121</v>
      </c>
      <c r="I662" s="5">
        <f>SQRT(SUM('r-pi-multi'!$D$3:D662)/COUNTIF($A$3:A662,"&lt;&gt;0"))</f>
        <v>78.072188816931899</v>
      </c>
    </row>
    <row r="663" spans="1:9">
      <c r="A663">
        <v>661</v>
      </c>
      <c r="B663">
        <v>9</v>
      </c>
      <c r="C663">
        <v>6680</v>
      </c>
      <c r="D663">
        <v>6726</v>
      </c>
      <c r="E663" s="4">
        <f t="shared" si="41"/>
        <v>1</v>
      </c>
      <c r="F663" s="4">
        <f t="shared" si="42"/>
        <v>46</v>
      </c>
      <c r="G663" s="4">
        <f t="shared" si="44"/>
        <v>4.7420129800279679E-5</v>
      </c>
      <c r="H663" s="4">
        <f t="shared" si="43"/>
        <v>2116</v>
      </c>
      <c r="I663" s="5">
        <f>SQRT(SUM('r-pi-multi'!$D$3:D663)/COUNTIF($A$3:A663,"&lt;&gt;0"))</f>
        <v>78.078299657833199</v>
      </c>
    </row>
    <row r="664" spans="1:9">
      <c r="A664">
        <v>662</v>
      </c>
      <c r="B664">
        <v>9</v>
      </c>
      <c r="C664">
        <v>6680</v>
      </c>
      <c r="D664">
        <v>6665</v>
      </c>
      <c r="E664" s="4">
        <f t="shared" si="41"/>
        <v>1</v>
      </c>
      <c r="F664" s="4">
        <f t="shared" si="42"/>
        <v>15</v>
      </c>
      <c r="G664" s="4">
        <f t="shared" si="44"/>
        <v>5.0423105884040295E-6</v>
      </c>
      <c r="H664" s="4">
        <f t="shared" si="43"/>
        <v>225</v>
      </c>
      <c r="I664" s="5">
        <f>SQRT(SUM('r-pi-multi'!$D$3:D664)/COUNTIF($A$3:A664,"&lt;&gt;0"))</f>
        <v>78.083801523894579</v>
      </c>
    </row>
    <row r="665" spans="1:9">
      <c r="A665">
        <v>663</v>
      </c>
      <c r="B665">
        <v>9</v>
      </c>
      <c r="C665">
        <v>6680</v>
      </c>
      <c r="D665">
        <v>6761</v>
      </c>
      <c r="E665" s="4">
        <f t="shared" si="41"/>
        <v>1</v>
      </c>
      <c r="F665" s="4">
        <f t="shared" si="42"/>
        <v>81</v>
      </c>
      <c r="G665" s="4">
        <f t="shared" si="44"/>
        <v>1.4703377675786151E-4</v>
      </c>
      <c r="H665" s="4">
        <f t="shared" si="43"/>
        <v>6561</v>
      </c>
      <c r="I665" s="5">
        <f>SQRT(SUM('r-pi-multi'!$D$3:D665)/COUNTIF($A$3:A665,"&lt;&gt;0"))</f>
        <v>78.090213522334551</v>
      </c>
    </row>
    <row r="666" spans="1:9">
      <c r="A666">
        <v>664</v>
      </c>
      <c r="B666">
        <v>9</v>
      </c>
      <c r="C666">
        <v>6680</v>
      </c>
      <c r="D666">
        <v>6733</v>
      </c>
      <c r="E666" s="4">
        <f t="shared" si="41"/>
        <v>1</v>
      </c>
      <c r="F666" s="4">
        <f t="shared" si="42"/>
        <v>53</v>
      </c>
      <c r="G666" s="4">
        <f t="shared" si="44"/>
        <v>6.2950446412564086E-5</v>
      </c>
      <c r="H666" s="4">
        <f t="shared" si="43"/>
        <v>2809</v>
      </c>
      <c r="I666" s="5">
        <f>SQRT(SUM('r-pi-multi'!$D$3:D666)/COUNTIF($A$3:A666,"&lt;&gt;0"))</f>
        <v>78.096335705347983</v>
      </c>
    </row>
    <row r="667" spans="1:9">
      <c r="A667">
        <v>665</v>
      </c>
      <c r="B667">
        <v>9</v>
      </c>
      <c r="C667">
        <v>6680</v>
      </c>
      <c r="D667">
        <v>6492</v>
      </c>
      <c r="E667" s="4">
        <f t="shared" si="41"/>
        <v>1</v>
      </c>
      <c r="F667" s="4">
        <f t="shared" si="42"/>
        <v>188</v>
      </c>
      <c r="G667" s="4">
        <f t="shared" si="44"/>
        <v>7.9206855749578689E-4</v>
      </c>
      <c r="H667" s="4">
        <f t="shared" si="43"/>
        <v>35344</v>
      </c>
      <c r="I667" s="5">
        <f>SQRT(SUM('r-pi-multi'!$D$3:D667)/COUNTIF($A$3:A667,"&lt;&gt;0"))</f>
        <v>78.100118895098817</v>
      </c>
    </row>
    <row r="668" spans="1:9">
      <c r="A668">
        <v>666</v>
      </c>
      <c r="B668">
        <v>9</v>
      </c>
      <c r="C668">
        <v>6680</v>
      </c>
      <c r="D668">
        <v>6922</v>
      </c>
      <c r="E668" s="4">
        <f t="shared" si="41"/>
        <v>1</v>
      </c>
      <c r="F668" s="4">
        <f t="shared" si="42"/>
        <v>242</v>
      </c>
      <c r="G668" s="4">
        <f t="shared" si="44"/>
        <v>1.3124350102190828E-3</v>
      </c>
      <c r="H668" s="4">
        <f t="shared" si="43"/>
        <v>58564</v>
      </c>
      <c r="I668" s="5">
        <f>SQRT(SUM('r-pi-multi'!$D$3:D668)/COUNTIF($A$3:A668,"&lt;&gt;0"))</f>
        <v>78.10802368107494</v>
      </c>
    </row>
    <row r="669" spans="1:9">
      <c r="A669">
        <v>667</v>
      </c>
      <c r="B669">
        <v>9</v>
      </c>
      <c r="C669">
        <v>6680</v>
      </c>
      <c r="D669">
        <v>6739</v>
      </c>
      <c r="E669" s="4">
        <f t="shared" si="41"/>
        <v>1</v>
      </c>
      <c r="F669" s="4">
        <f t="shared" si="42"/>
        <v>59</v>
      </c>
      <c r="G669" s="4">
        <f t="shared" si="44"/>
        <v>7.8010147369930786E-5</v>
      </c>
      <c r="H669" s="4">
        <f t="shared" si="43"/>
        <v>3481</v>
      </c>
      <c r="I669" s="5">
        <f>SQRT(SUM('r-pi-multi'!$D$3:D669)/COUNTIF($A$3:A669,"&lt;&gt;0"))</f>
        <v>78.11414782198564</v>
      </c>
    </row>
    <row r="670" spans="1:9">
      <c r="A670">
        <v>668</v>
      </c>
      <c r="B670">
        <v>9</v>
      </c>
      <c r="C670">
        <v>6680</v>
      </c>
      <c r="D670">
        <v>6608</v>
      </c>
      <c r="E670" s="4">
        <f t="shared" si="41"/>
        <v>1</v>
      </c>
      <c r="F670" s="4">
        <f t="shared" si="42"/>
        <v>72</v>
      </c>
      <c r="G670" s="4">
        <f t="shared" si="44"/>
        <v>1.1617483595682887E-4</v>
      </c>
      <c r="H670" s="4">
        <f t="shared" si="43"/>
        <v>5184</v>
      </c>
      <c r="I670" s="5">
        <f>SQRT(SUM('r-pi-multi'!$D$3:D670)/COUNTIF($A$3:A670,"&lt;&gt;0"))</f>
        <v>78.118997973037111</v>
      </c>
    </row>
    <row r="671" spans="1:9">
      <c r="A671">
        <v>669</v>
      </c>
      <c r="B671">
        <v>9</v>
      </c>
      <c r="C671">
        <v>6680</v>
      </c>
      <c r="D671">
        <v>6659</v>
      </c>
      <c r="E671" s="4">
        <f t="shared" si="41"/>
        <v>1</v>
      </c>
      <c r="F671" s="4">
        <f t="shared" si="42"/>
        <v>21</v>
      </c>
      <c r="G671" s="4">
        <f t="shared" si="44"/>
        <v>9.8829287532718987E-6</v>
      </c>
      <c r="H671" s="4">
        <f t="shared" si="43"/>
        <v>441</v>
      </c>
      <c r="I671" s="5">
        <f>SQRT(SUM('r-pi-multi'!$D$3:D671)/COUNTIF($A$3:A671,"&lt;&gt;0"))</f>
        <v>78.124321222761282</v>
      </c>
    </row>
    <row r="672" spans="1:9">
      <c r="A672">
        <v>670</v>
      </c>
      <c r="B672">
        <v>9</v>
      </c>
      <c r="C672">
        <v>6680</v>
      </c>
      <c r="D672">
        <v>6741</v>
      </c>
      <c r="E672" s="4">
        <f t="shared" si="41"/>
        <v>1</v>
      </c>
      <c r="F672" s="4">
        <f t="shared" si="42"/>
        <v>61</v>
      </c>
      <c r="G672" s="4">
        <f t="shared" si="44"/>
        <v>8.3388611997561768E-5</v>
      </c>
      <c r="H672" s="4">
        <f t="shared" si="43"/>
        <v>3721</v>
      </c>
      <c r="I672" s="5">
        <f>SQRT(SUM('r-pi-multi'!$D$3:D672)/COUNTIF($A$3:A672,"&lt;&gt;0"))</f>
        <v>78.130411454374482</v>
      </c>
    </row>
    <row r="673" spans="1:9">
      <c r="A673">
        <v>671</v>
      </c>
      <c r="B673">
        <v>9</v>
      </c>
      <c r="C673">
        <v>6680</v>
      </c>
      <c r="D673">
        <v>6682</v>
      </c>
      <c r="E673" s="4">
        <f t="shared" si="41"/>
        <v>1</v>
      </c>
      <c r="F673" s="4">
        <f t="shared" si="42"/>
        <v>2</v>
      </c>
      <c r="G673" s="4">
        <f t="shared" si="44"/>
        <v>8.9641077127182755E-8</v>
      </c>
      <c r="H673" s="4">
        <f t="shared" si="43"/>
        <v>4</v>
      </c>
      <c r="I673" s="5">
        <f>SQRT(SUM('r-pi-multi'!$D$3:D673)/COUNTIF($A$3:A673,"&lt;&gt;0"))</f>
        <v>78.135920399211358</v>
      </c>
    </row>
    <row r="674" spans="1:9">
      <c r="A674">
        <v>672</v>
      </c>
      <c r="B674">
        <v>9</v>
      </c>
      <c r="C674">
        <v>6680</v>
      </c>
      <c r="D674">
        <v>6657</v>
      </c>
      <c r="E674" s="4">
        <f t="shared" si="41"/>
        <v>1</v>
      </c>
      <c r="F674" s="4">
        <f t="shared" si="42"/>
        <v>23</v>
      </c>
      <c r="G674" s="4">
        <f t="shared" si="44"/>
        <v>1.185503245006992E-5</v>
      </c>
      <c r="H674" s="4">
        <f t="shared" si="43"/>
        <v>529</v>
      </c>
      <c r="I674" s="5">
        <f>SQRT(SUM('r-pi-multi'!$D$3:D674)/COUNTIF($A$3:A674,"&lt;&gt;0"))</f>
        <v>78.141174516140367</v>
      </c>
    </row>
    <row r="675" spans="1:9">
      <c r="A675">
        <v>673</v>
      </c>
      <c r="B675">
        <v>9</v>
      </c>
      <c r="C675">
        <v>6680</v>
      </c>
      <c r="D675">
        <v>5983</v>
      </c>
      <c r="E675" s="4">
        <f t="shared" si="41"/>
        <v>1</v>
      </c>
      <c r="F675" s="4">
        <f t="shared" si="42"/>
        <v>697</v>
      </c>
      <c r="G675" s="4">
        <f t="shared" si="44"/>
        <v>1.0887110509519881E-2</v>
      </c>
      <c r="H675" s="4">
        <f t="shared" si="43"/>
        <v>485809</v>
      </c>
      <c r="I675" s="5">
        <f>SQRT(SUM('r-pi-multi'!$D$3:D675)/COUNTIF($A$3:A675,"&lt;&gt;0"))</f>
        <v>78.140004651231635</v>
      </c>
    </row>
    <row r="676" spans="1:9">
      <c r="A676">
        <v>674</v>
      </c>
      <c r="B676">
        <v>10</v>
      </c>
      <c r="C676">
        <v>6680</v>
      </c>
      <c r="D676">
        <v>7013</v>
      </c>
      <c r="E676" s="4">
        <f t="shared" si="41"/>
        <v>1</v>
      </c>
      <c r="F676" s="4">
        <f t="shared" si="42"/>
        <v>333</v>
      </c>
      <c r="G676" s="4">
        <f t="shared" si="44"/>
        <v>2.4850523503890422E-3</v>
      </c>
      <c r="H676" s="4">
        <f t="shared" si="43"/>
        <v>110889</v>
      </c>
      <c r="I676" s="5">
        <f>SQRT(SUM('r-pi-multi'!$D$3:D676)/COUNTIF($A$3:A676,"&lt;&gt;0"))</f>
        <v>78.148616311832455</v>
      </c>
    </row>
    <row r="677" spans="1:9">
      <c r="A677">
        <v>675</v>
      </c>
      <c r="B677">
        <v>9</v>
      </c>
      <c r="C677">
        <v>6680</v>
      </c>
      <c r="D677">
        <v>6749</v>
      </c>
      <c r="E677" s="4">
        <f t="shared" si="41"/>
        <v>1</v>
      </c>
      <c r="F677" s="4">
        <f t="shared" si="42"/>
        <v>69</v>
      </c>
      <c r="G677" s="4">
        <f t="shared" si="44"/>
        <v>1.0669529205062929E-4</v>
      </c>
      <c r="H677" s="4">
        <f t="shared" si="43"/>
        <v>4761</v>
      </c>
      <c r="I677" s="5">
        <f>SQRT(SUM('r-pi-multi'!$D$3:D677)/COUNTIF($A$3:A677,"&lt;&gt;0"))</f>
        <v>78.154699391892208</v>
      </c>
    </row>
    <row r="678" spans="1:9">
      <c r="A678">
        <v>676</v>
      </c>
      <c r="B678">
        <v>9</v>
      </c>
      <c r="C678">
        <v>6680</v>
      </c>
      <c r="D678">
        <v>6717</v>
      </c>
      <c r="E678" s="4">
        <f t="shared" si="41"/>
        <v>1</v>
      </c>
      <c r="F678" s="4">
        <f t="shared" si="42"/>
        <v>37</v>
      </c>
      <c r="G678" s="4">
        <f t="shared" si="44"/>
        <v>3.0679658646778294E-5</v>
      </c>
      <c r="H678" s="4">
        <f t="shared" si="43"/>
        <v>1369</v>
      </c>
      <c r="I678" s="5">
        <f>SQRT(SUM('r-pi-multi'!$D$3:D678)/COUNTIF($A$3:A678,"&lt;&gt;0"))</f>
        <v>78.16046118279813</v>
      </c>
    </row>
    <row r="679" spans="1:9">
      <c r="A679">
        <v>677</v>
      </c>
      <c r="B679">
        <v>9</v>
      </c>
      <c r="C679">
        <v>6680</v>
      </c>
      <c r="D679">
        <v>6626</v>
      </c>
      <c r="E679" s="4">
        <f t="shared" si="41"/>
        <v>1</v>
      </c>
      <c r="F679" s="4">
        <f t="shared" si="42"/>
        <v>54</v>
      </c>
      <c r="G679" s="4">
        <f t="shared" si="44"/>
        <v>6.5348345225716231E-5</v>
      </c>
      <c r="H679" s="4">
        <f t="shared" si="43"/>
        <v>2916</v>
      </c>
      <c r="I679" s="5">
        <f>SQRT(SUM('r-pi-multi'!$D$3:D679)/COUNTIF($A$3:A679,"&lt;&gt;0"))</f>
        <v>78.165345712215668</v>
      </c>
    </row>
    <row r="680" spans="1:9">
      <c r="A680">
        <v>678</v>
      </c>
      <c r="B680">
        <v>9</v>
      </c>
      <c r="C680">
        <v>6680</v>
      </c>
      <c r="D680">
        <v>6695</v>
      </c>
      <c r="E680" s="4">
        <f t="shared" si="41"/>
        <v>1</v>
      </c>
      <c r="F680" s="4">
        <f t="shared" si="42"/>
        <v>15</v>
      </c>
      <c r="G680" s="4">
        <f t="shared" si="44"/>
        <v>5.0423105884040295E-6</v>
      </c>
      <c r="H680" s="4">
        <f t="shared" si="43"/>
        <v>225</v>
      </c>
      <c r="I680" s="5">
        <f>SQRT(SUM('r-pi-multi'!$D$3:D680)/COUNTIF($A$3:A680,"&lt;&gt;0"))</f>
        <v>78.170866477107126</v>
      </c>
    </row>
    <row r="681" spans="1:9">
      <c r="A681">
        <v>679</v>
      </c>
      <c r="B681">
        <v>9</v>
      </c>
      <c r="C681">
        <v>6680</v>
      </c>
      <c r="D681">
        <v>6748</v>
      </c>
      <c r="E681" s="4">
        <f t="shared" si="41"/>
        <v>1</v>
      </c>
      <c r="F681" s="4">
        <f t="shared" si="42"/>
        <v>68</v>
      </c>
      <c r="G681" s="4">
        <f t="shared" si="44"/>
        <v>1.0362508515902328E-4</v>
      </c>
      <c r="H681" s="4">
        <f t="shared" si="43"/>
        <v>4624</v>
      </c>
      <c r="I681" s="5">
        <f>SQRT(SUM('r-pi-multi'!$D$3:D681)/COUNTIF($A$3:A681,"&lt;&gt;0"))</f>
        <v>78.176869820703246</v>
      </c>
    </row>
    <row r="682" spans="1:9">
      <c r="A682">
        <v>680</v>
      </c>
      <c r="B682">
        <v>9</v>
      </c>
      <c r="C682">
        <v>6680</v>
      </c>
      <c r="D682">
        <v>6725</v>
      </c>
      <c r="E682" s="4">
        <f t="shared" si="41"/>
        <v>1</v>
      </c>
      <c r="F682" s="4">
        <f t="shared" si="42"/>
        <v>45</v>
      </c>
      <c r="G682" s="4">
        <f t="shared" si="44"/>
        <v>4.5380795295636275E-5</v>
      </c>
      <c r="H682" s="4">
        <f t="shared" si="43"/>
        <v>2025</v>
      </c>
      <c r="I682" s="5">
        <f>SQRT(SUM('r-pi-multi'!$D$3:D682)/COUNTIF($A$3:A682,"&lt;&gt;0"))</f>
        <v>78.182638737765814</v>
      </c>
    </row>
    <row r="683" spans="1:9">
      <c r="A683">
        <v>681</v>
      </c>
      <c r="B683">
        <v>9</v>
      </c>
      <c r="C683">
        <v>6680</v>
      </c>
      <c r="D683">
        <v>6805</v>
      </c>
      <c r="E683" s="4">
        <f t="shared" si="41"/>
        <v>1</v>
      </c>
      <c r="F683" s="4">
        <f t="shared" si="42"/>
        <v>125</v>
      </c>
      <c r="G683" s="4">
        <f t="shared" si="44"/>
        <v>3.5016045752805762E-4</v>
      </c>
      <c r="H683" s="4">
        <f t="shared" si="43"/>
        <v>15625</v>
      </c>
      <c r="I683" s="5">
        <f>SQRT(SUM('r-pi-multi'!$D$3:D683)/COUNTIF($A$3:A683,"&lt;&gt;0"))</f>
        <v>78.18914151095575</v>
      </c>
    </row>
    <row r="684" spans="1:9">
      <c r="A684">
        <v>682</v>
      </c>
      <c r="B684">
        <v>9</v>
      </c>
      <c r="C684">
        <v>6680</v>
      </c>
      <c r="D684">
        <v>6734</v>
      </c>
      <c r="E684" s="4">
        <f t="shared" si="41"/>
        <v>1</v>
      </c>
      <c r="F684" s="4">
        <f t="shared" si="42"/>
        <v>54</v>
      </c>
      <c r="G684" s="4">
        <f t="shared" si="44"/>
        <v>6.5348345225716231E-5</v>
      </c>
      <c r="H684" s="4">
        <f t="shared" si="43"/>
        <v>2916</v>
      </c>
      <c r="I684" s="5">
        <f>SQRT(SUM('r-pi-multi'!$D$3:D684)/COUNTIF($A$3:A684,"&lt;&gt;0"))</f>
        <v>78.194958999306508</v>
      </c>
    </row>
    <row r="685" spans="1:9">
      <c r="A685">
        <v>683</v>
      </c>
      <c r="B685">
        <v>9</v>
      </c>
      <c r="C685">
        <v>6680</v>
      </c>
      <c r="D685">
        <v>6649</v>
      </c>
      <c r="E685" s="4">
        <f t="shared" si="41"/>
        <v>1</v>
      </c>
      <c r="F685" s="4">
        <f t="shared" si="42"/>
        <v>31</v>
      </c>
      <c r="G685" s="4">
        <f t="shared" si="44"/>
        <v>2.1536268779805662E-5</v>
      </c>
      <c r="H685" s="4">
        <f t="shared" si="43"/>
        <v>961</v>
      </c>
      <c r="I685" s="5">
        <f>SQRT(SUM('r-pi-multi'!$D$3:D685)/COUNTIF($A$3:A685,"&lt;&gt;0"))</f>
        <v>78.199963303155926</v>
      </c>
    </row>
    <row r="686" spans="1:9">
      <c r="A686">
        <v>684</v>
      </c>
      <c r="B686">
        <v>9</v>
      </c>
      <c r="C686">
        <v>6680</v>
      </c>
      <c r="D686">
        <v>6723</v>
      </c>
      <c r="E686" s="4">
        <f t="shared" si="41"/>
        <v>1</v>
      </c>
      <c r="F686" s="4">
        <f t="shared" si="42"/>
        <v>43</v>
      </c>
      <c r="G686" s="4">
        <f t="shared" si="44"/>
        <v>4.1436587902040229E-5</v>
      </c>
      <c r="H686" s="4">
        <f t="shared" si="43"/>
        <v>1849</v>
      </c>
      <c r="I686" s="5">
        <f>SQRT(SUM('r-pi-multi'!$D$3:D686)/COUNTIF($A$3:A686,"&lt;&gt;0"))</f>
        <v>78.20564434244848</v>
      </c>
    </row>
    <row r="687" spans="1:9">
      <c r="A687">
        <v>685</v>
      </c>
      <c r="B687">
        <v>9</v>
      </c>
      <c r="C687">
        <v>6680</v>
      </c>
      <c r="D687">
        <v>6178</v>
      </c>
      <c r="E687" s="4">
        <f t="shared" si="41"/>
        <v>1</v>
      </c>
      <c r="F687" s="4">
        <f t="shared" si="42"/>
        <v>502</v>
      </c>
      <c r="G687" s="4">
        <f t="shared" si="44"/>
        <v>5.6474775000896413E-3</v>
      </c>
      <c r="H687" s="4">
        <f t="shared" si="43"/>
        <v>252004</v>
      </c>
      <c r="I687" s="5">
        <f>SQRT(SUM('r-pi-multi'!$D$3:D687)/COUNTIF($A$3:A687,"&lt;&gt;0"))</f>
        <v>78.206221866844658</v>
      </c>
    </row>
    <row r="688" spans="1:9">
      <c r="A688">
        <v>686</v>
      </c>
      <c r="B688">
        <v>10</v>
      </c>
      <c r="C688">
        <v>6680</v>
      </c>
      <c r="D688">
        <v>7072</v>
      </c>
      <c r="E688" s="4">
        <f t="shared" si="41"/>
        <v>1</v>
      </c>
      <c r="F688" s="4">
        <f t="shared" si="42"/>
        <v>392</v>
      </c>
      <c r="G688" s="4">
        <f t="shared" si="44"/>
        <v>3.4436516189178534E-3</v>
      </c>
      <c r="H688" s="4">
        <f t="shared" si="43"/>
        <v>153664</v>
      </c>
      <c r="I688" s="5">
        <f>SQRT(SUM('r-pi-multi'!$D$3:D688)/COUNTIF($A$3:A688,"&lt;&gt;0"))</f>
        <v>78.215129060778068</v>
      </c>
    </row>
    <row r="689" spans="1:9">
      <c r="A689">
        <v>687</v>
      </c>
      <c r="B689">
        <v>9</v>
      </c>
      <c r="C689">
        <v>6680</v>
      </c>
      <c r="D689">
        <v>6556</v>
      </c>
      <c r="E689" s="4">
        <f t="shared" si="41"/>
        <v>1</v>
      </c>
      <c r="F689" s="4">
        <f t="shared" si="42"/>
        <v>124</v>
      </c>
      <c r="G689" s="4">
        <f t="shared" si="44"/>
        <v>3.4458030047689059E-4</v>
      </c>
      <c r="H689" s="4">
        <f t="shared" si="43"/>
        <v>15376</v>
      </c>
      <c r="I689" s="5">
        <f>SQRT(SUM('r-pi-multi'!$D$3:D689)/COUNTIF($A$3:A689,"&lt;&gt;0"))</f>
        <v>78.219208264241061</v>
      </c>
    </row>
    <row r="690" spans="1:9">
      <c r="A690">
        <v>688</v>
      </c>
      <c r="B690">
        <v>9</v>
      </c>
      <c r="C690">
        <v>6680</v>
      </c>
      <c r="D690">
        <v>6545</v>
      </c>
      <c r="E690" s="4">
        <f t="shared" si="41"/>
        <v>1</v>
      </c>
      <c r="F690" s="4">
        <f t="shared" si="42"/>
        <v>135</v>
      </c>
      <c r="G690" s="4">
        <f t="shared" si="44"/>
        <v>4.0842715766072643E-4</v>
      </c>
      <c r="H690" s="4">
        <f t="shared" si="43"/>
        <v>18225</v>
      </c>
      <c r="I690" s="5">
        <f>SQRT(SUM('r-pi-multi'!$D$3:D690)/COUNTIF($A$3:A690,"&lt;&gt;0"))</f>
        <v>78.223173200666025</v>
      </c>
    </row>
    <row r="691" spans="1:9">
      <c r="A691">
        <v>689</v>
      </c>
      <c r="B691">
        <v>9</v>
      </c>
      <c r="C691">
        <v>6680</v>
      </c>
      <c r="D691">
        <v>6600</v>
      </c>
      <c r="E691" s="4">
        <f t="shared" si="41"/>
        <v>1</v>
      </c>
      <c r="F691" s="4">
        <f t="shared" si="42"/>
        <v>80</v>
      </c>
      <c r="G691" s="4">
        <f t="shared" si="44"/>
        <v>1.4342572340349244E-4</v>
      </c>
      <c r="H691" s="4">
        <f t="shared" si="43"/>
        <v>6400</v>
      </c>
      <c r="I691" s="5">
        <f>SQRT(SUM('r-pi-multi'!$D$3:D691)/COUNTIF($A$3:A691,"&lt;&gt;0"))</f>
        <v>78.22763664446363</v>
      </c>
    </row>
    <row r="692" spans="1:9">
      <c r="A692">
        <v>690</v>
      </c>
      <c r="B692">
        <v>9</v>
      </c>
      <c r="C692">
        <v>6680</v>
      </c>
      <c r="D692">
        <v>6727</v>
      </c>
      <c r="E692" s="4">
        <f t="shared" si="41"/>
        <v>1</v>
      </c>
      <c r="F692" s="4">
        <f t="shared" si="42"/>
        <v>47</v>
      </c>
      <c r="G692" s="4">
        <f t="shared" si="44"/>
        <v>4.950428484348668E-5</v>
      </c>
      <c r="H692" s="4">
        <f t="shared" si="43"/>
        <v>2209</v>
      </c>
      <c r="I692" s="5">
        <f>SQRT(SUM('r-pi-multi'!$D$3:D692)/COUNTIF($A$3:A692,"&lt;&gt;0"))</f>
        <v>78.233263246913523</v>
      </c>
    </row>
    <row r="693" spans="1:9">
      <c r="A693">
        <v>691</v>
      </c>
      <c r="B693">
        <v>9</v>
      </c>
      <c r="C693">
        <v>6680</v>
      </c>
      <c r="D693">
        <v>6706</v>
      </c>
      <c r="E693" s="4">
        <f t="shared" si="41"/>
        <v>1</v>
      </c>
      <c r="F693" s="4">
        <f t="shared" si="42"/>
        <v>26</v>
      </c>
      <c r="G693" s="4">
        <f t="shared" si="44"/>
        <v>1.5149342034493888E-5</v>
      </c>
      <c r="H693" s="4">
        <f t="shared" si="43"/>
        <v>676</v>
      </c>
      <c r="I693" s="5">
        <f>SQRT(SUM('r-pi-multi'!$D$3:D693)/COUNTIF($A$3:A693,"&lt;&gt;0"))</f>
        <v>78.238678943209294</v>
      </c>
    </row>
    <row r="694" spans="1:9">
      <c r="A694">
        <v>692</v>
      </c>
      <c r="B694">
        <v>9</v>
      </c>
      <c r="C694">
        <v>6680</v>
      </c>
      <c r="D694">
        <v>6632</v>
      </c>
      <c r="E694" s="4">
        <f t="shared" si="41"/>
        <v>1</v>
      </c>
      <c r="F694" s="4">
        <f t="shared" si="42"/>
        <v>48</v>
      </c>
      <c r="G694" s="4">
        <f t="shared" si="44"/>
        <v>5.1633260425257272E-5</v>
      </c>
      <c r="H694" s="4">
        <f t="shared" si="43"/>
        <v>2304</v>
      </c>
      <c r="I694" s="5">
        <f>SQRT(SUM('r-pi-multi'!$D$3:D694)/COUNTIF($A$3:A694,"&lt;&gt;0"))</f>
        <v>78.243395259498442</v>
      </c>
    </row>
    <row r="695" spans="1:9">
      <c r="A695">
        <v>693</v>
      </c>
      <c r="B695">
        <v>9</v>
      </c>
      <c r="C695">
        <v>6680</v>
      </c>
      <c r="D695">
        <v>6606</v>
      </c>
      <c r="E695" s="4">
        <f t="shared" ref="E695:E758" si="45">IF(AND(D695&lt;=C695*1.2,D695&gt;=C695*0.8),1,0)</f>
        <v>1</v>
      </c>
      <c r="F695" s="4">
        <f t="shared" ref="F695:F758" si="46">ABS(C695-D695)</f>
        <v>74</v>
      </c>
      <c r="G695" s="4">
        <f t="shared" si="44"/>
        <v>1.2271863458711318E-4</v>
      </c>
      <c r="H695" s="4">
        <f t="shared" ref="H695:H758" si="47">POWER(F695,2)</f>
        <v>5476</v>
      </c>
      <c r="I695" s="5">
        <f>SQRT(SUM('r-pi-multi'!$D$3:D695)/COUNTIF($A$3:A695,"&lt;&gt;0"))</f>
        <v>78.247857943379344</v>
      </c>
    </row>
    <row r="696" spans="1:9">
      <c r="A696">
        <v>694</v>
      </c>
      <c r="B696">
        <v>9</v>
      </c>
      <c r="C696">
        <v>6680</v>
      </c>
      <c r="D696">
        <v>6703</v>
      </c>
      <c r="E696" s="4">
        <f t="shared" si="45"/>
        <v>1</v>
      </c>
      <c r="F696" s="4">
        <f t="shared" si="46"/>
        <v>23</v>
      </c>
      <c r="G696" s="4">
        <f t="shared" si="44"/>
        <v>1.185503245006992E-5</v>
      </c>
      <c r="H696" s="4">
        <f t="shared" si="47"/>
        <v>529</v>
      </c>
      <c r="I696" s="5">
        <f>SQRT(SUM('r-pi-multi'!$D$3:D696)/COUNTIF($A$3:A696,"&lt;&gt;0"))</f>
        <v>78.25320057720559</v>
      </c>
    </row>
    <row r="697" spans="1:9">
      <c r="A697">
        <v>695</v>
      </c>
      <c r="B697">
        <v>9</v>
      </c>
      <c r="C697">
        <v>6680</v>
      </c>
      <c r="D697">
        <v>6557</v>
      </c>
      <c r="E697" s="4">
        <f t="shared" si="45"/>
        <v>1</v>
      </c>
      <c r="F697" s="4">
        <f t="shared" si="46"/>
        <v>123</v>
      </c>
      <c r="G697" s="4">
        <f t="shared" si="44"/>
        <v>3.3904496396428702E-4</v>
      </c>
      <c r="H697" s="4">
        <f t="shared" si="47"/>
        <v>15129</v>
      </c>
      <c r="I697" s="5">
        <f>SQRT(SUM('r-pi-multi'!$D$3:D697)/COUNTIF($A$3:A697,"&lt;&gt;0"))</f>
        <v>78.257185295407297</v>
      </c>
    </row>
    <row r="698" spans="1:9">
      <c r="A698">
        <v>696</v>
      </c>
      <c r="B698">
        <v>9</v>
      </c>
      <c r="C698">
        <v>6680</v>
      </c>
      <c r="D698">
        <v>6764</v>
      </c>
      <c r="E698" s="4">
        <f t="shared" si="45"/>
        <v>1</v>
      </c>
      <c r="F698" s="4">
        <f t="shared" si="46"/>
        <v>84</v>
      </c>
      <c r="G698" s="4">
        <f t="shared" si="44"/>
        <v>1.5812686005235038E-4</v>
      </c>
      <c r="H698" s="4">
        <f t="shared" si="47"/>
        <v>7056</v>
      </c>
      <c r="I698" s="5">
        <f>SQRT(SUM('r-pi-multi'!$D$3:D698)/COUNTIF($A$3:A698,"&lt;&gt;0"))</f>
        <v>78.263058474858241</v>
      </c>
    </row>
    <row r="699" spans="1:9">
      <c r="A699">
        <v>697</v>
      </c>
      <c r="B699">
        <v>9</v>
      </c>
      <c r="C699">
        <v>6680</v>
      </c>
      <c r="D699">
        <v>6629</v>
      </c>
      <c r="E699" s="4">
        <f t="shared" si="45"/>
        <v>1</v>
      </c>
      <c r="F699" s="4">
        <f t="shared" si="46"/>
        <v>51</v>
      </c>
      <c r="G699" s="4">
        <f t="shared" si="44"/>
        <v>5.8289110401950586E-5</v>
      </c>
      <c r="H699" s="4">
        <f t="shared" si="47"/>
        <v>2601</v>
      </c>
      <c r="I699" s="5">
        <f>SQRT(SUM('r-pi-multi'!$D$3:D699)/COUNTIF($A$3:A699,"&lt;&gt;0"))</f>
        <v>78.267677033962642</v>
      </c>
    </row>
    <row r="700" spans="1:9">
      <c r="A700">
        <v>698</v>
      </c>
      <c r="B700">
        <v>9</v>
      </c>
      <c r="C700">
        <v>6680</v>
      </c>
      <c r="D700">
        <v>6630</v>
      </c>
      <c r="E700" s="4">
        <f t="shared" si="45"/>
        <v>1</v>
      </c>
      <c r="F700" s="4">
        <f t="shared" si="46"/>
        <v>50</v>
      </c>
      <c r="G700" s="4">
        <f t="shared" si="44"/>
        <v>5.6025673204489224E-5</v>
      </c>
      <c r="H700" s="4">
        <f t="shared" si="47"/>
        <v>2500</v>
      </c>
      <c r="I700" s="5">
        <f>SQRT(SUM('r-pi-multi'!$D$3:D700)/COUNTIF($A$3:A700,"&lt;&gt;0"))</f>
        <v>78.272291239820191</v>
      </c>
    </row>
    <row r="701" spans="1:9">
      <c r="A701">
        <v>699</v>
      </c>
      <c r="B701">
        <v>9</v>
      </c>
      <c r="C701">
        <v>6680</v>
      </c>
      <c r="D701">
        <v>6657</v>
      </c>
      <c r="E701" s="4">
        <f t="shared" si="45"/>
        <v>1</v>
      </c>
      <c r="F701" s="4">
        <f t="shared" si="46"/>
        <v>23</v>
      </c>
      <c r="G701" s="4">
        <f t="shared" si="44"/>
        <v>1.185503245006992E-5</v>
      </c>
      <c r="H701" s="4">
        <f t="shared" si="47"/>
        <v>529</v>
      </c>
      <c r="I701" s="5">
        <f>SQRT(SUM('r-pi-multi'!$D$3:D701)/COUNTIF($A$3:A701,"&lt;&gt;0"))</f>
        <v>78.27713870275727</v>
      </c>
    </row>
    <row r="702" spans="1:9">
      <c r="A702">
        <v>700</v>
      </c>
      <c r="B702">
        <v>9</v>
      </c>
      <c r="C702">
        <v>6680</v>
      </c>
      <c r="D702">
        <v>6698</v>
      </c>
      <c r="E702" s="4">
        <f t="shared" si="45"/>
        <v>1</v>
      </c>
      <c r="F702" s="4">
        <f t="shared" si="46"/>
        <v>18</v>
      </c>
      <c r="G702" s="4">
        <f t="shared" si="44"/>
        <v>7.2609272473018043E-6</v>
      </c>
      <c r="H702" s="4">
        <f t="shared" si="47"/>
        <v>324</v>
      </c>
      <c r="I702" s="5">
        <f>SQRT(SUM('r-pi-multi'!$D$3:D702)/COUNTIF($A$3:A702,"&lt;&gt;0"))</f>
        <v>78.28234612149609</v>
      </c>
    </row>
    <row r="703" spans="1:9">
      <c r="A703">
        <v>701</v>
      </c>
      <c r="B703">
        <v>9</v>
      </c>
      <c r="C703">
        <v>6680</v>
      </c>
      <c r="D703">
        <v>6538</v>
      </c>
      <c r="E703" s="4">
        <f t="shared" si="45"/>
        <v>1</v>
      </c>
      <c r="F703" s="4">
        <f t="shared" si="46"/>
        <v>142</v>
      </c>
      <c r="G703" s="4">
        <f t="shared" si="44"/>
        <v>4.518806697981283E-4</v>
      </c>
      <c r="H703" s="4">
        <f t="shared" si="47"/>
        <v>20164</v>
      </c>
      <c r="I703" s="5">
        <f>SQRT(SUM('r-pi-multi'!$D$3:D703)/COUNTIF($A$3:A703,"&lt;&gt;0"))</f>
        <v>78.286080587130698</v>
      </c>
    </row>
    <row r="704" spans="1:9">
      <c r="A704">
        <v>702</v>
      </c>
      <c r="B704">
        <v>9</v>
      </c>
      <c r="C704">
        <v>6680</v>
      </c>
      <c r="D704">
        <v>6728</v>
      </c>
      <c r="E704" s="4">
        <f t="shared" si="45"/>
        <v>1</v>
      </c>
      <c r="F704" s="4">
        <f t="shared" si="46"/>
        <v>48</v>
      </c>
      <c r="G704" s="4">
        <f t="shared" si="44"/>
        <v>5.1633260425257272E-5</v>
      </c>
      <c r="H704" s="4">
        <f t="shared" si="47"/>
        <v>2304</v>
      </c>
      <c r="I704" s="5">
        <f>SQRT(SUM('r-pi-multi'!$D$3:D704)/COUNTIF($A$3:A704,"&lt;&gt;0"))</f>
        <v>78.291532764176367</v>
      </c>
    </row>
    <row r="705" spans="1:9">
      <c r="A705">
        <v>703</v>
      </c>
      <c r="B705">
        <v>9</v>
      </c>
      <c r="C705">
        <v>6680</v>
      </c>
      <c r="D705">
        <v>6652</v>
      </c>
      <c r="E705" s="4">
        <f t="shared" si="45"/>
        <v>1</v>
      </c>
      <c r="F705" s="4">
        <f t="shared" si="46"/>
        <v>28</v>
      </c>
      <c r="G705" s="4">
        <f t="shared" si="44"/>
        <v>1.7569651116927818E-5</v>
      </c>
      <c r="H705" s="4">
        <f t="shared" si="47"/>
        <v>784</v>
      </c>
      <c r="I705" s="5">
        <f>SQRT(SUM('r-pi-multi'!$D$3:D705)/COUNTIF($A$3:A705,"&lt;&gt;0"))</f>
        <v>78.296278676722849</v>
      </c>
    </row>
    <row r="706" spans="1:9">
      <c r="A706">
        <v>704</v>
      </c>
      <c r="B706">
        <v>9</v>
      </c>
      <c r="C706">
        <v>6680</v>
      </c>
      <c r="D706">
        <v>6732</v>
      </c>
      <c r="E706" s="4">
        <f t="shared" si="45"/>
        <v>1</v>
      </c>
      <c r="F706" s="4">
        <f t="shared" si="46"/>
        <v>52</v>
      </c>
      <c r="G706" s="4">
        <f t="shared" si="44"/>
        <v>6.0597368137975551E-5</v>
      </c>
      <c r="H706" s="4">
        <f t="shared" si="47"/>
        <v>2704</v>
      </c>
      <c r="I706" s="5">
        <f>SQRT(SUM('r-pi-multi'!$D$3:D706)/COUNTIF($A$3:A706,"&lt;&gt;0"))</f>
        <v>78.301736454680125</v>
      </c>
    </row>
    <row r="707" spans="1:9">
      <c r="A707">
        <v>705</v>
      </c>
      <c r="B707">
        <v>9</v>
      </c>
      <c r="C707">
        <v>6680</v>
      </c>
      <c r="D707">
        <v>6657</v>
      </c>
      <c r="E707" s="4">
        <f t="shared" si="45"/>
        <v>1</v>
      </c>
      <c r="F707" s="4">
        <f t="shared" si="46"/>
        <v>23</v>
      </c>
      <c r="G707" s="4">
        <f t="shared" si="44"/>
        <v>1.185503245006992E-5</v>
      </c>
      <c r="H707" s="4">
        <f t="shared" si="47"/>
        <v>529</v>
      </c>
      <c r="I707" s="5">
        <f>SQRT(SUM('r-pi-multi'!$D$3:D707)/COUNTIF($A$3:A707,"&lt;&gt;0"))</f>
        <v>78.306499100767113</v>
      </c>
    </row>
    <row r="708" spans="1:9">
      <c r="A708">
        <v>706</v>
      </c>
      <c r="B708">
        <v>9</v>
      </c>
      <c r="C708">
        <v>6680</v>
      </c>
      <c r="D708">
        <v>6623</v>
      </c>
      <c r="E708" s="4">
        <f t="shared" si="45"/>
        <v>1</v>
      </c>
      <c r="F708" s="4">
        <f t="shared" si="46"/>
        <v>57</v>
      </c>
      <c r="G708" s="4">
        <f t="shared" ref="G708:G771" si="48">POWER(ABS(C708-D708)/C708,2)</f>
        <v>7.2810964896554193E-5</v>
      </c>
      <c r="H708" s="4">
        <f t="shared" si="47"/>
        <v>3249</v>
      </c>
      <c r="I708" s="5">
        <f>SQRT(SUM('r-pi-multi'!$D$3:D708)/COUNTIF($A$3:A708,"&lt;&gt;0"))</f>
        <v>78.310940483647798</v>
      </c>
    </row>
    <row r="709" spans="1:9">
      <c r="A709">
        <v>707</v>
      </c>
      <c r="B709">
        <v>9</v>
      </c>
      <c r="C709">
        <v>6680</v>
      </c>
      <c r="D709">
        <v>6692</v>
      </c>
      <c r="E709" s="4">
        <f t="shared" si="45"/>
        <v>1</v>
      </c>
      <c r="F709" s="4">
        <f t="shared" si="46"/>
        <v>12</v>
      </c>
      <c r="G709" s="4">
        <f t="shared" si="48"/>
        <v>3.2270787765785795E-6</v>
      </c>
      <c r="H709" s="4">
        <f t="shared" si="47"/>
        <v>144</v>
      </c>
      <c r="I709" s="5">
        <f>SQRT(SUM('r-pi-multi'!$D$3:D709)/COUNTIF($A$3:A709,"&lt;&gt;0"))</f>
        <v>78.315992141942516</v>
      </c>
    </row>
    <row r="710" spans="1:9">
      <c r="A710">
        <v>708</v>
      </c>
      <c r="B710">
        <v>9</v>
      </c>
      <c r="C710">
        <v>6680</v>
      </c>
      <c r="D710">
        <v>6802</v>
      </c>
      <c r="E710" s="4">
        <f t="shared" si="45"/>
        <v>1</v>
      </c>
      <c r="F710" s="4">
        <f t="shared" si="46"/>
        <v>122</v>
      </c>
      <c r="G710" s="4">
        <f t="shared" si="48"/>
        <v>3.3355444799024707E-4</v>
      </c>
      <c r="H710" s="4">
        <f t="shared" si="47"/>
        <v>14884</v>
      </c>
      <c r="I710" s="5">
        <f>SQRT(SUM('r-pi-multi'!$D$3:D710)/COUNTIF($A$3:A710,"&lt;&gt;0"))</f>
        <v>78.322021060815629</v>
      </c>
    </row>
    <row r="711" spans="1:9">
      <c r="A711">
        <v>709</v>
      </c>
      <c r="B711">
        <v>9</v>
      </c>
      <c r="C711">
        <v>6680</v>
      </c>
      <c r="D711">
        <v>6683</v>
      </c>
      <c r="E711" s="4">
        <f t="shared" si="45"/>
        <v>1</v>
      </c>
      <c r="F711" s="4">
        <f t="shared" si="46"/>
        <v>3</v>
      </c>
      <c r="G711" s="4">
        <f t="shared" si="48"/>
        <v>2.0169242353616122E-7</v>
      </c>
      <c r="H711" s="4">
        <f t="shared" si="47"/>
        <v>9</v>
      </c>
      <c r="I711" s="5">
        <f>SQRT(SUM('r-pi-multi'!$D$3:D711)/COUNTIF($A$3:A711,"&lt;&gt;0"))</f>
        <v>78.326961098837756</v>
      </c>
    </row>
    <row r="712" spans="1:9">
      <c r="A712">
        <v>710</v>
      </c>
      <c r="B712">
        <v>9</v>
      </c>
      <c r="C712">
        <v>6680</v>
      </c>
      <c r="D712">
        <v>6775</v>
      </c>
      <c r="E712" s="4">
        <f t="shared" si="45"/>
        <v>1</v>
      </c>
      <c r="F712" s="4">
        <f t="shared" si="46"/>
        <v>95</v>
      </c>
      <c r="G712" s="4">
        <f t="shared" si="48"/>
        <v>2.0225268026820609E-4</v>
      </c>
      <c r="H712" s="4">
        <f t="shared" si="47"/>
        <v>9025</v>
      </c>
      <c r="I712" s="5">
        <f>SQRT(SUM('r-pi-multi'!$D$3:D712)/COUNTIF($A$3:A712,"&lt;&gt;0"))</f>
        <v>78.33271401213571</v>
      </c>
    </row>
    <row r="713" spans="1:9">
      <c r="A713">
        <v>711</v>
      </c>
      <c r="B713">
        <v>9</v>
      </c>
      <c r="C713">
        <v>6680</v>
      </c>
      <c r="D713">
        <v>6611</v>
      </c>
      <c r="E713" s="4">
        <f t="shared" si="45"/>
        <v>1</v>
      </c>
      <c r="F713" s="4">
        <f t="shared" si="46"/>
        <v>69</v>
      </c>
      <c r="G713" s="4">
        <f t="shared" si="48"/>
        <v>1.0669529205062929E-4</v>
      </c>
      <c r="H713" s="4">
        <f t="shared" si="47"/>
        <v>4761</v>
      </c>
      <c r="I713" s="5">
        <f>SQRT(SUM('r-pi-multi'!$D$3:D713)/COUNTIF($A$3:A713,"&lt;&gt;0"))</f>
        <v>78.336978099962707</v>
      </c>
    </row>
    <row r="714" spans="1:9">
      <c r="A714">
        <v>712</v>
      </c>
      <c r="B714">
        <v>9</v>
      </c>
      <c r="C714">
        <v>6680</v>
      </c>
      <c r="D714">
        <v>6655</v>
      </c>
      <c r="E714" s="4">
        <f t="shared" si="45"/>
        <v>1</v>
      </c>
      <c r="F714" s="4">
        <f t="shared" si="46"/>
        <v>25</v>
      </c>
      <c r="G714" s="4">
        <f t="shared" si="48"/>
        <v>1.4006418301122306E-5</v>
      </c>
      <c r="H714" s="4">
        <f t="shared" si="47"/>
        <v>625</v>
      </c>
      <c r="I714" s="5">
        <f>SQRT(SUM('r-pi-multi'!$D$3:D714)/COUNTIF($A$3:A714,"&lt;&gt;0"))</f>
        <v>78.341624391887294</v>
      </c>
    </row>
    <row r="715" spans="1:9">
      <c r="A715">
        <v>713</v>
      </c>
      <c r="B715">
        <v>9</v>
      </c>
      <c r="C715">
        <v>6680</v>
      </c>
      <c r="D715">
        <v>6708</v>
      </c>
      <c r="E715" s="4">
        <f t="shared" si="45"/>
        <v>1</v>
      </c>
      <c r="F715" s="4">
        <f t="shared" si="46"/>
        <v>28</v>
      </c>
      <c r="G715" s="4">
        <f t="shared" si="48"/>
        <v>1.7569651116927818E-5</v>
      </c>
      <c r="H715" s="4">
        <f t="shared" si="47"/>
        <v>784</v>
      </c>
      <c r="I715" s="5">
        <f>SQRT(SUM('r-pi-multi'!$D$3:D715)/COUNTIF($A$3:A715,"&lt;&gt;0"))</f>
        <v>78.346731767710821</v>
      </c>
    </row>
    <row r="716" spans="1:9">
      <c r="A716">
        <v>714</v>
      </c>
      <c r="B716">
        <v>9</v>
      </c>
      <c r="C716">
        <v>6680</v>
      </c>
      <c r="D716">
        <v>6694</v>
      </c>
      <c r="E716" s="4">
        <f t="shared" si="45"/>
        <v>1</v>
      </c>
      <c r="F716" s="4">
        <f t="shared" si="46"/>
        <v>14</v>
      </c>
      <c r="G716" s="4">
        <f t="shared" si="48"/>
        <v>4.3924127792319544E-6</v>
      </c>
      <c r="H716" s="4">
        <f t="shared" si="47"/>
        <v>196</v>
      </c>
      <c r="I716" s="5">
        <f>SQRT(SUM('r-pi-multi'!$D$3:D716)/COUNTIF($A$3:A716,"&lt;&gt;0"))</f>
        <v>78.351699378623607</v>
      </c>
    </row>
    <row r="717" spans="1:9">
      <c r="A717">
        <v>715</v>
      </c>
      <c r="B717">
        <v>9</v>
      </c>
      <c r="C717">
        <v>6680</v>
      </c>
      <c r="D717">
        <v>6700</v>
      </c>
      <c r="E717" s="4">
        <f t="shared" si="45"/>
        <v>1</v>
      </c>
      <c r="F717" s="4">
        <f t="shared" si="46"/>
        <v>20</v>
      </c>
      <c r="G717" s="4">
        <f t="shared" si="48"/>
        <v>8.9641077127182775E-6</v>
      </c>
      <c r="H717" s="4">
        <f t="shared" si="47"/>
        <v>400</v>
      </c>
      <c r="I717" s="5">
        <f>SQRT(SUM('r-pi-multi'!$D$3:D717)/COUNTIF($A$3:A717,"&lt;&gt;0"))</f>
        <v>78.356706328006325</v>
      </c>
    </row>
    <row r="718" spans="1:9">
      <c r="A718">
        <v>716</v>
      </c>
      <c r="B718">
        <v>9</v>
      </c>
      <c r="C718">
        <v>6680</v>
      </c>
      <c r="D718">
        <v>6706</v>
      </c>
      <c r="E718" s="4">
        <f t="shared" si="45"/>
        <v>1</v>
      </c>
      <c r="F718" s="4">
        <f t="shared" si="46"/>
        <v>26</v>
      </c>
      <c r="G718" s="4">
        <f t="shared" si="48"/>
        <v>1.5149342034493888E-5</v>
      </c>
      <c r="H718" s="4">
        <f t="shared" si="47"/>
        <v>676</v>
      </c>
      <c r="I718" s="5">
        <f>SQRT(SUM('r-pi-multi'!$D$3:D718)/COUNTIF($A$3:A718,"&lt;&gt;0"))</f>
        <v>78.36175244218353</v>
      </c>
    </row>
    <row r="719" spans="1:9">
      <c r="A719">
        <v>717</v>
      </c>
      <c r="B719">
        <v>9</v>
      </c>
      <c r="C719">
        <v>6680</v>
      </c>
      <c r="D719">
        <v>6742</v>
      </c>
      <c r="E719" s="4">
        <f t="shared" si="45"/>
        <v>1</v>
      </c>
      <c r="F719" s="4">
        <f t="shared" si="46"/>
        <v>62</v>
      </c>
      <c r="G719" s="4">
        <f t="shared" si="48"/>
        <v>8.6145075119222647E-5</v>
      </c>
      <c r="H719" s="4">
        <f t="shared" si="47"/>
        <v>3844</v>
      </c>
      <c r="I719" s="5">
        <f>SQRT(SUM('r-pi-multi'!$D$3:D719)/COUNTIF($A$3:A719,"&lt;&gt;0"))</f>
        <v>78.367104503996487</v>
      </c>
    </row>
    <row r="720" spans="1:9">
      <c r="A720">
        <v>718</v>
      </c>
      <c r="B720">
        <v>9</v>
      </c>
      <c r="C720">
        <v>6680</v>
      </c>
      <c r="D720">
        <v>6672</v>
      </c>
      <c r="E720" s="4">
        <f t="shared" si="45"/>
        <v>1</v>
      </c>
      <c r="F720" s="4">
        <f t="shared" si="46"/>
        <v>8</v>
      </c>
      <c r="G720" s="4">
        <f t="shared" si="48"/>
        <v>1.4342572340349241E-6</v>
      </c>
      <c r="H720" s="4">
        <f t="shared" si="47"/>
        <v>64</v>
      </c>
      <c r="I720" s="5">
        <f>SQRT(SUM('r-pi-multi'!$D$3:D720)/COUNTIF($A$3:A720,"&lt;&gt;0"))</f>
        <v>78.371819305674777</v>
      </c>
    </row>
    <row r="721" spans="1:9">
      <c r="A721">
        <v>719</v>
      </c>
      <c r="B721">
        <v>9</v>
      </c>
      <c r="C721">
        <v>6680</v>
      </c>
      <c r="D721">
        <v>6800</v>
      </c>
      <c r="E721" s="4">
        <f t="shared" si="45"/>
        <v>1</v>
      </c>
      <c r="F721" s="4">
        <f t="shared" si="46"/>
        <v>120</v>
      </c>
      <c r="G721" s="4">
        <f t="shared" si="48"/>
        <v>3.2270787765785789E-4</v>
      </c>
      <c r="H721" s="4">
        <f t="shared" si="47"/>
        <v>14400</v>
      </c>
      <c r="I721" s="5">
        <f>SQRT(SUM('r-pi-multi'!$D$3:D721)/COUNTIF($A$3:A721,"&lt;&gt;0"))</f>
        <v>78.377656405661625</v>
      </c>
    </row>
    <row r="722" spans="1:9">
      <c r="A722">
        <v>720</v>
      </c>
      <c r="B722">
        <v>9</v>
      </c>
      <c r="C722">
        <v>6680</v>
      </c>
      <c r="D722">
        <v>6710</v>
      </c>
      <c r="E722" s="4">
        <f t="shared" si="45"/>
        <v>1</v>
      </c>
      <c r="F722" s="4">
        <f t="shared" si="46"/>
        <v>30</v>
      </c>
      <c r="G722" s="4">
        <f t="shared" si="48"/>
        <v>2.0169242353616118E-5</v>
      </c>
      <c r="H722" s="4">
        <f t="shared" si="47"/>
        <v>900</v>
      </c>
      <c r="I722" s="5">
        <f>SQRT(SUM('r-pi-multi'!$D$3:D722)/COUNTIF($A$3:A722,"&lt;&gt;0"))</f>
        <v>78.382679492630544</v>
      </c>
    </row>
    <row r="723" spans="1:9">
      <c r="A723">
        <v>721</v>
      </c>
      <c r="B723">
        <v>9</v>
      </c>
      <c r="C723">
        <v>6680</v>
      </c>
      <c r="D723">
        <v>6532</v>
      </c>
      <c r="E723" s="4">
        <f t="shared" si="45"/>
        <v>1</v>
      </c>
      <c r="F723" s="4">
        <f t="shared" si="46"/>
        <v>148</v>
      </c>
      <c r="G723" s="4">
        <f t="shared" si="48"/>
        <v>4.9087453834845271E-4</v>
      </c>
      <c r="H723" s="4">
        <f t="shared" si="47"/>
        <v>21904</v>
      </c>
      <c r="I723" s="5">
        <f>SQRT(SUM('r-pi-multi'!$D$3:D723)/COUNTIF($A$3:A723,"&lt;&gt;0"))</f>
        <v>78.386113576732171</v>
      </c>
    </row>
    <row r="724" spans="1:9">
      <c r="A724">
        <v>722</v>
      </c>
      <c r="B724">
        <v>9</v>
      </c>
      <c r="C724">
        <v>6680</v>
      </c>
      <c r="D724">
        <v>6588</v>
      </c>
      <c r="E724" s="4">
        <f t="shared" si="45"/>
        <v>1</v>
      </c>
      <c r="F724" s="4">
        <f t="shared" si="46"/>
        <v>92</v>
      </c>
      <c r="G724" s="4">
        <f t="shared" si="48"/>
        <v>1.8968051920111872E-4</v>
      </c>
      <c r="H724" s="4">
        <f t="shared" si="47"/>
        <v>8464</v>
      </c>
      <c r="I724" s="5">
        <f>SQRT(SUM('r-pi-multi'!$D$3:D724)/COUNTIF($A$3:A724,"&lt;&gt;0"))</f>
        <v>78.390032720473442</v>
      </c>
    </row>
    <row r="725" spans="1:9">
      <c r="A725">
        <v>723</v>
      </c>
      <c r="B725">
        <v>9</v>
      </c>
      <c r="C725">
        <v>6680</v>
      </c>
      <c r="D725">
        <v>6591</v>
      </c>
      <c r="E725" s="4">
        <f t="shared" si="45"/>
        <v>1</v>
      </c>
      <c r="F725" s="4">
        <f t="shared" si="46"/>
        <v>89</v>
      </c>
      <c r="G725" s="4">
        <f t="shared" si="48"/>
        <v>1.7751174298110366E-4</v>
      </c>
      <c r="H725" s="4">
        <f t="shared" si="47"/>
        <v>7921</v>
      </c>
      <c r="I725" s="5">
        <f>SQRT(SUM('r-pi-multi'!$D$3:D725)/COUNTIF($A$3:A725,"&lt;&gt;0"))</f>
        <v>78.393967292667469</v>
      </c>
    </row>
    <row r="726" spans="1:9">
      <c r="A726">
        <v>724</v>
      </c>
      <c r="B726">
        <v>9</v>
      </c>
      <c r="C726">
        <v>6680</v>
      </c>
      <c r="D726">
        <v>6560</v>
      </c>
      <c r="E726" s="4">
        <f t="shared" si="45"/>
        <v>1</v>
      </c>
      <c r="F726" s="4">
        <f t="shared" si="46"/>
        <v>120</v>
      </c>
      <c r="G726" s="4">
        <f t="shared" si="48"/>
        <v>3.2270787765785789E-4</v>
      </c>
      <c r="H726" s="4">
        <f t="shared" si="47"/>
        <v>14400</v>
      </c>
      <c r="I726" s="5">
        <f>SQRT(SUM('r-pi-multi'!$D$3:D726)/COUNTIF($A$3:A726,"&lt;&gt;0"))</f>
        <v>78.39761771947154</v>
      </c>
    </row>
    <row r="727" spans="1:9">
      <c r="A727">
        <v>725</v>
      </c>
      <c r="B727">
        <v>9</v>
      </c>
      <c r="C727">
        <v>6680</v>
      </c>
      <c r="D727">
        <v>6519</v>
      </c>
      <c r="E727" s="4">
        <f t="shared" si="45"/>
        <v>1</v>
      </c>
      <c r="F727" s="4">
        <f t="shared" si="46"/>
        <v>161</v>
      </c>
      <c r="G727" s="4">
        <f t="shared" si="48"/>
        <v>5.8089659005342606E-4</v>
      </c>
      <c r="H727" s="4">
        <f t="shared" si="47"/>
        <v>25921</v>
      </c>
      <c r="I727" s="5">
        <f>SQRT(SUM('r-pi-multi'!$D$3:D727)/COUNTIF($A$3:A727,"&lt;&gt;0"))</f>
        <v>78.400897250319602</v>
      </c>
    </row>
    <row r="728" spans="1:9">
      <c r="A728">
        <v>726</v>
      </c>
      <c r="B728">
        <v>10</v>
      </c>
      <c r="C728">
        <v>6680</v>
      </c>
      <c r="D728">
        <v>7218</v>
      </c>
      <c r="E728" s="4">
        <f t="shared" si="45"/>
        <v>1</v>
      </c>
      <c r="F728" s="4">
        <f t="shared" si="46"/>
        <v>538</v>
      </c>
      <c r="G728" s="4">
        <f t="shared" si="48"/>
        <v>6.4865179820000722E-3</v>
      </c>
      <c r="H728" s="4">
        <f t="shared" si="47"/>
        <v>289444</v>
      </c>
      <c r="I728" s="5">
        <f>SQRT(SUM('r-pi-multi'!$D$3:D728)/COUNTIF($A$3:A728,"&lt;&gt;0"))</f>
        <v>78.41030741260964</v>
      </c>
    </row>
    <row r="729" spans="1:9">
      <c r="A729">
        <v>727</v>
      </c>
      <c r="B729">
        <v>9</v>
      </c>
      <c r="C729">
        <v>6680</v>
      </c>
      <c r="D729">
        <v>6616</v>
      </c>
      <c r="E729" s="4">
        <f t="shared" si="45"/>
        <v>1</v>
      </c>
      <c r="F729" s="4">
        <f t="shared" si="46"/>
        <v>64</v>
      </c>
      <c r="G729" s="4">
        <f t="shared" si="48"/>
        <v>9.1792462978235141E-5</v>
      </c>
      <c r="H729" s="4">
        <f t="shared" si="47"/>
        <v>4096</v>
      </c>
      <c r="I729" s="5">
        <f>SQRT(SUM('r-pi-multi'!$D$3:D729)/COUNTIF($A$3:A729,"&lt;&gt;0"))</f>
        <v>78.414410712749643</v>
      </c>
    </row>
    <row r="730" spans="1:9">
      <c r="A730">
        <v>728</v>
      </c>
      <c r="B730">
        <v>9</v>
      </c>
      <c r="C730">
        <v>6680</v>
      </c>
      <c r="D730">
        <v>6529</v>
      </c>
      <c r="E730" s="4">
        <f t="shared" si="45"/>
        <v>1</v>
      </c>
      <c r="F730" s="4">
        <f t="shared" si="46"/>
        <v>151</v>
      </c>
      <c r="G730" s="4">
        <f t="shared" si="48"/>
        <v>5.1097654989422359E-4</v>
      </c>
      <c r="H730" s="4">
        <f t="shared" si="47"/>
        <v>22801</v>
      </c>
      <c r="I730" s="5">
        <f>SQRT(SUM('r-pi-multi'!$D$3:D730)/COUNTIF($A$3:A730,"&lt;&gt;0"))</f>
        <v>78.417740549999479</v>
      </c>
    </row>
    <row r="731" spans="1:9">
      <c r="A731">
        <v>729</v>
      </c>
      <c r="B731">
        <v>9</v>
      </c>
      <c r="C731">
        <v>6680</v>
      </c>
      <c r="D731">
        <v>6789</v>
      </c>
      <c r="E731" s="4">
        <f t="shared" si="45"/>
        <v>1</v>
      </c>
      <c r="F731" s="4">
        <f t="shared" si="46"/>
        <v>109</v>
      </c>
      <c r="G731" s="4">
        <f t="shared" si="48"/>
        <v>2.6625640933701462E-4</v>
      </c>
      <c r="H731" s="4">
        <f t="shared" si="47"/>
        <v>11881</v>
      </c>
      <c r="I731" s="5">
        <f>SQRT(SUM('r-pi-multi'!$D$3:D731)/COUNTIF($A$3:A731,"&lt;&gt;0"))</f>
        <v>78.423335039629606</v>
      </c>
    </row>
    <row r="732" spans="1:9">
      <c r="A732">
        <v>730</v>
      </c>
      <c r="B732">
        <v>9</v>
      </c>
      <c r="C732">
        <v>6680</v>
      </c>
      <c r="D732">
        <v>6645</v>
      </c>
      <c r="E732" s="4">
        <f t="shared" si="45"/>
        <v>1</v>
      </c>
      <c r="F732" s="4">
        <f t="shared" si="46"/>
        <v>35</v>
      </c>
      <c r="G732" s="4">
        <f t="shared" si="48"/>
        <v>2.7452579870199716E-5</v>
      </c>
      <c r="H732" s="4">
        <f t="shared" si="47"/>
        <v>1225</v>
      </c>
      <c r="I732" s="5">
        <f>SQRT(SUM('r-pi-multi'!$D$3:D732)/COUNTIF($A$3:A732,"&lt;&gt;0"))</f>
        <v>78.427656220710645</v>
      </c>
    </row>
    <row r="733" spans="1:9">
      <c r="A733">
        <v>731</v>
      </c>
      <c r="B733">
        <v>9</v>
      </c>
      <c r="C733">
        <v>6680</v>
      </c>
      <c r="D733">
        <v>6718</v>
      </c>
      <c r="E733" s="4">
        <f t="shared" si="45"/>
        <v>1</v>
      </c>
      <c r="F733" s="4">
        <f t="shared" si="46"/>
        <v>38</v>
      </c>
      <c r="G733" s="4">
        <f t="shared" si="48"/>
        <v>3.2360428842912978E-5</v>
      </c>
      <c r="H733" s="4">
        <f t="shared" si="47"/>
        <v>1444</v>
      </c>
      <c r="I733" s="5">
        <f>SQRT(SUM('r-pi-multi'!$D$3:D733)/COUNTIF($A$3:A733,"&lt;&gt;0"))</f>
        <v>78.432601962548688</v>
      </c>
    </row>
    <row r="734" spans="1:9">
      <c r="A734">
        <v>732</v>
      </c>
      <c r="B734">
        <v>9</v>
      </c>
      <c r="C734">
        <v>6680</v>
      </c>
      <c r="D734">
        <v>6581</v>
      </c>
      <c r="E734" s="4">
        <f t="shared" si="45"/>
        <v>1</v>
      </c>
      <c r="F734" s="4">
        <f t="shared" si="46"/>
        <v>99</v>
      </c>
      <c r="G734" s="4">
        <f t="shared" si="48"/>
        <v>2.1964304923087954E-4</v>
      </c>
      <c r="H734" s="4">
        <f t="shared" si="47"/>
        <v>9801</v>
      </c>
      <c r="I734" s="5">
        <f>SQRT(SUM('r-pi-multi'!$D$3:D734)/COUNTIF($A$3:A734,"&lt;&gt;0"))</f>
        <v>78.436340830265209</v>
      </c>
    </row>
    <row r="735" spans="1:9">
      <c r="A735">
        <v>733</v>
      </c>
      <c r="B735">
        <v>9</v>
      </c>
      <c r="C735">
        <v>6680</v>
      </c>
      <c r="D735">
        <v>6523</v>
      </c>
      <c r="E735" s="4">
        <f t="shared" si="45"/>
        <v>1</v>
      </c>
      <c r="F735" s="4">
        <f t="shared" si="46"/>
        <v>157</v>
      </c>
      <c r="G735" s="4">
        <f t="shared" si="48"/>
        <v>5.5239072752698195E-4</v>
      </c>
      <c r="H735" s="4">
        <f t="shared" si="47"/>
        <v>24649</v>
      </c>
      <c r="I735" s="5">
        <f>SQRT(SUM('r-pi-multi'!$D$3:D735)/COUNTIF($A$3:A735,"&lt;&gt;0"))</f>
        <v>78.439564939419455</v>
      </c>
    </row>
    <row r="736" spans="1:9">
      <c r="A736">
        <v>734</v>
      </c>
      <c r="B736">
        <v>9</v>
      </c>
      <c r="C736">
        <v>6680</v>
      </c>
      <c r="D736">
        <v>6519</v>
      </c>
      <c r="E736" s="4">
        <f t="shared" si="45"/>
        <v>1</v>
      </c>
      <c r="F736" s="4">
        <f t="shared" si="46"/>
        <v>161</v>
      </c>
      <c r="G736" s="4">
        <f t="shared" si="48"/>
        <v>5.8089659005342606E-4</v>
      </c>
      <c r="H736" s="4">
        <f t="shared" si="47"/>
        <v>25921</v>
      </c>
      <c r="I736" s="5">
        <f>SQRT(SUM('r-pi-multi'!$D$3:D736)/COUNTIF($A$3:A736,"&lt;&gt;0"))</f>
        <v>78.44274539546096</v>
      </c>
    </row>
    <row r="737" spans="1:9">
      <c r="A737">
        <v>735</v>
      </c>
      <c r="B737">
        <v>10</v>
      </c>
      <c r="C737">
        <v>6680</v>
      </c>
      <c r="D737">
        <v>7133</v>
      </c>
      <c r="E737" s="4">
        <f t="shared" si="45"/>
        <v>1</v>
      </c>
      <c r="F737" s="4">
        <f t="shared" si="46"/>
        <v>453</v>
      </c>
      <c r="G737" s="4">
        <f t="shared" si="48"/>
        <v>4.5987889490480124E-3</v>
      </c>
      <c r="H737" s="4">
        <f t="shared" si="47"/>
        <v>205209</v>
      </c>
      <c r="I737" s="5">
        <f>SQRT(SUM('r-pi-multi'!$D$3:D737)/COUNTIF($A$3:A737,"&lt;&gt;0"))</f>
        <v>78.451241410901616</v>
      </c>
    </row>
    <row r="738" spans="1:9">
      <c r="A738">
        <v>736</v>
      </c>
      <c r="B738">
        <v>9</v>
      </c>
      <c r="C738">
        <v>6680</v>
      </c>
      <c r="D738">
        <v>6716</v>
      </c>
      <c r="E738" s="4">
        <f t="shared" si="45"/>
        <v>1</v>
      </c>
      <c r="F738" s="4">
        <f t="shared" si="46"/>
        <v>36</v>
      </c>
      <c r="G738" s="4">
        <f t="shared" si="48"/>
        <v>2.9043708989207217E-5</v>
      </c>
      <c r="H738" s="4">
        <f t="shared" si="47"/>
        <v>1296</v>
      </c>
      <c r="I738" s="5">
        <f>SQRT(SUM('r-pi-multi'!$D$3:D738)/COUNTIF($A$3:A738,"&lt;&gt;0"))</f>
        <v>78.456102722145374</v>
      </c>
    </row>
    <row r="739" spans="1:9">
      <c r="A739">
        <v>737</v>
      </c>
      <c r="B739">
        <v>9</v>
      </c>
      <c r="C739">
        <v>6680</v>
      </c>
      <c r="D739">
        <v>6566</v>
      </c>
      <c r="E739" s="4">
        <f t="shared" si="45"/>
        <v>1</v>
      </c>
      <c r="F739" s="4">
        <f t="shared" si="46"/>
        <v>114</v>
      </c>
      <c r="G739" s="4">
        <f t="shared" si="48"/>
        <v>2.9124385958621677E-4</v>
      </c>
      <c r="H739" s="4">
        <f t="shared" si="47"/>
        <v>12996</v>
      </c>
      <c r="I739" s="5">
        <f>SQRT(SUM('r-pi-multi'!$D$3:D739)/COUNTIF($A$3:A739,"&lt;&gt;0"))</f>
        <v>78.459653529834739</v>
      </c>
    </row>
    <row r="740" spans="1:9">
      <c r="A740">
        <v>738</v>
      </c>
      <c r="B740">
        <v>9</v>
      </c>
      <c r="C740">
        <v>6680</v>
      </c>
      <c r="D740">
        <v>6664</v>
      </c>
      <c r="E740" s="4">
        <f t="shared" si="45"/>
        <v>1</v>
      </c>
      <c r="F740" s="4">
        <f t="shared" si="46"/>
        <v>16</v>
      </c>
      <c r="G740" s="4">
        <f t="shared" si="48"/>
        <v>5.7370289361396963E-6</v>
      </c>
      <c r="H740" s="4">
        <f t="shared" si="47"/>
        <v>256</v>
      </c>
      <c r="I740" s="5">
        <f>SQRT(SUM('r-pi-multi'!$D$3:D740)/COUNTIF($A$3:A740,"&lt;&gt;0"))</f>
        <v>78.464040751524578</v>
      </c>
    </row>
    <row r="741" spans="1:9">
      <c r="A741">
        <v>739</v>
      </c>
      <c r="B741">
        <v>9</v>
      </c>
      <c r="C741">
        <v>6680</v>
      </c>
      <c r="D741">
        <v>6372</v>
      </c>
      <c r="E741" s="4">
        <f t="shared" si="45"/>
        <v>1</v>
      </c>
      <c r="F741" s="4">
        <f t="shared" si="46"/>
        <v>308</v>
      </c>
      <c r="G741" s="4">
        <f t="shared" si="48"/>
        <v>2.125927785148266E-3</v>
      </c>
      <c r="H741" s="4">
        <f t="shared" si="47"/>
        <v>94864</v>
      </c>
      <c r="I741" s="5">
        <f>SQRT(SUM('r-pi-multi'!$D$3:D741)/COUNTIF($A$3:A741,"&lt;&gt;0"))</f>
        <v>78.465898059743481</v>
      </c>
    </row>
    <row r="742" spans="1:9">
      <c r="A742">
        <v>740</v>
      </c>
      <c r="B742">
        <v>10</v>
      </c>
      <c r="C742">
        <v>6680</v>
      </c>
      <c r="D742">
        <v>5799</v>
      </c>
      <c r="E742" s="4">
        <f t="shared" si="45"/>
        <v>1</v>
      </c>
      <c r="F742" s="4">
        <f t="shared" si="46"/>
        <v>881</v>
      </c>
      <c r="G742" s="4">
        <f t="shared" si="48"/>
        <v>1.7393977016027823E-2</v>
      </c>
      <c r="H742" s="4">
        <f t="shared" si="47"/>
        <v>776161</v>
      </c>
      <c r="I742" s="5">
        <f>SQRT(SUM('r-pi-multi'!$D$3:D742)/COUNTIF($A$3:A742,"&lt;&gt;0"))</f>
        <v>78.46281612020762</v>
      </c>
    </row>
    <row r="743" spans="1:9">
      <c r="A743">
        <v>741</v>
      </c>
      <c r="B743">
        <v>10</v>
      </c>
      <c r="C743">
        <v>6680</v>
      </c>
      <c r="D743">
        <v>6979</v>
      </c>
      <c r="E743" s="4">
        <f t="shared" si="45"/>
        <v>1</v>
      </c>
      <c r="F743" s="4">
        <f t="shared" si="46"/>
        <v>299</v>
      </c>
      <c r="G743" s="4">
        <f t="shared" si="48"/>
        <v>2.0035004840618167E-3</v>
      </c>
      <c r="H743" s="4">
        <f t="shared" si="47"/>
        <v>89401</v>
      </c>
      <c r="I743" s="5">
        <f>SQRT(SUM('r-pi-multi'!$D$3:D743)/COUNTIF($A$3:A743,"&lt;&gt;0"))</f>
        <v>78.469889873340222</v>
      </c>
    </row>
    <row r="744" spans="1:9">
      <c r="A744">
        <v>742</v>
      </c>
      <c r="B744">
        <v>9</v>
      </c>
      <c r="C744">
        <v>6680</v>
      </c>
      <c r="D744">
        <v>6632</v>
      </c>
      <c r="E744" s="4">
        <f t="shared" si="45"/>
        <v>1</v>
      </c>
      <c r="F744" s="4">
        <f t="shared" si="46"/>
        <v>48</v>
      </c>
      <c r="G744" s="4">
        <f t="shared" si="48"/>
        <v>5.1633260425257272E-5</v>
      </c>
      <c r="H744" s="4">
        <f t="shared" si="47"/>
        <v>2304</v>
      </c>
      <c r="I744" s="5">
        <f>SQRT(SUM('r-pi-multi'!$D$3:D744)/COUNTIF($A$3:A744,"&lt;&gt;0"))</f>
        <v>78.473964298844237</v>
      </c>
    </row>
    <row r="745" spans="1:9">
      <c r="A745">
        <v>743</v>
      </c>
      <c r="B745">
        <v>10</v>
      </c>
      <c r="C745">
        <v>6680</v>
      </c>
      <c r="D745">
        <v>7204</v>
      </c>
      <c r="E745" s="4">
        <f t="shared" si="45"/>
        <v>1</v>
      </c>
      <c r="F745" s="4">
        <f t="shared" si="46"/>
        <v>524</v>
      </c>
      <c r="G745" s="4">
        <f t="shared" si="48"/>
        <v>6.1533220983183345E-3</v>
      </c>
      <c r="H745" s="4">
        <f t="shared" si="47"/>
        <v>274576</v>
      </c>
      <c r="I745" s="5">
        <f>SQRT(SUM('r-pi-multi'!$D$3:D745)/COUNTIF($A$3:A745,"&lt;&gt;0"))</f>
        <v>78.482932281411095</v>
      </c>
    </row>
    <row r="746" spans="1:9">
      <c r="A746">
        <v>744</v>
      </c>
      <c r="B746">
        <v>9</v>
      </c>
      <c r="C746">
        <v>6680</v>
      </c>
      <c r="D746">
        <v>6560</v>
      </c>
      <c r="E746" s="4">
        <f t="shared" si="45"/>
        <v>1</v>
      </c>
      <c r="F746" s="4">
        <f t="shared" si="46"/>
        <v>120</v>
      </c>
      <c r="G746" s="4">
        <f t="shared" si="48"/>
        <v>3.2270787765785789E-4</v>
      </c>
      <c r="H746" s="4">
        <f t="shared" si="47"/>
        <v>14400</v>
      </c>
      <c r="I746" s="5">
        <f>SQRT(SUM('r-pi-multi'!$D$3:D746)/COUNTIF($A$3:A746,"&lt;&gt;0"))</f>
        <v>78.486361050616566</v>
      </c>
    </row>
    <row r="747" spans="1:9">
      <c r="A747">
        <v>745</v>
      </c>
      <c r="B747">
        <v>10</v>
      </c>
      <c r="C747">
        <v>6680</v>
      </c>
      <c r="D747">
        <v>6963</v>
      </c>
      <c r="E747" s="4">
        <f t="shared" si="45"/>
        <v>1</v>
      </c>
      <c r="F747" s="4">
        <f t="shared" si="46"/>
        <v>283</v>
      </c>
      <c r="G747" s="4">
        <f t="shared" si="48"/>
        <v>1.7948160565097351E-3</v>
      </c>
      <c r="H747" s="4">
        <f t="shared" si="47"/>
        <v>80089</v>
      </c>
      <c r="I747" s="5">
        <f>SQRT(SUM('r-pi-multi'!$D$3:D747)/COUNTIF($A$3:A747,"&lt;&gt;0"))</f>
        <v>78.493226314002456</v>
      </c>
    </row>
    <row r="748" spans="1:9">
      <c r="A748">
        <v>746</v>
      </c>
      <c r="B748">
        <v>9</v>
      </c>
      <c r="C748">
        <v>6680</v>
      </c>
      <c r="D748">
        <v>6490</v>
      </c>
      <c r="E748" s="4">
        <f t="shared" si="45"/>
        <v>1</v>
      </c>
      <c r="F748" s="4">
        <f t="shared" si="46"/>
        <v>190</v>
      </c>
      <c r="G748" s="4">
        <f t="shared" si="48"/>
        <v>8.0901072107282437E-4</v>
      </c>
      <c r="H748" s="4">
        <f t="shared" si="47"/>
        <v>36100</v>
      </c>
      <c r="I748" s="5">
        <f>SQRT(SUM('r-pi-multi'!$D$3:D748)/COUNTIF($A$3:A748,"&lt;&gt;0"))</f>
        <v>78.496033949776745</v>
      </c>
    </row>
    <row r="749" spans="1:9">
      <c r="A749">
        <v>747</v>
      </c>
      <c r="B749">
        <v>10</v>
      </c>
      <c r="C749">
        <v>6680</v>
      </c>
      <c r="D749">
        <v>7026</v>
      </c>
      <c r="E749" s="4">
        <f t="shared" si="45"/>
        <v>1</v>
      </c>
      <c r="F749" s="4">
        <f t="shared" si="46"/>
        <v>346</v>
      </c>
      <c r="G749" s="4">
        <f t="shared" si="48"/>
        <v>2.6828677973394529E-3</v>
      </c>
      <c r="H749" s="4">
        <f t="shared" si="47"/>
        <v>119716</v>
      </c>
      <c r="I749" s="5">
        <f>SQRT(SUM('r-pi-multi'!$D$3:D749)/COUNTIF($A$3:A749,"&lt;&gt;0"))</f>
        <v>78.50340420146253</v>
      </c>
    </row>
    <row r="750" spans="1:9">
      <c r="A750">
        <v>748</v>
      </c>
      <c r="B750">
        <v>9</v>
      </c>
      <c r="C750">
        <v>6680</v>
      </c>
      <c r="D750">
        <v>6752</v>
      </c>
      <c r="E750" s="4">
        <f t="shared" si="45"/>
        <v>1</v>
      </c>
      <c r="F750" s="4">
        <f t="shared" si="46"/>
        <v>72</v>
      </c>
      <c r="G750" s="4">
        <f t="shared" si="48"/>
        <v>1.1617483595682887E-4</v>
      </c>
      <c r="H750" s="4">
        <f t="shared" si="47"/>
        <v>5184</v>
      </c>
      <c r="I750" s="5">
        <f>SQRT(SUM('r-pi-multi'!$D$3:D750)/COUNTIF($A$3:A750,"&lt;&gt;0"))</f>
        <v>78.508421156671915</v>
      </c>
    </row>
    <row r="751" spans="1:9">
      <c r="A751">
        <v>749</v>
      </c>
      <c r="B751">
        <v>9</v>
      </c>
      <c r="C751">
        <v>6680</v>
      </c>
      <c r="D751">
        <v>6418</v>
      </c>
      <c r="E751" s="4">
        <f t="shared" si="45"/>
        <v>1</v>
      </c>
      <c r="F751" s="4">
        <f t="shared" si="46"/>
        <v>262</v>
      </c>
      <c r="G751" s="4">
        <f t="shared" si="48"/>
        <v>1.5383305245795836E-3</v>
      </c>
      <c r="H751" s="4">
        <f t="shared" si="47"/>
        <v>68644</v>
      </c>
      <c r="I751" s="5">
        <f>SQRT(SUM('r-pi-multi'!$D$3:D751)/COUNTIF($A$3:A751,"&lt;&gt;0"))</f>
        <v>78.51058452533654</v>
      </c>
    </row>
    <row r="752" spans="1:9">
      <c r="A752">
        <v>750</v>
      </c>
      <c r="B752">
        <v>10</v>
      </c>
      <c r="C752">
        <v>6680</v>
      </c>
      <c r="D752">
        <v>7135</v>
      </c>
      <c r="E752" s="4">
        <f t="shared" si="45"/>
        <v>1</v>
      </c>
      <c r="F752" s="4">
        <f t="shared" si="46"/>
        <v>455</v>
      </c>
      <c r="G752" s="4">
        <f t="shared" si="48"/>
        <v>4.6394859980637519E-3</v>
      </c>
      <c r="H752" s="4">
        <f t="shared" si="47"/>
        <v>207025</v>
      </c>
      <c r="I752" s="5">
        <f>SQRT(SUM('r-pi-multi'!$D$3:D752)/COUNTIF($A$3:A752,"&lt;&gt;0"))</f>
        <v>78.518830013358368</v>
      </c>
    </row>
    <row r="753" spans="1:9">
      <c r="A753">
        <v>751</v>
      </c>
      <c r="B753">
        <v>9</v>
      </c>
      <c r="C753">
        <v>4600</v>
      </c>
      <c r="D753">
        <v>6661</v>
      </c>
      <c r="E753" s="4">
        <f t="shared" si="45"/>
        <v>0</v>
      </c>
      <c r="F753" s="4">
        <f t="shared" si="46"/>
        <v>2061</v>
      </c>
      <c r="G753" s="4">
        <f t="shared" si="48"/>
        <v>0.20074295841209827</v>
      </c>
      <c r="H753" s="4">
        <f t="shared" si="47"/>
        <v>4247721</v>
      </c>
      <c r="I753" s="5">
        <f>SQRT(SUM('r-pi-multi'!$D$3:D753)/COUNTIF($A$3:A753,"&lt;&gt;0"))</f>
        <v>78.523033844902628</v>
      </c>
    </row>
    <row r="754" spans="1:9">
      <c r="A754">
        <v>752</v>
      </c>
      <c r="B754">
        <v>9</v>
      </c>
      <c r="C754">
        <v>4600</v>
      </c>
      <c r="D754">
        <v>6735</v>
      </c>
      <c r="E754" s="4">
        <f t="shared" si="45"/>
        <v>0</v>
      </c>
      <c r="F754" s="4">
        <f t="shared" si="46"/>
        <v>2135</v>
      </c>
      <c r="G754" s="4">
        <f t="shared" si="48"/>
        <v>0.21541706049149337</v>
      </c>
      <c r="H754" s="4">
        <f t="shared" si="47"/>
        <v>4558225</v>
      </c>
      <c r="I754" s="5">
        <f>SQRT(SUM('r-pi-multi'!$D$3:D754)/COUNTIF($A$3:A754,"&lt;&gt;0"))</f>
        <v>78.527852830780787</v>
      </c>
    </row>
    <row r="755" spans="1:9">
      <c r="A755">
        <v>753</v>
      </c>
      <c r="B755">
        <v>9</v>
      </c>
      <c r="C755">
        <v>4600</v>
      </c>
      <c r="D755">
        <v>6558</v>
      </c>
      <c r="E755" s="4">
        <f t="shared" si="45"/>
        <v>0</v>
      </c>
      <c r="F755" s="4">
        <f t="shared" si="46"/>
        <v>1958</v>
      </c>
      <c r="G755" s="4">
        <f t="shared" si="48"/>
        <v>0.18117977315689981</v>
      </c>
      <c r="H755" s="4">
        <f t="shared" si="47"/>
        <v>3833764</v>
      </c>
      <c r="I755" s="5">
        <f>SQRT(SUM('r-pi-multi'!$D$3:D755)/COUNTIF($A$3:A755,"&lt;&gt;0"))</f>
        <v>78.531162135134736</v>
      </c>
    </row>
    <row r="756" spans="1:9">
      <c r="A756">
        <v>754</v>
      </c>
      <c r="B756">
        <v>8</v>
      </c>
      <c r="C756">
        <v>4600</v>
      </c>
      <c r="D756">
        <v>6288</v>
      </c>
      <c r="E756" s="4">
        <f t="shared" si="45"/>
        <v>0</v>
      </c>
      <c r="F756" s="4">
        <f t="shared" si="46"/>
        <v>1688</v>
      </c>
      <c r="G756" s="4">
        <f t="shared" si="48"/>
        <v>0.13465708884688093</v>
      </c>
      <c r="H756" s="4">
        <f t="shared" si="47"/>
        <v>2849344</v>
      </c>
      <c r="I756" s="5">
        <f>SQRT(SUM('r-pi-multi'!$D$3:D756)/COUNTIF($A$3:A756,"&lt;&gt;0"))</f>
        <v>78.532182661173067</v>
      </c>
    </row>
    <row r="757" spans="1:9">
      <c r="A757">
        <v>755</v>
      </c>
      <c r="B757">
        <v>8</v>
      </c>
      <c r="C757">
        <v>4600</v>
      </c>
      <c r="D757">
        <v>6288</v>
      </c>
      <c r="E757" s="4">
        <f t="shared" si="45"/>
        <v>0</v>
      </c>
      <c r="F757" s="4">
        <f t="shared" si="46"/>
        <v>1688</v>
      </c>
      <c r="G757" s="4">
        <f t="shared" si="48"/>
        <v>0.13465708884688093</v>
      </c>
      <c r="H757" s="4">
        <f t="shared" si="47"/>
        <v>2849344</v>
      </c>
      <c r="I757" s="5">
        <f>SQRT(SUM('r-pi-multi'!$D$3:D757)/COUNTIF($A$3:A757,"&lt;&gt;0"))</f>
        <v>78.533200470622234</v>
      </c>
    </row>
    <row r="758" spans="1:9">
      <c r="A758">
        <v>756</v>
      </c>
      <c r="B758">
        <v>8</v>
      </c>
      <c r="C758">
        <v>4600</v>
      </c>
      <c r="D758">
        <v>6270</v>
      </c>
      <c r="E758" s="4">
        <f t="shared" si="45"/>
        <v>0</v>
      </c>
      <c r="F758" s="4">
        <f t="shared" si="46"/>
        <v>1670</v>
      </c>
      <c r="G758" s="4">
        <f t="shared" si="48"/>
        <v>0.13180056710775048</v>
      </c>
      <c r="H758" s="4">
        <f t="shared" si="47"/>
        <v>2788900</v>
      </c>
      <c r="I758" s="5">
        <f>SQRT(SUM('r-pi-multi'!$D$3:D758)/COUNTIF($A$3:A758,"&lt;&gt;0"))</f>
        <v>78.534063987222808</v>
      </c>
    </row>
    <row r="759" spans="1:9">
      <c r="A759">
        <v>757</v>
      </c>
      <c r="B759">
        <v>8</v>
      </c>
      <c r="C759">
        <v>4600</v>
      </c>
      <c r="D759">
        <v>6242</v>
      </c>
      <c r="E759" s="4">
        <f t="shared" ref="E759:E822" si="49">IF(AND(D759&lt;=C759*1.2,D759&gt;=C759*0.8),1,0)</f>
        <v>0</v>
      </c>
      <c r="F759" s="4">
        <f t="shared" ref="F759:F822" si="50">ABS(C759-D759)</f>
        <v>1642</v>
      </c>
      <c r="G759" s="4">
        <f t="shared" si="48"/>
        <v>0.1274179584120983</v>
      </c>
      <c r="H759" s="4">
        <f t="shared" ref="H759:H822" si="51">POWER(F759,2)</f>
        <v>2696164</v>
      </c>
      <c r="I759" s="5">
        <f>SQRT(SUM('r-pi-multi'!$D$3:D759)/COUNTIF($A$3:A759,"&lt;&gt;0"))</f>
        <v>78.534689724302538</v>
      </c>
    </row>
    <row r="760" spans="1:9">
      <c r="A760">
        <v>758</v>
      </c>
      <c r="B760">
        <v>8</v>
      </c>
      <c r="C760">
        <v>4600</v>
      </c>
      <c r="D760">
        <v>6345</v>
      </c>
      <c r="E760" s="4">
        <f t="shared" si="49"/>
        <v>0</v>
      </c>
      <c r="F760" s="4">
        <f t="shared" si="50"/>
        <v>1745</v>
      </c>
      <c r="G760" s="4">
        <f t="shared" si="48"/>
        <v>0.14390477315689978</v>
      </c>
      <c r="H760" s="4">
        <f t="shared" si="51"/>
        <v>3045025</v>
      </c>
      <c r="I760" s="5">
        <f>SQRT(SUM('r-pi-multi'!$D$3:D760)/COUNTIF($A$3:A760,"&lt;&gt;0"))</f>
        <v>78.536178914032263</v>
      </c>
    </row>
    <row r="761" spans="1:9">
      <c r="A761">
        <v>759</v>
      </c>
      <c r="B761">
        <v>8</v>
      </c>
      <c r="C761">
        <v>4600</v>
      </c>
      <c r="D761">
        <v>6266</v>
      </c>
      <c r="E761" s="4">
        <f t="shared" si="49"/>
        <v>0</v>
      </c>
      <c r="F761" s="4">
        <f t="shared" si="50"/>
        <v>1666</v>
      </c>
      <c r="G761" s="4">
        <f t="shared" si="48"/>
        <v>0.13116994328922493</v>
      </c>
      <c r="H761" s="4">
        <f t="shared" si="51"/>
        <v>2775556</v>
      </c>
      <c r="I761" s="5">
        <f>SQRT(SUM('r-pi-multi'!$D$3:D761)/COUNTIF($A$3:A761,"&lt;&gt;0"))</f>
        <v>78.537001509228801</v>
      </c>
    </row>
    <row r="762" spans="1:9">
      <c r="A762">
        <v>760</v>
      </c>
      <c r="B762">
        <v>7</v>
      </c>
      <c r="C762">
        <v>4600</v>
      </c>
      <c r="D762">
        <v>5560</v>
      </c>
      <c r="E762" s="4">
        <f t="shared" si="49"/>
        <v>0</v>
      </c>
      <c r="F762" s="4">
        <f t="shared" si="50"/>
        <v>960</v>
      </c>
      <c r="G762" s="4">
        <f t="shared" si="48"/>
        <v>4.3553875236294892E-2</v>
      </c>
      <c r="H762" s="4">
        <f t="shared" si="51"/>
        <v>921600</v>
      </c>
      <c r="I762" s="5">
        <f>SQRT(SUM('r-pi-multi'!$D$3:D762)/COUNTIF($A$3:A762,"&lt;&gt;0"))</f>
        <v>78.53190769563534</v>
      </c>
    </row>
    <row r="763" spans="1:9">
      <c r="A763">
        <v>761</v>
      </c>
      <c r="B763">
        <v>8</v>
      </c>
      <c r="C763">
        <v>4600</v>
      </c>
      <c r="D763">
        <v>6160</v>
      </c>
      <c r="E763" s="4">
        <f t="shared" si="49"/>
        <v>0</v>
      </c>
      <c r="F763" s="4">
        <f t="shared" si="50"/>
        <v>1560</v>
      </c>
      <c r="G763" s="4">
        <f t="shared" si="48"/>
        <v>0.1150094517958412</v>
      </c>
      <c r="H763" s="4">
        <f t="shared" si="51"/>
        <v>2433600</v>
      </c>
      <c r="I763" s="5">
        <f>SQRT(SUM('r-pi-multi'!$D$3:D763)/COUNTIF($A$3:A763,"&lt;&gt;0"))</f>
        <v>78.531846951063969</v>
      </c>
    </row>
    <row r="764" spans="1:9">
      <c r="A764">
        <v>762</v>
      </c>
      <c r="B764">
        <v>7</v>
      </c>
      <c r="C764">
        <v>4600</v>
      </c>
      <c r="D764">
        <v>5471</v>
      </c>
      <c r="E764" s="4">
        <f t="shared" si="49"/>
        <v>1</v>
      </c>
      <c r="F764" s="4">
        <f t="shared" si="50"/>
        <v>871</v>
      </c>
      <c r="G764" s="4">
        <f t="shared" si="48"/>
        <v>3.585259924385633E-2</v>
      </c>
      <c r="H764" s="4">
        <f t="shared" si="51"/>
        <v>758641</v>
      </c>
      <c r="I764" s="5">
        <f>SQRT(SUM('r-pi-multi'!$D$3:D764)/COUNTIF($A$3:A764,"&lt;&gt;0"))</f>
        <v>78.526029253625239</v>
      </c>
    </row>
    <row r="765" spans="1:9">
      <c r="A765">
        <v>763</v>
      </c>
      <c r="B765">
        <v>7</v>
      </c>
      <c r="C765">
        <v>4600</v>
      </c>
      <c r="D765">
        <v>5605</v>
      </c>
      <c r="E765" s="4">
        <f t="shared" si="49"/>
        <v>0</v>
      </c>
      <c r="F765" s="4">
        <f t="shared" si="50"/>
        <v>1005</v>
      </c>
      <c r="G765" s="4">
        <f t="shared" si="48"/>
        <v>4.7732750472589784E-2</v>
      </c>
      <c r="H765" s="4">
        <f t="shared" si="51"/>
        <v>1010025</v>
      </c>
      <c r="I765" s="5">
        <f>SQRT(SUM('r-pi-multi'!$D$3:D765)/COUNTIF($A$3:A765,"&lt;&gt;0"))</f>
        <v>78.521344695179465</v>
      </c>
    </row>
    <row r="766" spans="1:9">
      <c r="A766">
        <v>764</v>
      </c>
      <c r="B766">
        <v>7</v>
      </c>
      <c r="C766">
        <v>4600</v>
      </c>
      <c r="D766">
        <v>5607</v>
      </c>
      <c r="E766" s="4">
        <f t="shared" si="49"/>
        <v>0</v>
      </c>
      <c r="F766" s="4">
        <f t="shared" si="50"/>
        <v>1007</v>
      </c>
      <c r="G766" s="4">
        <f t="shared" si="48"/>
        <v>4.7922920604914938E-2</v>
      </c>
      <c r="H766" s="4">
        <f t="shared" si="51"/>
        <v>1014049</v>
      </c>
      <c r="I766" s="5">
        <f>SQRT(SUM('r-pi-multi'!$D$3:D766)/COUNTIF($A$3:A766,"&lt;&gt;0"))</f>
        <v>78.516688791926057</v>
      </c>
    </row>
    <row r="767" spans="1:9">
      <c r="A767">
        <v>765</v>
      </c>
      <c r="B767">
        <v>7</v>
      </c>
      <c r="C767">
        <v>4600</v>
      </c>
      <c r="D767">
        <v>5548</v>
      </c>
      <c r="E767" s="4">
        <f t="shared" si="49"/>
        <v>0</v>
      </c>
      <c r="F767" s="4">
        <f t="shared" si="50"/>
        <v>948</v>
      </c>
      <c r="G767" s="4">
        <f t="shared" si="48"/>
        <v>4.2471833648393201E-2</v>
      </c>
      <c r="H767" s="4">
        <f t="shared" si="51"/>
        <v>898704</v>
      </c>
      <c r="I767" s="5">
        <f>SQRT(SUM('r-pi-multi'!$D$3:D767)/COUNTIF($A$3:A767,"&lt;&gt;0"))</f>
        <v>78.51155362293872</v>
      </c>
    </row>
    <row r="768" spans="1:9">
      <c r="A768">
        <v>766</v>
      </c>
      <c r="B768">
        <v>7</v>
      </c>
      <c r="C768">
        <v>4600</v>
      </c>
      <c r="D768">
        <v>5630</v>
      </c>
      <c r="E768" s="4">
        <f t="shared" si="49"/>
        <v>0</v>
      </c>
      <c r="F768" s="4">
        <f t="shared" si="50"/>
        <v>1030</v>
      </c>
      <c r="G768" s="4">
        <f t="shared" si="48"/>
        <v>5.0137051039697546E-2</v>
      </c>
      <c r="H768" s="4">
        <f t="shared" si="51"/>
        <v>1060900</v>
      </c>
      <c r="I768" s="5">
        <f>SQRT(SUM('r-pi-multi'!$D$3:D768)/COUNTIF($A$3:A768,"&lt;&gt;0"))</f>
        <v>78.507113312941712</v>
      </c>
    </row>
    <row r="769" spans="1:9">
      <c r="A769">
        <v>767</v>
      </c>
      <c r="B769">
        <v>7</v>
      </c>
      <c r="C769">
        <v>4600</v>
      </c>
      <c r="D769">
        <v>5584</v>
      </c>
      <c r="E769" s="4">
        <f t="shared" si="49"/>
        <v>0</v>
      </c>
      <c r="F769" s="4">
        <f t="shared" si="50"/>
        <v>984</v>
      </c>
      <c r="G769" s="4">
        <f t="shared" si="48"/>
        <v>4.5758790170132325E-2</v>
      </c>
      <c r="H769" s="4">
        <f t="shared" si="51"/>
        <v>968256</v>
      </c>
      <c r="I769" s="5">
        <f>SQRT(SUM('r-pi-multi'!$D$3:D769)/COUNTIF($A$3:A769,"&lt;&gt;0"))</f>
        <v>78.502302343768804</v>
      </c>
    </row>
    <row r="770" spans="1:9">
      <c r="A770">
        <v>768</v>
      </c>
      <c r="B770">
        <v>7</v>
      </c>
      <c r="C770">
        <v>4600</v>
      </c>
      <c r="D770">
        <v>5615</v>
      </c>
      <c r="E770" s="4">
        <f t="shared" si="49"/>
        <v>0</v>
      </c>
      <c r="F770" s="4">
        <f t="shared" si="50"/>
        <v>1015</v>
      </c>
      <c r="G770" s="4">
        <f t="shared" si="48"/>
        <v>4.8687381852551989E-2</v>
      </c>
      <c r="H770" s="4">
        <f t="shared" si="51"/>
        <v>1030225</v>
      </c>
      <c r="I770" s="5">
        <f>SQRT(SUM('r-pi-multi'!$D$3:D770)/COUNTIF($A$3:A770,"&lt;&gt;0"))</f>
        <v>78.497760716468846</v>
      </c>
    </row>
    <row r="771" spans="1:9">
      <c r="A771">
        <v>769</v>
      </c>
      <c r="B771">
        <v>7</v>
      </c>
      <c r="C771">
        <v>4600</v>
      </c>
      <c r="D771">
        <v>5539</v>
      </c>
      <c r="E771" s="4">
        <f t="shared" si="49"/>
        <v>0</v>
      </c>
      <c r="F771" s="4">
        <f t="shared" si="50"/>
        <v>939</v>
      </c>
      <c r="G771" s="4">
        <f t="shared" si="48"/>
        <v>4.1669234404536862E-2</v>
      </c>
      <c r="H771" s="4">
        <f t="shared" si="51"/>
        <v>881721</v>
      </c>
      <c r="I771" s="5">
        <f>SQRT(SUM('r-pi-multi'!$D$3:D771)/COUNTIF($A$3:A771,"&lt;&gt;0"))</f>
        <v>78.49260109416656</v>
      </c>
    </row>
    <row r="772" spans="1:9">
      <c r="A772">
        <v>770</v>
      </c>
      <c r="B772">
        <v>7</v>
      </c>
      <c r="C772">
        <v>4600</v>
      </c>
      <c r="D772">
        <v>5602</v>
      </c>
      <c r="E772" s="4">
        <f t="shared" si="49"/>
        <v>0</v>
      </c>
      <c r="F772" s="4">
        <f t="shared" si="50"/>
        <v>1002</v>
      </c>
      <c r="G772" s="4">
        <f t="shared" ref="G772:G835" si="52">POWER(ABS(C772-D772)/C772,2)</f>
        <v>4.7448204158790176E-2</v>
      </c>
      <c r="H772" s="4">
        <f t="shared" si="51"/>
        <v>1004004</v>
      </c>
      <c r="I772" s="5">
        <f>SQRT(SUM('r-pi-multi'!$D$3:D772)/COUNTIF($A$3:A772,"&lt;&gt;0"))</f>
        <v>78.487975752100638</v>
      </c>
    </row>
    <row r="773" spans="1:9">
      <c r="A773">
        <v>771</v>
      </c>
      <c r="B773">
        <v>6</v>
      </c>
      <c r="C773">
        <v>4600</v>
      </c>
      <c r="D773">
        <v>5083</v>
      </c>
      <c r="E773" s="4">
        <f t="shared" si="49"/>
        <v>1</v>
      </c>
      <c r="F773" s="4">
        <f t="shared" si="50"/>
        <v>483</v>
      </c>
      <c r="G773" s="4">
        <f t="shared" si="52"/>
        <v>1.1024999999999998E-2</v>
      </c>
      <c r="H773" s="4">
        <f t="shared" si="51"/>
        <v>233289</v>
      </c>
      <c r="I773" s="5">
        <f>SQRT(SUM('r-pi-multi'!$D$3:D773)/COUNTIF($A$3:A773,"&lt;&gt;0"))</f>
        <v>78.47907351991833</v>
      </c>
    </row>
    <row r="774" spans="1:9">
      <c r="A774">
        <v>772</v>
      </c>
      <c r="B774">
        <v>7</v>
      </c>
      <c r="C774">
        <v>4600</v>
      </c>
      <c r="D774">
        <v>4868</v>
      </c>
      <c r="E774" s="4">
        <f t="shared" si="49"/>
        <v>1</v>
      </c>
      <c r="F774" s="4">
        <f t="shared" si="50"/>
        <v>268</v>
      </c>
      <c r="G774" s="4">
        <f t="shared" si="52"/>
        <v>3.3943289224952745E-3</v>
      </c>
      <c r="H774" s="4">
        <f t="shared" si="51"/>
        <v>71824</v>
      </c>
      <c r="I774" s="5">
        <f>SQRT(SUM('r-pi-multi'!$D$3:D774)/COUNTIF($A$3:A774,"&lt;&gt;0"))</f>
        <v>78.468418781787548</v>
      </c>
    </row>
    <row r="775" spans="1:9">
      <c r="A775">
        <v>773</v>
      </c>
      <c r="B775">
        <v>7</v>
      </c>
      <c r="C775">
        <v>4600</v>
      </c>
      <c r="D775">
        <v>5442</v>
      </c>
      <c r="E775" s="4">
        <f t="shared" si="49"/>
        <v>1</v>
      </c>
      <c r="F775" s="4">
        <f t="shared" si="50"/>
        <v>842</v>
      </c>
      <c r="G775" s="4">
        <f t="shared" si="52"/>
        <v>3.3504914933837428E-2</v>
      </c>
      <c r="H775" s="4">
        <f t="shared" si="51"/>
        <v>708964</v>
      </c>
      <c r="I775" s="5">
        <f>SQRT(SUM('r-pi-multi'!$D$3:D775)/COUNTIF($A$3:A775,"&lt;&gt;0"))</f>
        <v>78.462522262168378</v>
      </c>
    </row>
    <row r="776" spans="1:9">
      <c r="A776">
        <v>774</v>
      </c>
      <c r="B776">
        <v>6</v>
      </c>
      <c r="C776">
        <v>4600</v>
      </c>
      <c r="D776">
        <v>5132</v>
      </c>
      <c r="E776" s="4">
        <f t="shared" si="49"/>
        <v>1</v>
      </c>
      <c r="F776" s="4">
        <f t="shared" si="50"/>
        <v>532</v>
      </c>
      <c r="G776" s="4">
        <f t="shared" si="52"/>
        <v>1.3375425330812856E-2</v>
      </c>
      <c r="H776" s="4">
        <f t="shared" si="51"/>
        <v>283024</v>
      </c>
      <c r="I776" s="5">
        <f>SQRT(SUM('r-pi-multi'!$D$3:D776)/COUNTIF($A$3:A776,"&lt;&gt;0"))</f>
        <v>78.454088023815416</v>
      </c>
    </row>
    <row r="777" spans="1:9">
      <c r="A777">
        <v>775</v>
      </c>
      <c r="B777">
        <v>6</v>
      </c>
      <c r="C777">
        <v>4600</v>
      </c>
      <c r="D777">
        <v>5164</v>
      </c>
      <c r="E777" s="4">
        <f t="shared" si="49"/>
        <v>1</v>
      </c>
      <c r="F777" s="4">
        <f t="shared" si="50"/>
        <v>564</v>
      </c>
      <c r="G777" s="4">
        <f t="shared" si="52"/>
        <v>1.5032892249527412E-2</v>
      </c>
      <c r="H777" s="4">
        <f t="shared" si="51"/>
        <v>318096</v>
      </c>
      <c r="I777" s="5">
        <f>SQRT(SUM('r-pi-multi'!$D$3:D777)/COUNTIF($A$3:A777,"&lt;&gt;0"))</f>
        <v>78.445937825296753</v>
      </c>
    </row>
    <row r="778" spans="1:9">
      <c r="A778">
        <v>776</v>
      </c>
      <c r="B778">
        <v>6</v>
      </c>
      <c r="C778">
        <v>4600</v>
      </c>
      <c r="D778">
        <v>5231</v>
      </c>
      <c r="E778" s="4">
        <f t="shared" si="49"/>
        <v>1</v>
      </c>
      <c r="F778" s="4">
        <f t="shared" si="50"/>
        <v>631</v>
      </c>
      <c r="G778" s="4">
        <f t="shared" si="52"/>
        <v>1.8816682419659735E-2</v>
      </c>
      <c r="H778" s="4">
        <f t="shared" si="51"/>
        <v>398161</v>
      </c>
      <c r="I778" s="5">
        <f>SQRT(SUM('r-pi-multi'!$D$3:D778)/COUNTIF($A$3:A778,"&lt;&gt;0"))</f>
        <v>78.438358160582595</v>
      </c>
    </row>
    <row r="779" spans="1:9">
      <c r="A779">
        <v>777</v>
      </c>
      <c r="B779">
        <v>6</v>
      </c>
      <c r="C779">
        <v>4600</v>
      </c>
      <c r="D779">
        <v>4539</v>
      </c>
      <c r="E779" s="4">
        <f t="shared" si="49"/>
        <v>1</v>
      </c>
      <c r="F779" s="4">
        <f t="shared" si="50"/>
        <v>61</v>
      </c>
      <c r="G779" s="4">
        <f t="shared" si="52"/>
        <v>1.7585066162570891E-4</v>
      </c>
      <c r="H779" s="4">
        <f t="shared" si="51"/>
        <v>3721</v>
      </c>
      <c r="I779" s="5">
        <f>SQRT(SUM('r-pi-multi'!$D$3:D779)/COUNTIF($A$3:A779,"&lt;&gt;0"))</f>
        <v>78.425119422920588</v>
      </c>
    </row>
    <row r="780" spans="1:9">
      <c r="A780">
        <v>778</v>
      </c>
      <c r="B780">
        <v>6</v>
      </c>
      <c r="C780">
        <v>4600</v>
      </c>
      <c r="D780">
        <v>4965</v>
      </c>
      <c r="E780" s="4">
        <f t="shared" si="49"/>
        <v>1</v>
      </c>
      <c r="F780" s="4">
        <f t="shared" si="50"/>
        <v>365</v>
      </c>
      <c r="G780" s="4">
        <f t="shared" si="52"/>
        <v>6.296077504725898E-3</v>
      </c>
      <c r="H780" s="4">
        <f t="shared" si="51"/>
        <v>133225</v>
      </c>
      <c r="I780" s="5">
        <f>SQRT(SUM('r-pi-multi'!$D$3:D780)/COUNTIF($A$3:A780,"&lt;&gt;0"))</f>
        <v>78.415403961250945</v>
      </c>
    </row>
    <row r="781" spans="1:9">
      <c r="A781">
        <v>779</v>
      </c>
      <c r="B781">
        <v>6</v>
      </c>
      <c r="C781">
        <v>4600</v>
      </c>
      <c r="D781">
        <v>4471</v>
      </c>
      <c r="E781" s="4">
        <f t="shared" si="49"/>
        <v>1</v>
      </c>
      <c r="F781" s="4">
        <f t="shared" si="50"/>
        <v>129</v>
      </c>
      <c r="G781" s="4">
        <f t="shared" si="52"/>
        <v>7.8643667296786389E-4</v>
      </c>
      <c r="H781" s="4">
        <f t="shared" si="51"/>
        <v>16641</v>
      </c>
      <c r="I781" s="5">
        <f>SQRT(SUM('r-pi-multi'!$D$3:D781)/COUNTIF($A$3:A781,"&lt;&gt;0"))</f>
        <v>78.401668133467652</v>
      </c>
    </row>
    <row r="782" spans="1:9">
      <c r="A782">
        <v>780</v>
      </c>
      <c r="B782">
        <v>6</v>
      </c>
      <c r="C782">
        <v>4600</v>
      </c>
      <c r="D782">
        <v>5161</v>
      </c>
      <c r="E782" s="4">
        <f t="shared" si="49"/>
        <v>1</v>
      </c>
      <c r="F782" s="4">
        <f t="shared" si="50"/>
        <v>561</v>
      </c>
      <c r="G782" s="4">
        <f t="shared" si="52"/>
        <v>1.4873393194706994E-2</v>
      </c>
      <c r="H782" s="4">
        <f t="shared" si="51"/>
        <v>314721</v>
      </c>
      <c r="I782" s="5">
        <f>SQRT(SUM('r-pi-multi'!$D$3:D782)/COUNTIF($A$3:A782,"&lt;&gt;0"))</f>
        <v>78.393607470939187</v>
      </c>
    </row>
    <row r="783" spans="1:9">
      <c r="A783">
        <v>781</v>
      </c>
      <c r="B783">
        <v>6</v>
      </c>
      <c r="C783">
        <v>4600</v>
      </c>
      <c r="D783">
        <v>5041</v>
      </c>
      <c r="E783" s="4">
        <f t="shared" si="49"/>
        <v>1</v>
      </c>
      <c r="F783" s="4">
        <f t="shared" si="50"/>
        <v>441</v>
      </c>
      <c r="G783" s="4">
        <f t="shared" si="52"/>
        <v>9.190973534971645E-3</v>
      </c>
      <c r="H783" s="4">
        <f t="shared" si="51"/>
        <v>194481</v>
      </c>
      <c r="I783" s="5">
        <f>SQRT(SUM('r-pi-multi'!$D$3:D783)/COUNTIF($A$3:A783,"&lt;&gt;0"))</f>
        <v>78.384586532620588</v>
      </c>
    </row>
    <row r="784" spans="1:9">
      <c r="A784">
        <v>782</v>
      </c>
      <c r="B784">
        <v>6</v>
      </c>
      <c r="C784">
        <v>4600</v>
      </c>
      <c r="D784">
        <v>5088</v>
      </c>
      <c r="E784" s="4">
        <f t="shared" si="49"/>
        <v>1</v>
      </c>
      <c r="F784" s="4">
        <f t="shared" si="50"/>
        <v>488</v>
      </c>
      <c r="G784" s="4">
        <f t="shared" si="52"/>
        <v>1.125444234404537E-2</v>
      </c>
      <c r="H784" s="4">
        <f t="shared" si="51"/>
        <v>238144</v>
      </c>
      <c r="I784" s="5">
        <f>SQRT(SUM('r-pi-multi'!$D$3:D784)/COUNTIF($A$3:A784,"&lt;&gt;0"))</f>
        <v>78.375971055385847</v>
      </c>
    </row>
    <row r="785" spans="1:9">
      <c r="A785">
        <v>783</v>
      </c>
      <c r="B785">
        <v>6</v>
      </c>
      <c r="C785">
        <v>4600</v>
      </c>
      <c r="D785">
        <v>5113</v>
      </c>
      <c r="E785" s="4">
        <f t="shared" si="49"/>
        <v>1</v>
      </c>
      <c r="F785" s="4">
        <f t="shared" si="50"/>
        <v>513</v>
      </c>
      <c r="G785" s="4">
        <f t="shared" si="52"/>
        <v>1.2437098298676749E-2</v>
      </c>
      <c r="H785" s="4">
        <f t="shared" si="51"/>
        <v>263169</v>
      </c>
      <c r="I785" s="5">
        <f>SQRT(SUM('r-pi-multi'!$D$3:D785)/COUNTIF($A$3:A785,"&lt;&gt;0"))</f>
        <v>78.367580350957994</v>
      </c>
    </row>
    <row r="786" spans="1:9">
      <c r="A786">
        <v>784</v>
      </c>
      <c r="B786">
        <v>6</v>
      </c>
      <c r="C786">
        <v>4600</v>
      </c>
      <c r="D786">
        <v>5115</v>
      </c>
      <c r="E786" s="4">
        <f t="shared" si="49"/>
        <v>1</v>
      </c>
      <c r="F786" s="4">
        <f t="shared" si="50"/>
        <v>515</v>
      </c>
      <c r="G786" s="4">
        <f t="shared" si="52"/>
        <v>1.2534262759924386E-2</v>
      </c>
      <c r="H786" s="4">
        <f t="shared" si="51"/>
        <v>265225</v>
      </c>
      <c r="I786" s="5">
        <f>SQRT(SUM('r-pi-multi'!$D$3:D786)/COUNTIF($A$3:A786,"&lt;&gt;0"))</f>
        <v>78.359226434076916</v>
      </c>
    </row>
    <row r="787" spans="1:9">
      <c r="A787">
        <v>785</v>
      </c>
      <c r="B787">
        <v>6</v>
      </c>
      <c r="C787">
        <v>4600</v>
      </c>
      <c r="D787">
        <v>5029</v>
      </c>
      <c r="E787" s="4">
        <f t="shared" si="49"/>
        <v>1</v>
      </c>
      <c r="F787" s="4">
        <f t="shared" si="50"/>
        <v>429</v>
      </c>
      <c r="G787" s="4">
        <f t="shared" si="52"/>
        <v>8.6975897920604922E-3</v>
      </c>
      <c r="H787" s="4">
        <f t="shared" si="51"/>
        <v>184041</v>
      </c>
      <c r="I787" s="5">
        <f>SQRT(SUM('r-pi-multi'!$D$3:D787)/COUNTIF($A$3:A787,"&lt;&gt;0"))</f>
        <v>78.350193785606166</v>
      </c>
    </row>
    <row r="788" spans="1:9">
      <c r="A788">
        <v>786</v>
      </c>
      <c r="B788">
        <v>6</v>
      </c>
      <c r="C788">
        <v>4600</v>
      </c>
      <c r="D788">
        <v>5143</v>
      </c>
      <c r="E788" s="4">
        <f t="shared" si="49"/>
        <v>1</v>
      </c>
      <c r="F788" s="4">
        <f t="shared" si="50"/>
        <v>543</v>
      </c>
      <c r="G788" s="4">
        <f t="shared" si="52"/>
        <v>1.3934262759924387E-2</v>
      </c>
      <c r="H788" s="4">
        <f t="shared" si="51"/>
        <v>294849</v>
      </c>
      <c r="I788" s="5">
        <f>SQRT(SUM('r-pi-multi'!$D$3:D788)/COUNTIF($A$3:A788,"&lt;&gt;0"))</f>
        <v>78.342108760800272</v>
      </c>
    </row>
    <row r="789" spans="1:9">
      <c r="A789">
        <v>787</v>
      </c>
      <c r="B789">
        <v>6</v>
      </c>
      <c r="C789">
        <v>4600</v>
      </c>
      <c r="D789">
        <v>5163</v>
      </c>
      <c r="E789" s="4">
        <f t="shared" si="49"/>
        <v>1</v>
      </c>
      <c r="F789" s="4">
        <f t="shared" si="50"/>
        <v>563</v>
      </c>
      <c r="G789" s="4">
        <f t="shared" si="52"/>
        <v>1.4979631379962194E-2</v>
      </c>
      <c r="H789" s="4">
        <f t="shared" si="51"/>
        <v>316969</v>
      </c>
      <c r="I789" s="5">
        <f>SQRT(SUM('r-pi-multi'!$D$3:D789)/COUNTIF($A$3:A789,"&lt;&gt;0"))</f>
        <v>78.334205659890017</v>
      </c>
    </row>
    <row r="790" spans="1:9">
      <c r="A790">
        <v>788</v>
      </c>
      <c r="B790">
        <v>6</v>
      </c>
      <c r="C790">
        <v>4600</v>
      </c>
      <c r="D790">
        <v>4981</v>
      </c>
      <c r="E790" s="4">
        <f t="shared" si="49"/>
        <v>1</v>
      </c>
      <c r="F790" s="4">
        <f t="shared" si="50"/>
        <v>381</v>
      </c>
      <c r="G790" s="4">
        <f t="shared" si="52"/>
        <v>6.860160680529301E-3</v>
      </c>
      <c r="H790" s="4">
        <f t="shared" si="51"/>
        <v>145161</v>
      </c>
      <c r="I790" s="5">
        <f>SQRT(SUM('r-pi-multi'!$D$3:D790)/COUNTIF($A$3:A790,"&lt;&gt;0"))</f>
        <v>78.324847436099901</v>
      </c>
    </row>
    <row r="791" spans="1:9">
      <c r="A791">
        <v>789</v>
      </c>
      <c r="B791">
        <v>6</v>
      </c>
      <c r="C791">
        <v>4600</v>
      </c>
      <c r="D791">
        <v>5125</v>
      </c>
      <c r="E791" s="4">
        <f t="shared" si="49"/>
        <v>1</v>
      </c>
      <c r="F791" s="4">
        <f t="shared" si="50"/>
        <v>525</v>
      </c>
      <c r="G791" s="4">
        <f t="shared" si="52"/>
        <v>1.3025756143667295E-2</v>
      </c>
      <c r="H791" s="4">
        <f t="shared" si="51"/>
        <v>275625</v>
      </c>
      <c r="I791" s="5">
        <f>SQRT(SUM('r-pi-multi'!$D$3:D791)/COUNTIF($A$3:A791,"&lt;&gt;0"))</f>
        <v>78.316677030762008</v>
      </c>
    </row>
    <row r="792" spans="1:9">
      <c r="A792">
        <v>790</v>
      </c>
      <c r="B792">
        <v>6</v>
      </c>
      <c r="C792">
        <v>4600</v>
      </c>
      <c r="D792">
        <v>5182</v>
      </c>
      <c r="E792" s="4">
        <f t="shared" si="49"/>
        <v>1</v>
      </c>
      <c r="F792" s="4">
        <f t="shared" si="50"/>
        <v>582</v>
      </c>
      <c r="G792" s="4">
        <f t="shared" si="52"/>
        <v>1.6007750472589795E-2</v>
      </c>
      <c r="H792" s="4">
        <f t="shared" si="51"/>
        <v>338724</v>
      </c>
      <c r="I792" s="5">
        <f>SQRT(SUM('r-pi-multi'!$D$3:D792)/COUNTIF($A$3:A792,"&lt;&gt;0"))</f>
        <v>78.308987149333191</v>
      </c>
    </row>
    <row r="793" spans="1:9">
      <c r="A793">
        <v>791</v>
      </c>
      <c r="B793">
        <v>6</v>
      </c>
      <c r="C793">
        <v>4600</v>
      </c>
      <c r="D793">
        <v>5122</v>
      </c>
      <c r="E793" s="4">
        <f t="shared" si="49"/>
        <v>1</v>
      </c>
      <c r="F793" s="4">
        <f t="shared" si="50"/>
        <v>522</v>
      </c>
      <c r="G793" s="4">
        <f t="shared" si="52"/>
        <v>1.2877315689981097E-2</v>
      </c>
      <c r="H793" s="4">
        <f t="shared" si="51"/>
        <v>272484</v>
      </c>
      <c r="I793" s="5">
        <f>SQRT(SUM('r-pi-multi'!$D$3:D793)/COUNTIF($A$3:A793,"&lt;&gt;0"))</f>
        <v>78.300831589198651</v>
      </c>
    </row>
    <row r="794" spans="1:9">
      <c r="A794">
        <v>792</v>
      </c>
      <c r="B794">
        <v>6</v>
      </c>
      <c r="C794">
        <v>4600</v>
      </c>
      <c r="D794">
        <v>5119</v>
      </c>
      <c r="E794" s="4">
        <f t="shared" si="49"/>
        <v>1</v>
      </c>
      <c r="F794" s="4">
        <f t="shared" si="50"/>
        <v>519</v>
      </c>
      <c r="G794" s="4">
        <f t="shared" si="52"/>
        <v>1.2729725897920605E-2</v>
      </c>
      <c r="H794" s="4">
        <f t="shared" si="51"/>
        <v>269361</v>
      </c>
      <c r="I794" s="5">
        <f>SQRT(SUM('r-pi-multi'!$D$3:D794)/COUNTIF($A$3:A794,"&lt;&gt;0"))</f>
        <v>78.292671587080378</v>
      </c>
    </row>
    <row r="795" spans="1:9">
      <c r="A795">
        <v>793</v>
      </c>
      <c r="B795">
        <v>6</v>
      </c>
      <c r="C795">
        <v>4600</v>
      </c>
      <c r="D795">
        <v>5054</v>
      </c>
      <c r="E795" s="4">
        <f t="shared" si="49"/>
        <v>1</v>
      </c>
      <c r="F795" s="4">
        <f t="shared" si="50"/>
        <v>454</v>
      </c>
      <c r="G795" s="4">
        <f t="shared" si="52"/>
        <v>9.7408317580340263E-3</v>
      </c>
      <c r="H795" s="4">
        <f t="shared" si="51"/>
        <v>206116</v>
      </c>
      <c r="I795" s="5">
        <f>SQRT(SUM('r-pi-multi'!$D$3:D795)/COUNTIF($A$3:A795,"&lt;&gt;0"))</f>
        <v>78.284007794815054</v>
      </c>
    </row>
    <row r="796" spans="1:9">
      <c r="A796">
        <v>794</v>
      </c>
      <c r="B796">
        <v>6</v>
      </c>
      <c r="C796">
        <v>4600</v>
      </c>
      <c r="D796">
        <v>5149</v>
      </c>
      <c r="E796" s="4">
        <f t="shared" si="49"/>
        <v>1</v>
      </c>
      <c r="F796" s="4">
        <f t="shared" si="50"/>
        <v>549</v>
      </c>
      <c r="G796" s="4">
        <f t="shared" si="52"/>
        <v>1.4243903591682419E-2</v>
      </c>
      <c r="H796" s="4">
        <f t="shared" si="51"/>
        <v>301401</v>
      </c>
      <c r="I796" s="5">
        <f>SQRT(SUM('r-pi-multi'!$D$3:D796)/COUNTIF($A$3:A796,"&lt;&gt;0"))</f>
        <v>78.276129138755337</v>
      </c>
    </row>
    <row r="797" spans="1:9">
      <c r="A797">
        <v>795</v>
      </c>
      <c r="B797">
        <v>5</v>
      </c>
      <c r="C797">
        <v>4600</v>
      </c>
      <c r="D797">
        <v>4300</v>
      </c>
      <c r="E797" s="4">
        <f t="shared" si="49"/>
        <v>1</v>
      </c>
      <c r="F797" s="4">
        <f t="shared" si="50"/>
        <v>300</v>
      </c>
      <c r="G797" s="4">
        <f t="shared" si="52"/>
        <v>4.2533081285444233E-3</v>
      </c>
      <c r="H797" s="4">
        <f t="shared" si="51"/>
        <v>90000</v>
      </c>
      <c r="I797" s="5">
        <f>SQRT(SUM('r-pi-multi'!$D$3:D797)/COUNTIF($A$3:A797,"&lt;&gt;0"))</f>
        <v>78.261447009688709</v>
      </c>
    </row>
    <row r="798" spans="1:9">
      <c r="A798">
        <v>796</v>
      </c>
      <c r="B798">
        <v>6</v>
      </c>
      <c r="C798">
        <v>4600</v>
      </c>
      <c r="D798">
        <v>5059</v>
      </c>
      <c r="E798" s="4">
        <f t="shared" si="49"/>
        <v>1</v>
      </c>
      <c r="F798" s="4">
        <f t="shared" si="50"/>
        <v>459</v>
      </c>
      <c r="G798" s="4">
        <f t="shared" si="52"/>
        <v>9.9565689981096408E-3</v>
      </c>
      <c r="H798" s="4">
        <f t="shared" si="51"/>
        <v>210681</v>
      </c>
      <c r="I798" s="5">
        <f>SQRT(SUM('r-pi-multi'!$D$3:D798)/COUNTIF($A$3:A798,"&lt;&gt;0"))</f>
        <v>78.252891802008733</v>
      </c>
    </row>
    <row r="799" spans="1:9">
      <c r="A799">
        <v>797</v>
      </c>
      <c r="B799">
        <v>5</v>
      </c>
      <c r="C799">
        <v>4600</v>
      </c>
      <c r="D799">
        <v>4187</v>
      </c>
      <c r="E799" s="4">
        <f t="shared" si="49"/>
        <v>1</v>
      </c>
      <c r="F799" s="4">
        <f t="shared" si="50"/>
        <v>413</v>
      </c>
      <c r="G799" s="4">
        <f t="shared" si="52"/>
        <v>8.0609168241965977E-3</v>
      </c>
      <c r="H799" s="4">
        <f t="shared" si="51"/>
        <v>170569</v>
      </c>
      <c r="I799" s="5">
        <f>SQRT(SUM('r-pi-multi'!$D$3:D799)/COUNTIF($A$3:A799,"&lt;&gt;0"))</f>
        <v>78.23736524161464</v>
      </c>
    </row>
    <row r="800" spans="1:9">
      <c r="A800">
        <v>798</v>
      </c>
      <c r="B800">
        <v>6</v>
      </c>
      <c r="C800">
        <v>4600</v>
      </c>
      <c r="D800">
        <v>5164</v>
      </c>
      <c r="E800" s="4">
        <f t="shared" si="49"/>
        <v>1</v>
      </c>
      <c r="F800" s="4">
        <f t="shared" si="50"/>
        <v>564</v>
      </c>
      <c r="G800" s="4">
        <f t="shared" si="52"/>
        <v>1.5032892249527412E-2</v>
      </c>
      <c r="H800" s="4">
        <f t="shared" si="51"/>
        <v>318096</v>
      </c>
      <c r="I800" s="5">
        <f>SQRT(SUM('r-pi-multi'!$D$3:D800)/COUNTIF($A$3:A800,"&lt;&gt;0"))</f>
        <v>78.229700018038415</v>
      </c>
    </row>
    <row r="801" spans="1:9">
      <c r="A801">
        <v>799</v>
      </c>
      <c r="B801">
        <v>5</v>
      </c>
      <c r="C801">
        <v>4600</v>
      </c>
      <c r="D801">
        <v>4328</v>
      </c>
      <c r="E801" s="4">
        <f t="shared" si="49"/>
        <v>1</v>
      </c>
      <c r="F801" s="4">
        <f t="shared" si="50"/>
        <v>272</v>
      </c>
      <c r="G801" s="4">
        <f t="shared" si="52"/>
        <v>3.4964083175803404E-3</v>
      </c>
      <c r="H801" s="4">
        <f t="shared" si="51"/>
        <v>73984</v>
      </c>
      <c r="I801" s="5">
        <f>SQRT(SUM('r-pi-multi'!$D$3:D801)/COUNTIF($A$3:A801,"&lt;&gt;0"))</f>
        <v>78.215364885233143</v>
      </c>
    </row>
    <row r="802" spans="1:9">
      <c r="A802">
        <v>800</v>
      </c>
      <c r="B802">
        <v>6</v>
      </c>
      <c r="C802">
        <v>4600</v>
      </c>
      <c r="D802">
        <v>5176</v>
      </c>
      <c r="E802" s="4">
        <f t="shared" si="49"/>
        <v>1</v>
      </c>
      <c r="F802" s="4">
        <f t="shared" si="50"/>
        <v>576</v>
      </c>
      <c r="G802" s="4">
        <f t="shared" si="52"/>
        <v>1.5679395085066165E-2</v>
      </c>
      <c r="H802" s="4">
        <f t="shared" si="51"/>
        <v>331776</v>
      </c>
      <c r="I802" s="5">
        <f>SQRT(SUM('r-pi-multi'!$D$3:D802)/COUNTIF($A$3:A802,"&lt;&gt;0"))</f>
        <v>78.207840080135185</v>
      </c>
    </row>
    <row r="803" spans="1:9">
      <c r="A803">
        <v>801</v>
      </c>
      <c r="B803">
        <v>5</v>
      </c>
      <c r="C803">
        <v>4600</v>
      </c>
      <c r="D803">
        <v>4308</v>
      </c>
      <c r="E803" s="4">
        <f t="shared" si="49"/>
        <v>1</v>
      </c>
      <c r="F803" s="4">
        <f t="shared" si="50"/>
        <v>292</v>
      </c>
      <c r="G803" s="4">
        <f t="shared" si="52"/>
        <v>4.0294896030245754E-3</v>
      </c>
      <c r="H803" s="4">
        <f t="shared" si="51"/>
        <v>85264</v>
      </c>
      <c r="I803" s="5">
        <f>SQRT(SUM('r-pi-multi'!$D$3:D803)/COUNTIF($A$3:A803,"&lt;&gt;0"))</f>
        <v>78.193404385461207</v>
      </c>
    </row>
    <row r="804" spans="1:9">
      <c r="A804">
        <v>802</v>
      </c>
      <c r="B804">
        <v>6</v>
      </c>
      <c r="C804">
        <v>4600</v>
      </c>
      <c r="D804">
        <v>5080</v>
      </c>
      <c r="E804" s="4">
        <f t="shared" si="49"/>
        <v>1</v>
      </c>
      <c r="F804" s="4">
        <f t="shared" si="50"/>
        <v>480</v>
      </c>
      <c r="G804" s="4">
        <f t="shared" si="52"/>
        <v>1.0888468809073723E-2</v>
      </c>
      <c r="H804" s="4">
        <f t="shared" si="51"/>
        <v>230400</v>
      </c>
      <c r="I804" s="5">
        <f>SQRT(SUM('r-pi-multi'!$D$3:D804)/COUNTIF($A$3:A804,"&lt;&gt;0"))</f>
        <v>78.18515813515026</v>
      </c>
    </row>
    <row r="805" spans="1:9">
      <c r="A805">
        <v>803</v>
      </c>
      <c r="B805">
        <v>5</v>
      </c>
      <c r="C805">
        <v>4600</v>
      </c>
      <c r="D805">
        <v>4317</v>
      </c>
      <c r="E805" s="4">
        <f t="shared" si="49"/>
        <v>1</v>
      </c>
      <c r="F805" s="4">
        <f t="shared" si="50"/>
        <v>283</v>
      </c>
      <c r="G805" s="4">
        <f t="shared" si="52"/>
        <v>3.7849243856332699E-3</v>
      </c>
      <c r="H805" s="4">
        <f t="shared" si="51"/>
        <v>80089</v>
      </c>
      <c r="I805" s="5">
        <f>SQRT(SUM('r-pi-multi'!$D$3:D805)/COUNTIF($A$3:A805,"&lt;&gt;0"))</f>
        <v>78.170854164751361</v>
      </c>
    </row>
    <row r="806" spans="1:9">
      <c r="A806">
        <v>804</v>
      </c>
      <c r="B806">
        <v>6</v>
      </c>
      <c r="C806">
        <v>4600</v>
      </c>
      <c r="D806">
        <v>5139</v>
      </c>
      <c r="E806" s="4">
        <f t="shared" si="49"/>
        <v>1</v>
      </c>
      <c r="F806" s="4">
        <f t="shared" si="50"/>
        <v>539</v>
      </c>
      <c r="G806" s="4">
        <f t="shared" si="52"/>
        <v>1.3729725897920606E-2</v>
      </c>
      <c r="H806" s="4">
        <f t="shared" si="51"/>
        <v>290521</v>
      </c>
      <c r="I806" s="5">
        <f>SQRT(SUM('r-pi-multi'!$D$3:D806)/COUNTIF($A$3:A806,"&lt;&gt;0"))</f>
        <v>78.163123534036274</v>
      </c>
    </row>
    <row r="807" spans="1:9">
      <c r="A807">
        <v>805</v>
      </c>
      <c r="B807">
        <v>5</v>
      </c>
      <c r="C807">
        <v>4600</v>
      </c>
      <c r="D807">
        <v>4277</v>
      </c>
      <c r="E807" s="4">
        <f t="shared" si="49"/>
        <v>1</v>
      </c>
      <c r="F807" s="4">
        <f t="shared" si="50"/>
        <v>323</v>
      </c>
      <c r="G807" s="4">
        <f t="shared" si="52"/>
        <v>4.9304820415879023E-3</v>
      </c>
      <c r="H807" s="4">
        <f t="shared" si="51"/>
        <v>104329</v>
      </c>
      <c r="I807" s="5">
        <f>SQRT(SUM('r-pi-multi'!$D$3:D807)/COUNTIF($A$3:A807,"&lt;&gt;0"))</f>
        <v>78.148560546742956</v>
      </c>
    </row>
    <row r="808" spans="1:9">
      <c r="A808">
        <v>806</v>
      </c>
      <c r="B808">
        <v>6</v>
      </c>
      <c r="C808">
        <v>4600</v>
      </c>
      <c r="D808">
        <v>5132</v>
      </c>
      <c r="E808" s="4">
        <f t="shared" si="49"/>
        <v>1</v>
      </c>
      <c r="F808" s="4">
        <f t="shared" si="50"/>
        <v>532</v>
      </c>
      <c r="G808" s="4">
        <f t="shared" si="52"/>
        <v>1.3375425330812856E-2</v>
      </c>
      <c r="H808" s="4">
        <f t="shared" si="51"/>
        <v>283024</v>
      </c>
      <c r="I808" s="5">
        <f>SQRT(SUM('r-pi-multi'!$D$3:D808)/COUNTIF($A$3:A808,"&lt;&gt;0"))</f>
        <v>78.140818993993847</v>
      </c>
    </row>
    <row r="809" spans="1:9">
      <c r="A809">
        <v>807</v>
      </c>
      <c r="B809">
        <v>5</v>
      </c>
      <c r="C809">
        <v>4600</v>
      </c>
      <c r="D809">
        <v>4253</v>
      </c>
      <c r="E809" s="4">
        <f t="shared" si="49"/>
        <v>1</v>
      </c>
      <c r="F809" s="4">
        <f t="shared" si="50"/>
        <v>347</v>
      </c>
      <c r="G809" s="4">
        <f t="shared" si="52"/>
        <v>5.6904064272211728E-3</v>
      </c>
      <c r="H809" s="4">
        <f t="shared" si="51"/>
        <v>120409</v>
      </c>
      <c r="I809" s="5">
        <f>SQRT(SUM('r-pi-multi'!$D$3:D809)/COUNTIF($A$3:A809,"&lt;&gt;0"))</f>
        <v>78.12612527070651</v>
      </c>
    </row>
    <row r="810" spans="1:9">
      <c r="A810">
        <v>808</v>
      </c>
      <c r="B810">
        <v>6</v>
      </c>
      <c r="C810">
        <v>4600</v>
      </c>
      <c r="D810">
        <v>5167</v>
      </c>
      <c r="E810" s="4">
        <f t="shared" si="49"/>
        <v>1</v>
      </c>
      <c r="F810" s="4">
        <f t="shared" si="50"/>
        <v>567</v>
      </c>
      <c r="G810" s="4">
        <f t="shared" si="52"/>
        <v>1.5193241965973535E-2</v>
      </c>
      <c r="H810" s="4">
        <f t="shared" si="51"/>
        <v>321489</v>
      </c>
      <c r="I810" s="5">
        <f>SQRT(SUM('r-pi-multi'!$D$3:D810)/COUNTIF($A$3:A810,"&lt;&gt;0"))</f>
        <v>78.118705687036453</v>
      </c>
    </row>
    <row r="811" spans="1:9">
      <c r="A811">
        <v>809</v>
      </c>
      <c r="B811">
        <v>5</v>
      </c>
      <c r="C811">
        <v>4600</v>
      </c>
      <c r="D811">
        <v>4299</v>
      </c>
      <c r="E811" s="4">
        <f t="shared" si="49"/>
        <v>1</v>
      </c>
      <c r="F811" s="4">
        <f t="shared" si="50"/>
        <v>301</v>
      </c>
      <c r="G811" s="4">
        <f t="shared" si="52"/>
        <v>4.2817107750472583E-3</v>
      </c>
      <c r="H811" s="4">
        <f t="shared" si="51"/>
        <v>90601</v>
      </c>
      <c r="I811" s="5">
        <f>SQRT(SUM('r-pi-multi'!$D$3:D811)/COUNTIF($A$3:A811,"&lt;&gt;0"))</f>
        <v>78.10443548874845</v>
      </c>
    </row>
    <row r="812" spans="1:9">
      <c r="A812">
        <v>810</v>
      </c>
      <c r="B812">
        <v>6</v>
      </c>
      <c r="C812">
        <v>4600</v>
      </c>
      <c r="D812">
        <v>5146</v>
      </c>
      <c r="E812" s="4">
        <f t="shared" si="49"/>
        <v>1</v>
      </c>
      <c r="F812" s="4">
        <f t="shared" si="50"/>
        <v>546</v>
      </c>
      <c r="G812" s="4">
        <f t="shared" si="52"/>
        <v>1.4088657844990549E-2</v>
      </c>
      <c r="H812" s="4">
        <f t="shared" si="51"/>
        <v>298116</v>
      </c>
      <c r="I812" s="5">
        <f>SQRT(SUM('r-pi-multi'!$D$3:D812)/COUNTIF($A$3:A812,"&lt;&gt;0"))</f>
        <v>78.096892968658011</v>
      </c>
    </row>
    <row r="813" spans="1:9">
      <c r="A813">
        <v>811</v>
      </c>
      <c r="B813">
        <v>5</v>
      </c>
      <c r="C813">
        <v>4600</v>
      </c>
      <c r="D813">
        <v>4372</v>
      </c>
      <c r="E813" s="4">
        <f t="shared" si="49"/>
        <v>1</v>
      </c>
      <c r="F813" s="4">
        <f t="shared" si="50"/>
        <v>228</v>
      </c>
      <c r="G813" s="4">
        <f t="shared" si="52"/>
        <v>2.4567107750472585E-3</v>
      </c>
      <c r="H813" s="4">
        <f t="shared" si="51"/>
        <v>51984</v>
      </c>
      <c r="I813" s="5">
        <f>SQRT(SUM('r-pi-multi'!$D$3:D813)/COUNTIF($A$3:A813,"&lt;&gt;0"))</f>
        <v>78.083257282323387</v>
      </c>
    </row>
    <row r="814" spans="1:9">
      <c r="A814">
        <v>812</v>
      </c>
      <c r="B814">
        <v>5</v>
      </c>
      <c r="C814">
        <v>4600</v>
      </c>
      <c r="D814">
        <v>4308</v>
      </c>
      <c r="E814" s="4">
        <f t="shared" si="49"/>
        <v>1</v>
      </c>
      <c r="F814" s="4">
        <f t="shared" si="50"/>
        <v>292</v>
      </c>
      <c r="G814" s="4">
        <f t="shared" si="52"/>
        <v>4.0294896030245754E-3</v>
      </c>
      <c r="H814" s="4">
        <f t="shared" si="51"/>
        <v>85264</v>
      </c>
      <c r="I814" s="5">
        <f>SQRT(SUM('r-pi-multi'!$D$3:D814)/COUNTIF($A$3:A814,"&lt;&gt;0"))</f>
        <v>78.069148015853116</v>
      </c>
    </row>
    <row r="815" spans="1:9">
      <c r="A815">
        <v>813</v>
      </c>
      <c r="B815">
        <v>5</v>
      </c>
      <c r="C815">
        <v>4600</v>
      </c>
      <c r="D815">
        <v>4343</v>
      </c>
      <c r="E815" s="4">
        <f t="shared" si="49"/>
        <v>1</v>
      </c>
      <c r="F815" s="4">
        <f t="shared" si="50"/>
        <v>257</v>
      </c>
      <c r="G815" s="4">
        <f t="shared" si="52"/>
        <v>3.1214083175803401E-3</v>
      </c>
      <c r="H815" s="4">
        <f t="shared" si="51"/>
        <v>66049</v>
      </c>
      <c r="I815" s="5">
        <f>SQRT(SUM('r-pi-multi'!$D$3:D815)/COUNTIF($A$3:A815,"&lt;&gt;0"))</f>
        <v>78.055346686639368</v>
      </c>
    </row>
    <row r="816" spans="1:9">
      <c r="A816">
        <v>814</v>
      </c>
      <c r="B816">
        <v>6</v>
      </c>
      <c r="C816">
        <v>4600</v>
      </c>
      <c r="D816">
        <v>4815</v>
      </c>
      <c r="E816" s="4">
        <f t="shared" si="49"/>
        <v>1</v>
      </c>
      <c r="F816" s="4">
        <f t="shared" si="50"/>
        <v>215</v>
      </c>
      <c r="G816" s="4">
        <f t="shared" si="52"/>
        <v>2.184546313799622E-3</v>
      </c>
      <c r="H816" s="4">
        <f t="shared" si="51"/>
        <v>46225</v>
      </c>
      <c r="I816" s="5">
        <f>SQRT(SUM('r-pi-multi'!$D$3:D816)/COUNTIF($A$3:A816,"&lt;&gt;0"))</f>
        <v>78.045291770660754</v>
      </c>
    </row>
    <row r="817" spans="1:9">
      <c r="A817">
        <v>815</v>
      </c>
      <c r="B817">
        <v>5</v>
      </c>
      <c r="C817">
        <v>4600</v>
      </c>
      <c r="D817">
        <v>4288</v>
      </c>
      <c r="E817" s="4">
        <f t="shared" si="49"/>
        <v>1</v>
      </c>
      <c r="F817" s="4">
        <f t="shared" si="50"/>
        <v>312</v>
      </c>
      <c r="G817" s="4">
        <f t="shared" si="52"/>
        <v>4.6003780718336489E-3</v>
      </c>
      <c r="H817" s="4">
        <f t="shared" si="51"/>
        <v>97344</v>
      </c>
      <c r="I817" s="5">
        <f>SQRT(SUM('r-pi-multi'!$D$3:D817)/COUNTIF($A$3:A817,"&lt;&gt;0"))</f>
        <v>78.031116964477235</v>
      </c>
    </row>
    <row r="818" spans="1:9">
      <c r="A818">
        <v>816</v>
      </c>
      <c r="B818">
        <v>6</v>
      </c>
      <c r="C818">
        <v>4600</v>
      </c>
      <c r="D818">
        <v>5185</v>
      </c>
      <c r="E818" s="4">
        <f t="shared" si="49"/>
        <v>1</v>
      </c>
      <c r="F818" s="4">
        <f t="shared" si="50"/>
        <v>585</v>
      </c>
      <c r="G818" s="4">
        <f t="shared" si="52"/>
        <v>1.6173204158790169E-2</v>
      </c>
      <c r="H818" s="4">
        <f t="shared" si="51"/>
        <v>342225</v>
      </c>
      <c r="I818" s="5">
        <f>SQRT(SUM('r-pi-multi'!$D$3:D818)/COUNTIF($A$3:A818,"&lt;&gt;0"))</f>
        <v>78.02401905195353</v>
      </c>
    </row>
    <row r="819" spans="1:9">
      <c r="A819">
        <v>817</v>
      </c>
      <c r="B819">
        <v>5</v>
      </c>
      <c r="C819">
        <v>4600</v>
      </c>
      <c r="D819">
        <v>4224</v>
      </c>
      <c r="E819" s="4">
        <f t="shared" si="49"/>
        <v>1</v>
      </c>
      <c r="F819" s="4">
        <f t="shared" si="50"/>
        <v>376</v>
      </c>
      <c r="G819" s="4">
        <f t="shared" si="52"/>
        <v>6.681285444234404E-3</v>
      </c>
      <c r="H819" s="4">
        <f t="shared" si="51"/>
        <v>141376</v>
      </c>
      <c r="I819" s="5">
        <f>SQRT(SUM('r-pi-multi'!$D$3:D819)/COUNTIF($A$3:A819,"&lt;&gt;0"))</f>
        <v>78.009399050814878</v>
      </c>
    </row>
    <row r="820" spans="1:9">
      <c r="A820">
        <v>818</v>
      </c>
      <c r="B820">
        <v>6</v>
      </c>
      <c r="C820">
        <v>4600</v>
      </c>
      <c r="D820">
        <v>5133</v>
      </c>
      <c r="E820" s="4">
        <f t="shared" si="49"/>
        <v>1</v>
      </c>
      <c r="F820" s="4">
        <f t="shared" si="50"/>
        <v>533</v>
      </c>
      <c r="G820" s="4">
        <f t="shared" si="52"/>
        <v>1.3425756143667297E-2</v>
      </c>
      <c r="H820" s="4">
        <f t="shared" si="51"/>
        <v>284089</v>
      </c>
      <c r="I820" s="5">
        <f>SQRT(SUM('r-pi-multi'!$D$3:D820)/COUNTIF($A$3:A820,"&lt;&gt;0"))</f>
        <v>78.001935591305809</v>
      </c>
    </row>
    <row r="821" spans="1:9">
      <c r="A821">
        <v>819</v>
      </c>
      <c r="B821">
        <v>5</v>
      </c>
      <c r="C821">
        <v>4600</v>
      </c>
      <c r="D821">
        <v>4334</v>
      </c>
      <c r="E821" s="4">
        <f t="shared" si="49"/>
        <v>1</v>
      </c>
      <c r="F821" s="4">
        <f t="shared" si="50"/>
        <v>266</v>
      </c>
      <c r="G821" s="4">
        <f t="shared" si="52"/>
        <v>3.343856332703214E-3</v>
      </c>
      <c r="H821" s="4">
        <f t="shared" si="51"/>
        <v>70756</v>
      </c>
      <c r="I821" s="5">
        <f>SQRT(SUM('r-pi-multi'!$D$3:D821)/COUNTIF($A$3:A821,"&lt;&gt;0"))</f>
        <v>77.988235235609963</v>
      </c>
    </row>
    <row r="822" spans="1:9">
      <c r="A822">
        <v>820</v>
      </c>
      <c r="B822">
        <v>5</v>
      </c>
      <c r="C822">
        <v>4600</v>
      </c>
      <c r="D822">
        <v>4338</v>
      </c>
      <c r="E822" s="4">
        <f t="shared" si="49"/>
        <v>1</v>
      </c>
      <c r="F822" s="4">
        <f t="shared" si="50"/>
        <v>262</v>
      </c>
      <c r="G822" s="4">
        <f t="shared" si="52"/>
        <v>3.2440453686200378E-3</v>
      </c>
      <c r="H822" s="4">
        <f t="shared" si="51"/>
        <v>68644</v>
      </c>
      <c r="I822" s="5">
        <f>SQRT(SUM('r-pi-multi'!$D$3:D822)/COUNTIF($A$3:A822,"&lt;&gt;0"))</f>
        <v>77.974597176760383</v>
      </c>
    </row>
    <row r="823" spans="1:9">
      <c r="A823">
        <v>821</v>
      </c>
      <c r="B823">
        <v>6</v>
      </c>
      <c r="C823">
        <v>4600</v>
      </c>
      <c r="D823">
        <v>5110</v>
      </c>
      <c r="E823" s="4">
        <f t="shared" ref="E823:E886" si="53">IF(AND(D823&lt;=C823*1.2,D823&gt;=C823*0.8),1,0)</f>
        <v>1</v>
      </c>
      <c r="F823" s="4">
        <f t="shared" ref="F823:F886" si="54">ABS(C823-D823)</f>
        <v>510</v>
      </c>
      <c r="G823" s="4">
        <f t="shared" si="52"/>
        <v>1.2292060491493383E-2</v>
      </c>
      <c r="H823" s="4">
        <f t="shared" ref="H823:H886" si="55">POWER(F823,2)</f>
        <v>260100</v>
      </c>
      <c r="I823" s="5">
        <f>SQRT(SUM('r-pi-multi'!$D$3:D823)/COUNTIF($A$3:A823,"&lt;&gt;0"))</f>
        <v>77.967020417853618</v>
      </c>
    </row>
    <row r="824" spans="1:9">
      <c r="A824">
        <v>822</v>
      </c>
      <c r="B824">
        <v>5</v>
      </c>
      <c r="C824">
        <v>4600</v>
      </c>
      <c r="D824">
        <v>4219</v>
      </c>
      <c r="E824" s="4">
        <f t="shared" si="53"/>
        <v>1</v>
      </c>
      <c r="F824" s="4">
        <f t="shared" si="54"/>
        <v>381</v>
      </c>
      <c r="G824" s="4">
        <f t="shared" si="52"/>
        <v>6.860160680529301E-3</v>
      </c>
      <c r="H824" s="4">
        <f t="shared" si="55"/>
        <v>145161</v>
      </c>
      <c r="I824" s="5">
        <f>SQRT(SUM('r-pi-multi'!$D$3:D824)/COUNTIF($A$3:A824,"&lt;&gt;0"))</f>
        <v>77.952509093459824</v>
      </c>
    </row>
    <row r="825" spans="1:9">
      <c r="A825">
        <v>823</v>
      </c>
      <c r="B825">
        <v>6</v>
      </c>
      <c r="C825">
        <v>4600</v>
      </c>
      <c r="D825">
        <v>5158</v>
      </c>
      <c r="E825" s="4">
        <f t="shared" si="53"/>
        <v>1</v>
      </c>
      <c r="F825" s="4">
        <f t="shared" si="54"/>
        <v>558</v>
      </c>
      <c r="G825" s="4">
        <f t="shared" si="52"/>
        <v>1.4714744801512287E-2</v>
      </c>
      <c r="H825" s="4">
        <f t="shared" si="55"/>
        <v>311364</v>
      </c>
      <c r="I825" s="5">
        <f>SQRT(SUM('r-pi-multi'!$D$3:D825)/COUNTIF($A$3:A825,"&lt;&gt;0"))</f>
        <v>77.945349580739389</v>
      </c>
    </row>
    <row r="826" spans="1:9">
      <c r="A826">
        <v>824</v>
      </c>
      <c r="B826">
        <v>5</v>
      </c>
      <c r="C826">
        <v>4600</v>
      </c>
      <c r="D826">
        <v>4335</v>
      </c>
      <c r="E826" s="4">
        <f t="shared" si="53"/>
        <v>1</v>
      </c>
      <c r="F826" s="4">
        <f t="shared" si="54"/>
        <v>265</v>
      </c>
      <c r="G826" s="4">
        <f t="shared" si="52"/>
        <v>3.3187618147448015E-3</v>
      </c>
      <c r="H826" s="4">
        <f t="shared" si="55"/>
        <v>70225</v>
      </c>
      <c r="I826" s="5">
        <f>SQRT(SUM('r-pi-multi'!$D$3:D826)/COUNTIF($A$3:A826,"&lt;&gt;0"))</f>
        <v>77.931798973603421</v>
      </c>
    </row>
    <row r="827" spans="1:9">
      <c r="A827">
        <v>825</v>
      </c>
      <c r="B827">
        <v>5</v>
      </c>
      <c r="C827">
        <v>4600</v>
      </c>
      <c r="D827">
        <v>4284</v>
      </c>
      <c r="E827" s="4">
        <f t="shared" si="53"/>
        <v>1</v>
      </c>
      <c r="F827" s="4">
        <f t="shared" si="54"/>
        <v>316</v>
      </c>
      <c r="G827" s="4">
        <f t="shared" si="52"/>
        <v>4.7190926275992445E-3</v>
      </c>
      <c r="H827" s="4">
        <f t="shared" si="55"/>
        <v>99856</v>
      </c>
      <c r="I827" s="5">
        <f>SQRT(SUM('r-pi-multi'!$D$3:D827)/COUNTIF($A$3:A827,"&lt;&gt;0"))</f>
        <v>77.917882181411755</v>
      </c>
    </row>
    <row r="828" spans="1:9">
      <c r="A828">
        <v>826</v>
      </c>
      <c r="B828">
        <v>6</v>
      </c>
      <c r="C828">
        <v>4600</v>
      </c>
      <c r="D828">
        <v>5148</v>
      </c>
      <c r="E828" s="4">
        <f t="shared" si="53"/>
        <v>1</v>
      </c>
      <c r="F828" s="4">
        <f t="shared" si="54"/>
        <v>548</v>
      </c>
      <c r="G828" s="4">
        <f t="shared" si="52"/>
        <v>1.4192060491493384E-2</v>
      </c>
      <c r="H828" s="4">
        <f t="shared" si="55"/>
        <v>300304</v>
      </c>
      <c r="I828" s="5">
        <f>SQRT(SUM('r-pi-multi'!$D$3:D828)/COUNTIF($A$3:A828,"&lt;&gt;0"))</f>
        <v>77.910709741947201</v>
      </c>
    </row>
    <row r="829" spans="1:9">
      <c r="A829">
        <v>827</v>
      </c>
      <c r="B829">
        <v>5</v>
      </c>
      <c r="C829">
        <v>4600</v>
      </c>
      <c r="D829">
        <v>4300</v>
      </c>
      <c r="E829" s="4">
        <f t="shared" si="53"/>
        <v>1</v>
      </c>
      <c r="F829" s="4">
        <f t="shared" si="54"/>
        <v>300</v>
      </c>
      <c r="G829" s="4">
        <f t="shared" si="52"/>
        <v>4.2533081285444233E-3</v>
      </c>
      <c r="H829" s="4">
        <f t="shared" si="55"/>
        <v>90000</v>
      </c>
      <c r="I829" s="5">
        <f>SQRT(SUM('r-pi-multi'!$D$3:D829)/COUNTIF($A$3:A829,"&lt;&gt;0"))</f>
        <v>77.896972542699103</v>
      </c>
    </row>
    <row r="830" spans="1:9">
      <c r="A830">
        <v>828</v>
      </c>
      <c r="B830">
        <v>5</v>
      </c>
      <c r="C830">
        <v>4600</v>
      </c>
      <c r="D830">
        <v>4385</v>
      </c>
      <c r="E830" s="4">
        <f t="shared" si="53"/>
        <v>1</v>
      </c>
      <c r="F830" s="4">
        <f t="shared" si="54"/>
        <v>215</v>
      </c>
      <c r="G830" s="4">
        <f t="shared" si="52"/>
        <v>2.184546313799622E-3</v>
      </c>
      <c r="H830" s="4">
        <f t="shared" si="55"/>
        <v>46225</v>
      </c>
      <c r="I830" s="5">
        <f>SQRT(SUM('r-pi-multi'!$D$3:D830)/COUNTIF($A$3:A830,"&lt;&gt;0"))</f>
        <v>77.883925152122686</v>
      </c>
    </row>
    <row r="831" spans="1:9">
      <c r="A831">
        <v>829</v>
      </c>
      <c r="B831">
        <v>5</v>
      </c>
      <c r="C831">
        <v>4600</v>
      </c>
      <c r="D831">
        <v>4305</v>
      </c>
      <c r="E831" s="4">
        <f t="shared" si="53"/>
        <v>1</v>
      </c>
      <c r="F831" s="4">
        <f t="shared" si="54"/>
        <v>295</v>
      </c>
      <c r="G831" s="4">
        <f t="shared" si="52"/>
        <v>4.112712665406428E-3</v>
      </c>
      <c r="H831" s="4">
        <f t="shared" si="55"/>
        <v>87025</v>
      </c>
      <c r="I831" s="5">
        <f>SQRT(SUM('r-pi-multi'!$D$3:D831)/COUNTIF($A$3:A831,"&lt;&gt;0"))</f>
        <v>77.870287431447252</v>
      </c>
    </row>
    <row r="832" spans="1:9">
      <c r="A832">
        <v>830</v>
      </c>
      <c r="B832">
        <v>6</v>
      </c>
      <c r="C832">
        <v>4600</v>
      </c>
      <c r="D832">
        <v>5225</v>
      </c>
      <c r="E832" s="4">
        <f t="shared" si="53"/>
        <v>1</v>
      </c>
      <c r="F832" s="4">
        <f t="shared" si="54"/>
        <v>625</v>
      </c>
      <c r="G832" s="4">
        <f t="shared" si="52"/>
        <v>1.8460538752362948E-2</v>
      </c>
      <c r="H832" s="4">
        <f t="shared" si="55"/>
        <v>390625</v>
      </c>
      <c r="I832" s="5">
        <f>SQRT(SUM('r-pi-multi'!$D$3:D832)/COUNTIF($A$3:A832,"&lt;&gt;0"))</f>
        <v>77.863798291229983</v>
      </c>
    </row>
    <row r="833" spans="1:9">
      <c r="A833">
        <v>831</v>
      </c>
      <c r="B833">
        <v>5</v>
      </c>
      <c r="C833">
        <v>4600</v>
      </c>
      <c r="D833">
        <v>4377</v>
      </c>
      <c r="E833" s="4">
        <f t="shared" si="53"/>
        <v>1</v>
      </c>
      <c r="F833" s="4">
        <f t="shared" si="54"/>
        <v>223</v>
      </c>
      <c r="G833" s="4">
        <f t="shared" si="52"/>
        <v>2.3501417769376184E-3</v>
      </c>
      <c r="H833" s="4">
        <f t="shared" si="55"/>
        <v>49729</v>
      </c>
      <c r="I833" s="5">
        <f>SQRT(SUM('r-pi-multi'!$D$3:D833)/COUNTIF($A$3:A833,"&lt;&gt;0"))</f>
        <v>77.850770573842325</v>
      </c>
    </row>
    <row r="834" spans="1:9">
      <c r="A834">
        <v>832</v>
      </c>
      <c r="B834">
        <v>5</v>
      </c>
      <c r="C834">
        <v>4600</v>
      </c>
      <c r="D834">
        <v>4210</v>
      </c>
      <c r="E834" s="4">
        <f t="shared" si="53"/>
        <v>1</v>
      </c>
      <c r="F834" s="4">
        <f t="shared" si="54"/>
        <v>390</v>
      </c>
      <c r="G834" s="4">
        <f t="shared" si="52"/>
        <v>7.1880907372400748E-3</v>
      </c>
      <c r="H834" s="4">
        <f t="shared" si="55"/>
        <v>152100</v>
      </c>
      <c r="I834" s="5">
        <f>SQRT(SUM('r-pi-multi'!$D$3:D834)/COUNTIF($A$3:A834,"&lt;&gt;0"))</f>
        <v>77.836482634084604</v>
      </c>
    </row>
    <row r="835" spans="1:9">
      <c r="A835">
        <v>833</v>
      </c>
      <c r="B835">
        <v>6</v>
      </c>
      <c r="C835">
        <v>4600</v>
      </c>
      <c r="D835">
        <v>5174</v>
      </c>
      <c r="E835" s="4">
        <f t="shared" si="53"/>
        <v>1</v>
      </c>
      <c r="F835" s="4">
        <f t="shared" si="54"/>
        <v>574</v>
      </c>
      <c r="G835" s="4">
        <f t="shared" si="52"/>
        <v>1.557069943289225E-2</v>
      </c>
      <c r="H835" s="4">
        <f t="shared" si="55"/>
        <v>329476</v>
      </c>
      <c r="I835" s="5">
        <f>SQRT(SUM('r-pi-multi'!$D$3:D835)/COUNTIF($A$3:A835,"&lt;&gt;0"))</f>
        <v>77.8296613282686</v>
      </c>
    </row>
    <row r="836" spans="1:9">
      <c r="A836">
        <v>834</v>
      </c>
      <c r="B836">
        <v>5</v>
      </c>
      <c r="C836">
        <v>4600</v>
      </c>
      <c r="D836">
        <v>4168</v>
      </c>
      <c r="E836" s="4">
        <f t="shared" si="53"/>
        <v>1</v>
      </c>
      <c r="F836" s="4">
        <f t="shared" si="54"/>
        <v>432</v>
      </c>
      <c r="G836" s="4">
        <f t="shared" ref="G836:G899" si="56">POWER(ABS(C836-D836)/C836,2)</f>
        <v>8.8196597353497157E-3</v>
      </c>
      <c r="H836" s="4">
        <f t="shared" si="55"/>
        <v>186624</v>
      </c>
      <c r="I836" s="5">
        <f>SQRT(SUM('r-pi-multi'!$D$3:D836)/COUNTIF($A$3:A836,"&lt;&gt;0"))</f>
        <v>77.81510552252702</v>
      </c>
    </row>
    <row r="837" spans="1:9">
      <c r="A837">
        <v>835</v>
      </c>
      <c r="B837">
        <v>6</v>
      </c>
      <c r="C837">
        <v>4600</v>
      </c>
      <c r="D837">
        <v>5100</v>
      </c>
      <c r="E837" s="4">
        <f t="shared" si="53"/>
        <v>1</v>
      </c>
      <c r="F837" s="4">
        <f t="shared" si="54"/>
        <v>500</v>
      </c>
      <c r="G837" s="4">
        <f t="shared" si="56"/>
        <v>1.1814744801512287E-2</v>
      </c>
      <c r="H837" s="4">
        <f t="shared" si="55"/>
        <v>250000</v>
      </c>
      <c r="I837" s="5">
        <f>SQRT(SUM('r-pi-multi'!$D$3:D837)/COUNTIF($A$3:A837,"&lt;&gt;0"))</f>
        <v>77.807754797236157</v>
      </c>
    </row>
    <row r="838" spans="1:9">
      <c r="A838">
        <v>836</v>
      </c>
      <c r="B838">
        <v>5</v>
      </c>
      <c r="C838">
        <v>4600</v>
      </c>
      <c r="D838">
        <v>4294</v>
      </c>
      <c r="E838" s="4">
        <f t="shared" si="53"/>
        <v>1</v>
      </c>
      <c r="F838" s="4">
        <f t="shared" si="54"/>
        <v>306</v>
      </c>
      <c r="G838" s="4">
        <f t="shared" si="56"/>
        <v>4.425141776937618E-3</v>
      </c>
      <c r="H838" s="4">
        <f t="shared" si="55"/>
        <v>93636</v>
      </c>
      <c r="I838" s="5">
        <f>SQRT(SUM('r-pi-multi'!$D$3:D838)/COUNTIF($A$3:A838,"&lt;&gt;0"))</f>
        <v>77.79422464142057</v>
      </c>
    </row>
    <row r="839" spans="1:9">
      <c r="A839">
        <v>837</v>
      </c>
      <c r="B839">
        <v>5</v>
      </c>
      <c r="C839">
        <v>4600</v>
      </c>
      <c r="D839">
        <v>4345</v>
      </c>
      <c r="E839" s="4">
        <f t="shared" si="53"/>
        <v>1</v>
      </c>
      <c r="F839" s="4">
        <f t="shared" si="54"/>
        <v>255</v>
      </c>
      <c r="G839" s="4">
        <f t="shared" si="56"/>
        <v>3.0730151228733457E-3</v>
      </c>
      <c r="H839" s="4">
        <f t="shared" si="55"/>
        <v>65025</v>
      </c>
      <c r="I839" s="5">
        <f>SQRT(SUM('r-pi-multi'!$D$3:D839)/COUNTIF($A$3:A839,"&lt;&gt;0"))</f>
        <v>77.781116159793712</v>
      </c>
    </row>
    <row r="840" spans="1:9">
      <c r="A840">
        <v>838</v>
      </c>
      <c r="B840">
        <v>6</v>
      </c>
      <c r="C840">
        <v>4600</v>
      </c>
      <c r="D840">
        <v>5168</v>
      </c>
      <c r="E840" s="4">
        <f t="shared" si="53"/>
        <v>1</v>
      </c>
      <c r="F840" s="4">
        <f t="shared" si="54"/>
        <v>568</v>
      </c>
      <c r="G840" s="4">
        <f t="shared" si="56"/>
        <v>1.52468809073724E-2</v>
      </c>
      <c r="H840" s="4">
        <f t="shared" si="55"/>
        <v>322624</v>
      </c>
      <c r="I840" s="5">
        <f>SQRT(SUM('r-pi-multi'!$D$3:D840)/COUNTIF($A$3:A840,"&lt;&gt;0"))</f>
        <v>77.774350797706902</v>
      </c>
    </row>
    <row r="841" spans="1:9">
      <c r="A841">
        <v>839</v>
      </c>
      <c r="B841">
        <v>5</v>
      </c>
      <c r="C841">
        <v>4600</v>
      </c>
      <c r="D841">
        <v>4394</v>
      </c>
      <c r="E841" s="4">
        <f t="shared" si="53"/>
        <v>1</v>
      </c>
      <c r="F841" s="4">
        <f t="shared" si="54"/>
        <v>206</v>
      </c>
      <c r="G841" s="4">
        <f t="shared" si="56"/>
        <v>2.0054820415879018E-3</v>
      </c>
      <c r="H841" s="4">
        <f t="shared" si="55"/>
        <v>42436</v>
      </c>
      <c r="I841" s="5">
        <f>SQRT(SUM('r-pi-multi'!$D$3:D841)/COUNTIF($A$3:A841,"&lt;&gt;0"))</f>
        <v>77.761669444549199</v>
      </c>
    </row>
    <row r="842" spans="1:9">
      <c r="A842">
        <v>840</v>
      </c>
      <c r="B842">
        <v>5</v>
      </c>
      <c r="C842">
        <v>4600</v>
      </c>
      <c r="D842">
        <v>4334</v>
      </c>
      <c r="E842" s="4">
        <f t="shared" si="53"/>
        <v>1</v>
      </c>
      <c r="F842" s="4">
        <f t="shared" si="54"/>
        <v>266</v>
      </c>
      <c r="G842" s="4">
        <f t="shared" si="56"/>
        <v>3.343856332703214E-3</v>
      </c>
      <c r="H842" s="4">
        <f t="shared" si="55"/>
        <v>70756</v>
      </c>
      <c r="I842" s="5">
        <f>SQRT(SUM('r-pi-multi'!$D$3:D842)/COUNTIF($A$3:A842,"&lt;&gt;0"))</f>
        <v>77.748556869167004</v>
      </c>
    </row>
    <row r="843" spans="1:9">
      <c r="A843">
        <v>841</v>
      </c>
      <c r="B843">
        <v>6</v>
      </c>
      <c r="C843">
        <v>4600</v>
      </c>
      <c r="D843">
        <v>5082</v>
      </c>
      <c r="E843" s="4">
        <f t="shared" si="53"/>
        <v>1</v>
      </c>
      <c r="F843" s="4">
        <f t="shared" si="54"/>
        <v>482</v>
      </c>
      <c r="G843" s="4">
        <f t="shared" si="56"/>
        <v>1.0979395085066162E-2</v>
      </c>
      <c r="H843" s="4">
        <f t="shared" si="55"/>
        <v>232324</v>
      </c>
      <c r="I843" s="5">
        <f>SQRT(SUM('r-pi-multi'!$D$3:D843)/COUNTIF($A$3:A843,"&lt;&gt;0"))</f>
        <v>77.741193857274538</v>
      </c>
    </row>
    <row r="844" spans="1:9">
      <c r="A844">
        <v>842</v>
      </c>
      <c r="B844">
        <v>5</v>
      </c>
      <c r="C844">
        <v>4600</v>
      </c>
      <c r="D844">
        <v>4322</v>
      </c>
      <c r="E844" s="4">
        <f t="shared" si="53"/>
        <v>1</v>
      </c>
      <c r="F844" s="4">
        <f t="shared" si="54"/>
        <v>278</v>
      </c>
      <c r="G844" s="4">
        <f t="shared" si="56"/>
        <v>3.652362948960302E-3</v>
      </c>
      <c r="H844" s="4">
        <f t="shared" si="55"/>
        <v>77284</v>
      </c>
      <c r="I844" s="5">
        <f>SQRT(SUM('r-pi-multi'!$D$3:D844)/COUNTIF($A$3:A844,"&lt;&gt;0"))</f>
        <v>77.72804163271455</v>
      </c>
    </row>
    <row r="845" spans="1:9">
      <c r="A845">
        <v>843</v>
      </c>
      <c r="B845">
        <v>5</v>
      </c>
      <c r="C845">
        <v>4600</v>
      </c>
      <c r="D845">
        <v>4242</v>
      </c>
      <c r="E845" s="4">
        <f t="shared" si="53"/>
        <v>1</v>
      </c>
      <c r="F845" s="4">
        <f t="shared" si="54"/>
        <v>358</v>
      </c>
      <c r="G845" s="4">
        <f t="shared" si="56"/>
        <v>6.0568998109640833E-3</v>
      </c>
      <c r="H845" s="4">
        <f t="shared" si="55"/>
        <v>128164</v>
      </c>
      <c r="I845" s="5">
        <f>SQRT(SUM('r-pi-multi'!$D$3:D845)/COUNTIF($A$3:A845,"&lt;&gt;0"))</f>
        <v>77.714307831670453</v>
      </c>
    </row>
    <row r="846" spans="1:9">
      <c r="A846">
        <v>844</v>
      </c>
      <c r="B846">
        <v>6</v>
      </c>
      <c r="C846">
        <v>4600</v>
      </c>
      <c r="D846">
        <v>5038</v>
      </c>
      <c r="E846" s="4">
        <f t="shared" si="53"/>
        <v>1</v>
      </c>
      <c r="F846" s="4">
        <f t="shared" si="54"/>
        <v>438</v>
      </c>
      <c r="G846" s="4">
        <f t="shared" si="56"/>
        <v>9.066351606805292E-3</v>
      </c>
      <c r="H846" s="4">
        <f t="shared" si="55"/>
        <v>191844</v>
      </c>
      <c r="I846" s="5">
        <f>SQRT(SUM('r-pi-multi'!$D$3:D846)/COUNTIF($A$3:A846,"&lt;&gt;0"))</f>
        <v>77.70667290663016</v>
      </c>
    </row>
    <row r="847" spans="1:9">
      <c r="A847">
        <v>845</v>
      </c>
      <c r="B847">
        <v>5</v>
      </c>
      <c r="C847">
        <v>4600</v>
      </c>
      <c r="D847">
        <v>4284</v>
      </c>
      <c r="E847" s="4">
        <f t="shared" si="53"/>
        <v>1</v>
      </c>
      <c r="F847" s="4">
        <f t="shared" si="54"/>
        <v>316</v>
      </c>
      <c r="G847" s="4">
        <f t="shared" si="56"/>
        <v>4.7190926275992445E-3</v>
      </c>
      <c r="H847" s="4">
        <f t="shared" si="55"/>
        <v>99856</v>
      </c>
      <c r="I847" s="5">
        <f>SQRT(SUM('r-pi-multi'!$D$3:D847)/COUNTIF($A$3:A847,"&lt;&gt;0"))</f>
        <v>77.693313017105694</v>
      </c>
    </row>
    <row r="848" spans="1:9">
      <c r="A848">
        <v>846</v>
      </c>
      <c r="B848">
        <v>6</v>
      </c>
      <c r="C848">
        <v>4600</v>
      </c>
      <c r="D848">
        <v>5155</v>
      </c>
      <c r="E848" s="4">
        <f t="shared" si="53"/>
        <v>1</v>
      </c>
      <c r="F848" s="4">
        <f t="shared" si="54"/>
        <v>555</v>
      </c>
      <c r="G848" s="4">
        <f t="shared" si="56"/>
        <v>1.4556947069943288E-2</v>
      </c>
      <c r="H848" s="4">
        <f t="shared" si="55"/>
        <v>308025</v>
      </c>
      <c r="I848" s="5">
        <f>SQRT(SUM('r-pi-multi'!$D$3:D848)/COUNTIF($A$3:A848,"&lt;&gt;0"))</f>
        <v>77.686609012481398</v>
      </c>
    </row>
    <row r="849" spans="1:9">
      <c r="A849">
        <v>847</v>
      </c>
      <c r="B849">
        <v>5</v>
      </c>
      <c r="C849">
        <v>4600</v>
      </c>
      <c r="D849">
        <v>4231</v>
      </c>
      <c r="E849" s="4">
        <f t="shared" si="53"/>
        <v>1</v>
      </c>
      <c r="F849" s="4">
        <f t="shared" si="54"/>
        <v>369</v>
      </c>
      <c r="G849" s="4">
        <f t="shared" si="56"/>
        <v>6.4348298676748577E-3</v>
      </c>
      <c r="H849" s="4">
        <f t="shared" si="55"/>
        <v>136161</v>
      </c>
      <c r="I849" s="5">
        <f>SQRT(SUM('r-pi-multi'!$D$3:D849)/COUNTIF($A$3:A849,"&lt;&gt;0"))</f>
        <v>77.672898122288871</v>
      </c>
    </row>
    <row r="850" spans="1:9">
      <c r="A850">
        <v>848</v>
      </c>
      <c r="B850">
        <v>6</v>
      </c>
      <c r="C850">
        <v>4600</v>
      </c>
      <c r="D850">
        <v>5088</v>
      </c>
      <c r="E850" s="4">
        <f t="shared" si="53"/>
        <v>1</v>
      </c>
      <c r="F850" s="4">
        <f t="shared" si="54"/>
        <v>488</v>
      </c>
      <c r="G850" s="4">
        <f t="shared" si="56"/>
        <v>1.125444234404537E-2</v>
      </c>
      <c r="H850" s="4">
        <f t="shared" si="55"/>
        <v>238144</v>
      </c>
      <c r="I850" s="5">
        <f>SQRT(SUM('r-pi-multi'!$D$3:D850)/COUNTIF($A$3:A850,"&lt;&gt;0"))</f>
        <v>77.665723602123933</v>
      </c>
    </row>
    <row r="851" spans="1:9">
      <c r="A851">
        <v>849</v>
      </c>
      <c r="B851">
        <v>5</v>
      </c>
      <c r="C851">
        <v>4600</v>
      </c>
      <c r="D851">
        <v>4230</v>
      </c>
      <c r="E851" s="4">
        <f t="shared" si="53"/>
        <v>1</v>
      </c>
      <c r="F851" s="4">
        <f t="shared" si="54"/>
        <v>370</v>
      </c>
      <c r="G851" s="4">
        <f t="shared" si="56"/>
        <v>6.4697542533081274E-3</v>
      </c>
      <c r="H851" s="4">
        <f t="shared" si="55"/>
        <v>136900</v>
      </c>
      <c r="I851" s="5">
        <f>SQRT(SUM('r-pi-multi'!$D$3:D851)/COUNTIF($A$3:A851,"&lt;&gt;0"))</f>
        <v>77.652058358137523</v>
      </c>
    </row>
    <row r="852" spans="1:9">
      <c r="A852">
        <v>850</v>
      </c>
      <c r="B852">
        <v>5</v>
      </c>
      <c r="C852">
        <v>4600</v>
      </c>
      <c r="D852">
        <v>4219</v>
      </c>
      <c r="E852" s="4">
        <f t="shared" si="53"/>
        <v>1</v>
      </c>
      <c r="F852" s="4">
        <f t="shared" si="54"/>
        <v>381</v>
      </c>
      <c r="G852" s="4">
        <f t="shared" si="56"/>
        <v>6.860160680529301E-3</v>
      </c>
      <c r="H852" s="4">
        <f t="shared" si="55"/>
        <v>145161</v>
      </c>
      <c r="I852" s="5">
        <f>SQRT(SUM('r-pi-multi'!$D$3:D852)/COUNTIF($A$3:A852,"&lt;&gt;0"))</f>
        <v>77.638339528263245</v>
      </c>
    </row>
    <row r="853" spans="1:9">
      <c r="A853">
        <v>851</v>
      </c>
      <c r="B853">
        <v>6</v>
      </c>
      <c r="C853">
        <v>4600</v>
      </c>
      <c r="D853">
        <v>5148</v>
      </c>
      <c r="E853" s="4">
        <f t="shared" si="53"/>
        <v>1</v>
      </c>
      <c r="F853" s="4">
        <f t="shared" si="54"/>
        <v>548</v>
      </c>
      <c r="G853" s="4">
        <f t="shared" si="56"/>
        <v>1.4192060491493384E-2</v>
      </c>
      <c r="H853" s="4">
        <f t="shared" si="55"/>
        <v>300304</v>
      </c>
      <c r="I853" s="5">
        <f>SQRT(SUM('r-pi-multi'!$D$3:D853)/COUNTIF($A$3:A853,"&lt;&gt;0"))</f>
        <v>77.631681843509867</v>
      </c>
    </row>
    <row r="854" spans="1:9">
      <c r="A854">
        <v>852</v>
      </c>
      <c r="B854">
        <v>5</v>
      </c>
      <c r="C854">
        <v>4600</v>
      </c>
      <c r="D854">
        <v>4327</v>
      </c>
      <c r="E854" s="4">
        <f t="shared" si="53"/>
        <v>1</v>
      </c>
      <c r="F854" s="4">
        <f t="shared" si="54"/>
        <v>273</v>
      </c>
      <c r="G854" s="4">
        <f t="shared" si="56"/>
        <v>3.5221644612476372E-3</v>
      </c>
      <c r="H854" s="4">
        <f t="shared" si="55"/>
        <v>74529</v>
      </c>
      <c r="I854" s="5">
        <f>SQRT(SUM('r-pi-multi'!$D$3:D854)/COUNTIF($A$3:A854,"&lt;&gt;0"))</f>
        <v>77.618832113035239</v>
      </c>
    </row>
    <row r="855" spans="1:9">
      <c r="A855">
        <v>853</v>
      </c>
      <c r="B855">
        <v>5</v>
      </c>
      <c r="C855">
        <v>4600</v>
      </c>
      <c r="D855">
        <v>4269</v>
      </c>
      <c r="E855" s="4">
        <f t="shared" si="53"/>
        <v>1</v>
      </c>
      <c r="F855" s="4">
        <f t="shared" si="54"/>
        <v>331</v>
      </c>
      <c r="G855" s="4">
        <f t="shared" si="56"/>
        <v>5.1777410207939504E-3</v>
      </c>
      <c r="H855" s="4">
        <f t="shared" si="55"/>
        <v>109561</v>
      </c>
      <c r="I855" s="5">
        <f>SQRT(SUM('r-pi-multi'!$D$3:D855)/COUNTIF($A$3:A855,"&lt;&gt;0"))</f>
        <v>77.605572309328295</v>
      </c>
    </row>
    <row r="856" spans="1:9">
      <c r="A856">
        <v>854</v>
      </c>
      <c r="B856">
        <v>6</v>
      </c>
      <c r="C856">
        <v>4600</v>
      </c>
      <c r="D856">
        <v>5082</v>
      </c>
      <c r="E856" s="4">
        <f t="shared" si="53"/>
        <v>1</v>
      </c>
      <c r="F856" s="4">
        <f t="shared" si="54"/>
        <v>482</v>
      </c>
      <c r="G856" s="4">
        <f t="shared" si="56"/>
        <v>1.0979395085066162E-2</v>
      </c>
      <c r="H856" s="4">
        <f t="shared" si="55"/>
        <v>232324</v>
      </c>
      <c r="I856" s="5">
        <f>SQRT(SUM('r-pi-multi'!$D$3:D856)/COUNTIF($A$3:A856,"&lt;&gt;0"))</f>
        <v>77.598475624226964</v>
      </c>
    </row>
    <row r="857" spans="1:9">
      <c r="A857">
        <v>855</v>
      </c>
      <c r="B857">
        <v>5</v>
      </c>
      <c r="C857">
        <v>4600</v>
      </c>
      <c r="D857">
        <v>4231</v>
      </c>
      <c r="E857" s="4">
        <f t="shared" si="53"/>
        <v>1</v>
      </c>
      <c r="F857" s="4">
        <f t="shared" si="54"/>
        <v>369</v>
      </c>
      <c r="G857" s="4">
        <f t="shared" si="56"/>
        <v>6.4348298676748577E-3</v>
      </c>
      <c r="H857" s="4">
        <f t="shared" si="55"/>
        <v>136161</v>
      </c>
      <c r="I857" s="5">
        <f>SQRT(SUM('r-pi-multi'!$D$3:D857)/COUNTIF($A$3:A857,"&lt;&gt;0"))</f>
        <v>77.584980761524207</v>
      </c>
    </row>
    <row r="858" spans="1:9">
      <c r="A858">
        <v>856</v>
      </c>
      <c r="B858">
        <v>6</v>
      </c>
      <c r="C858">
        <v>4600</v>
      </c>
      <c r="D858">
        <v>5177</v>
      </c>
      <c r="E858" s="4">
        <f t="shared" si="53"/>
        <v>1</v>
      </c>
      <c r="F858" s="4">
        <f t="shared" si="54"/>
        <v>577</v>
      </c>
      <c r="G858" s="4">
        <f t="shared" si="56"/>
        <v>1.5733884688090734E-2</v>
      </c>
      <c r="H858" s="4">
        <f t="shared" si="55"/>
        <v>332929</v>
      </c>
      <c r="I858" s="5">
        <f>SQRT(SUM('r-pi-multi'!$D$3:D858)/COUNTIF($A$3:A858,"&lt;&gt;0"))</f>
        <v>77.578638125826515</v>
      </c>
    </row>
    <row r="859" spans="1:9">
      <c r="A859">
        <v>857</v>
      </c>
      <c r="B859">
        <v>5</v>
      </c>
      <c r="C859">
        <v>4600</v>
      </c>
      <c r="D859">
        <v>4290</v>
      </c>
      <c r="E859" s="4">
        <f t="shared" si="53"/>
        <v>1</v>
      </c>
      <c r="F859" s="4">
        <f t="shared" si="54"/>
        <v>310</v>
      </c>
      <c r="G859" s="4">
        <f t="shared" si="56"/>
        <v>4.5415879017013236E-3</v>
      </c>
      <c r="H859" s="4">
        <f t="shared" si="55"/>
        <v>96100</v>
      </c>
      <c r="I859" s="5">
        <f>SQRT(SUM('r-pi-multi'!$D$3:D859)/COUNTIF($A$3:A859,"&lt;&gt;0"))</f>
        <v>77.565638255864783</v>
      </c>
    </row>
    <row r="860" spans="1:9">
      <c r="A860">
        <v>858</v>
      </c>
      <c r="B860">
        <v>5</v>
      </c>
      <c r="C860">
        <v>4600</v>
      </c>
      <c r="D860">
        <v>4148</v>
      </c>
      <c r="E860" s="4">
        <f t="shared" si="53"/>
        <v>1</v>
      </c>
      <c r="F860" s="4">
        <f t="shared" si="54"/>
        <v>452</v>
      </c>
      <c r="G860" s="4">
        <f t="shared" si="56"/>
        <v>9.6551984877126639E-3</v>
      </c>
      <c r="H860" s="4">
        <f t="shared" si="55"/>
        <v>204304</v>
      </c>
      <c r="I860" s="5">
        <f>SQRT(SUM('r-pi-multi'!$D$3:D860)/COUNTIF($A$3:A860,"&lt;&gt;0"))</f>
        <v>77.551599485443134</v>
      </c>
    </row>
    <row r="861" spans="1:9">
      <c r="A861">
        <v>859</v>
      </c>
      <c r="B861">
        <v>6</v>
      </c>
      <c r="C861">
        <v>4600</v>
      </c>
      <c r="D861">
        <v>5081</v>
      </c>
      <c r="E861" s="4">
        <f t="shared" si="53"/>
        <v>1</v>
      </c>
      <c r="F861" s="4">
        <f t="shared" si="54"/>
        <v>481</v>
      </c>
      <c r="G861" s="4">
        <f t="shared" si="56"/>
        <v>1.0933884688090739E-2</v>
      </c>
      <c r="H861" s="4">
        <f t="shared" si="55"/>
        <v>231361</v>
      </c>
      <c r="I861" s="5">
        <f>SQRT(SUM('r-pi-multi'!$D$3:D861)/COUNTIF($A$3:A861,"&lt;&gt;0"))</f>
        <v>77.544594552772665</v>
      </c>
    </row>
    <row r="862" spans="1:9">
      <c r="A862">
        <v>860</v>
      </c>
      <c r="B862">
        <v>5</v>
      </c>
      <c r="C862">
        <v>4600</v>
      </c>
      <c r="D862">
        <v>4373</v>
      </c>
      <c r="E862" s="4">
        <f t="shared" si="53"/>
        <v>1</v>
      </c>
      <c r="F862" s="4">
        <f t="shared" si="54"/>
        <v>227</v>
      </c>
      <c r="G862" s="4">
        <f t="shared" si="56"/>
        <v>2.4352079395085066E-3</v>
      </c>
      <c r="H862" s="4">
        <f t="shared" si="55"/>
        <v>51529</v>
      </c>
      <c r="I862" s="5">
        <f>SQRT(SUM('r-pi-multi'!$D$3:D862)/COUNTIF($A$3:A862,"&lt;&gt;0"))</f>
        <v>77.532296346388364</v>
      </c>
    </row>
    <row r="863" spans="1:9">
      <c r="A863">
        <v>861</v>
      </c>
      <c r="B863">
        <v>5</v>
      </c>
      <c r="C863">
        <v>4600</v>
      </c>
      <c r="D863">
        <v>4288</v>
      </c>
      <c r="E863" s="4">
        <f t="shared" si="53"/>
        <v>1</v>
      </c>
      <c r="F863" s="4">
        <f t="shared" si="54"/>
        <v>312</v>
      </c>
      <c r="G863" s="4">
        <f t="shared" si="56"/>
        <v>4.6003780718336489E-3</v>
      </c>
      <c r="H863" s="4">
        <f t="shared" si="55"/>
        <v>97344</v>
      </c>
      <c r="I863" s="5">
        <f>SQRT(SUM('r-pi-multi'!$D$3:D863)/COUNTIF($A$3:A863,"&lt;&gt;0"))</f>
        <v>77.519388006103881</v>
      </c>
    </row>
    <row r="864" spans="1:9">
      <c r="A864">
        <v>862</v>
      </c>
      <c r="B864">
        <v>6</v>
      </c>
      <c r="C864">
        <v>4600</v>
      </c>
      <c r="D864">
        <v>5069</v>
      </c>
      <c r="E864" s="4">
        <f t="shared" si="53"/>
        <v>1</v>
      </c>
      <c r="F864" s="4">
        <f t="shared" si="54"/>
        <v>469</v>
      </c>
      <c r="G864" s="4">
        <f t="shared" si="56"/>
        <v>1.0395132325141776E-2</v>
      </c>
      <c r="H864" s="4">
        <f t="shared" si="55"/>
        <v>219961</v>
      </c>
      <c r="I864" s="5">
        <f>SQRT(SUM('r-pi-multi'!$D$3:D864)/COUNTIF($A$3:A864,"&lt;&gt;0"))</f>
        <v>77.512352132925585</v>
      </c>
    </row>
    <row r="865" spans="1:9">
      <c r="A865">
        <v>863</v>
      </c>
      <c r="B865">
        <v>5</v>
      </c>
      <c r="C865">
        <v>4600</v>
      </c>
      <c r="D865">
        <v>4197</v>
      </c>
      <c r="E865" s="4">
        <f t="shared" si="53"/>
        <v>1</v>
      </c>
      <c r="F865" s="4">
        <f t="shared" si="54"/>
        <v>403</v>
      </c>
      <c r="G865" s="4">
        <f t="shared" si="56"/>
        <v>7.6752835538752362E-3</v>
      </c>
      <c r="H865" s="4">
        <f t="shared" si="55"/>
        <v>162409</v>
      </c>
      <c r="I865" s="5">
        <f>SQRT(SUM('r-pi-multi'!$D$3:D865)/COUNTIF($A$3:A865,"&lt;&gt;0"))</f>
        <v>77.498813208122343</v>
      </c>
    </row>
    <row r="866" spans="1:9">
      <c r="A866">
        <v>864</v>
      </c>
      <c r="B866">
        <v>6</v>
      </c>
      <c r="C866">
        <v>4600</v>
      </c>
      <c r="D866">
        <v>5187</v>
      </c>
      <c r="E866" s="4">
        <f t="shared" si="53"/>
        <v>1</v>
      </c>
      <c r="F866" s="4">
        <f t="shared" si="54"/>
        <v>587</v>
      </c>
      <c r="G866" s="4">
        <f t="shared" si="56"/>
        <v>1.628397920604915E-2</v>
      </c>
      <c r="H866" s="4">
        <f t="shared" si="55"/>
        <v>344569</v>
      </c>
      <c r="I866" s="5">
        <f>SQRT(SUM('r-pi-multi'!$D$3:D866)/COUNTIF($A$3:A866,"&lt;&gt;0"))</f>
        <v>77.492696788507473</v>
      </c>
    </row>
    <row r="867" spans="1:9">
      <c r="A867">
        <v>865</v>
      </c>
      <c r="B867">
        <v>5</v>
      </c>
      <c r="C867">
        <v>4600</v>
      </c>
      <c r="D867">
        <v>4302</v>
      </c>
      <c r="E867" s="4">
        <f t="shared" si="53"/>
        <v>1</v>
      </c>
      <c r="F867" s="4">
        <f t="shared" si="54"/>
        <v>298</v>
      </c>
      <c r="G867" s="4">
        <f t="shared" si="56"/>
        <v>4.1967863894139899E-3</v>
      </c>
      <c r="H867" s="4">
        <f t="shared" si="55"/>
        <v>88804</v>
      </c>
      <c r="I867" s="5">
        <f>SQRT(SUM('r-pi-multi'!$D$3:D867)/COUNTIF($A$3:A867,"&lt;&gt;0"))</f>
        <v>77.47999182336028</v>
      </c>
    </row>
    <row r="868" spans="1:9">
      <c r="A868">
        <v>866</v>
      </c>
      <c r="B868">
        <v>6</v>
      </c>
      <c r="C868">
        <v>4600</v>
      </c>
      <c r="D868">
        <v>5158</v>
      </c>
      <c r="E868" s="4">
        <f t="shared" si="53"/>
        <v>1</v>
      </c>
      <c r="F868" s="4">
        <f t="shared" si="54"/>
        <v>558</v>
      </c>
      <c r="G868" s="4">
        <f t="shared" si="56"/>
        <v>1.4714744801512287E-2</v>
      </c>
      <c r="H868" s="4">
        <f t="shared" si="55"/>
        <v>311364</v>
      </c>
      <c r="I868" s="5">
        <f>SQRT(SUM('r-pi-multi'!$D$3:D868)/COUNTIF($A$3:A868,"&lt;&gt;0"))</f>
        <v>77.473693665409186</v>
      </c>
    </row>
    <row r="869" spans="1:9">
      <c r="A869">
        <v>867</v>
      </c>
      <c r="B869">
        <v>5</v>
      </c>
      <c r="C869">
        <v>4600</v>
      </c>
      <c r="D869">
        <v>4284</v>
      </c>
      <c r="E869" s="4">
        <f t="shared" si="53"/>
        <v>1</v>
      </c>
      <c r="F869" s="4">
        <f t="shared" si="54"/>
        <v>316</v>
      </c>
      <c r="G869" s="4">
        <f t="shared" si="56"/>
        <v>4.7190926275992445E-3</v>
      </c>
      <c r="H869" s="4">
        <f t="shared" si="55"/>
        <v>99856</v>
      </c>
      <c r="I869" s="5">
        <f>SQRT(SUM('r-pi-multi'!$D$3:D869)/COUNTIF($A$3:A869,"&lt;&gt;0"))</f>
        <v>77.460902814395482</v>
      </c>
    </row>
    <row r="870" spans="1:9">
      <c r="A870">
        <v>868</v>
      </c>
      <c r="B870">
        <v>5</v>
      </c>
      <c r="C870">
        <v>4600</v>
      </c>
      <c r="D870">
        <v>4292</v>
      </c>
      <c r="E870" s="4">
        <f t="shared" si="53"/>
        <v>1</v>
      </c>
      <c r="F870" s="4">
        <f t="shared" si="54"/>
        <v>308</v>
      </c>
      <c r="G870" s="4">
        <f t="shared" si="56"/>
        <v>4.4831758034026455E-3</v>
      </c>
      <c r="H870" s="4">
        <f t="shared" si="55"/>
        <v>94864</v>
      </c>
      <c r="I870" s="5">
        <f>SQRT(SUM('r-pi-multi'!$D$3:D870)/COUNTIF($A$3:A870,"&lt;&gt;0"))</f>
        <v>77.448198831891162</v>
      </c>
    </row>
    <row r="871" spans="1:9">
      <c r="A871">
        <v>869</v>
      </c>
      <c r="B871">
        <v>6</v>
      </c>
      <c r="C871">
        <v>4600</v>
      </c>
      <c r="D871">
        <v>5102</v>
      </c>
      <c r="E871" s="4">
        <f t="shared" si="53"/>
        <v>1</v>
      </c>
      <c r="F871" s="4">
        <f t="shared" si="54"/>
        <v>502</v>
      </c>
      <c r="G871" s="4">
        <f t="shared" si="56"/>
        <v>1.190945179584121E-2</v>
      </c>
      <c r="H871" s="4">
        <f t="shared" si="55"/>
        <v>252004</v>
      </c>
      <c r="I871" s="5">
        <f>SQRT(SUM('r-pi-multi'!$D$3:D871)/COUNTIF($A$3:A871,"&lt;&gt;0"))</f>
        <v>77.441540370228267</v>
      </c>
    </row>
    <row r="872" spans="1:9">
      <c r="A872">
        <v>870</v>
      </c>
      <c r="B872">
        <v>5</v>
      </c>
      <c r="C872">
        <v>4600</v>
      </c>
      <c r="D872">
        <v>4054</v>
      </c>
      <c r="E872" s="4">
        <f t="shared" si="53"/>
        <v>1</v>
      </c>
      <c r="F872" s="4">
        <f t="shared" si="54"/>
        <v>546</v>
      </c>
      <c r="G872" s="4">
        <f t="shared" si="56"/>
        <v>1.4088657844990549E-2</v>
      </c>
      <c r="H872" s="4">
        <f t="shared" si="55"/>
        <v>298116</v>
      </c>
      <c r="I872" s="5">
        <f>SQRT(SUM('r-pi-multi'!$D$3:D872)/COUNTIF($A$3:A872,"&lt;&gt;0"))</f>
        <v>77.427118122074361</v>
      </c>
    </row>
    <row r="873" spans="1:9">
      <c r="A873">
        <v>871</v>
      </c>
      <c r="B873">
        <v>6</v>
      </c>
      <c r="C873">
        <v>4600</v>
      </c>
      <c r="D873">
        <v>4644</v>
      </c>
      <c r="E873" s="4">
        <f t="shared" si="53"/>
        <v>1</v>
      </c>
      <c r="F873" s="4">
        <f t="shared" si="54"/>
        <v>44</v>
      </c>
      <c r="G873" s="4">
        <f t="shared" si="56"/>
        <v>9.1493383742911145E-5</v>
      </c>
      <c r="H873" s="4">
        <f t="shared" si="55"/>
        <v>1936</v>
      </c>
      <c r="I873" s="5">
        <f>SQRT(SUM('r-pi-multi'!$D$3:D873)/COUNTIF($A$3:A873,"&lt;&gt;0"))</f>
        <v>77.41710132455961</v>
      </c>
    </row>
    <row r="874" spans="1:9">
      <c r="A874">
        <v>872</v>
      </c>
      <c r="B874">
        <v>5</v>
      </c>
      <c r="C874">
        <v>4600</v>
      </c>
      <c r="D874">
        <v>4205</v>
      </c>
      <c r="E874" s="4">
        <f t="shared" si="53"/>
        <v>1</v>
      </c>
      <c r="F874" s="4">
        <f t="shared" si="54"/>
        <v>395</v>
      </c>
      <c r="G874" s="4">
        <f t="shared" si="56"/>
        <v>7.3735822306238196E-3</v>
      </c>
      <c r="H874" s="4">
        <f t="shared" si="55"/>
        <v>156025</v>
      </c>
      <c r="I874" s="5">
        <f>SQRT(SUM('r-pi-multi'!$D$3:D874)/COUNTIF($A$3:A874,"&lt;&gt;0"))</f>
        <v>77.403854241091551</v>
      </c>
    </row>
    <row r="875" spans="1:9">
      <c r="A875">
        <v>873</v>
      </c>
      <c r="B875">
        <v>6</v>
      </c>
      <c r="C875">
        <v>4600</v>
      </c>
      <c r="D875">
        <v>4976</v>
      </c>
      <c r="E875" s="4">
        <f t="shared" si="53"/>
        <v>1</v>
      </c>
      <c r="F875" s="4">
        <f t="shared" si="54"/>
        <v>376</v>
      </c>
      <c r="G875" s="4">
        <f t="shared" si="56"/>
        <v>6.681285444234404E-3</v>
      </c>
      <c r="H875" s="4">
        <f t="shared" si="55"/>
        <v>141376</v>
      </c>
      <c r="I875" s="5">
        <f>SQRT(SUM('r-pi-multi'!$D$3:D875)/COUNTIF($A$3:A875,"&lt;&gt;0"))</f>
        <v>77.396340904062868</v>
      </c>
    </row>
    <row r="876" spans="1:9">
      <c r="A876">
        <v>874</v>
      </c>
      <c r="B876">
        <v>5</v>
      </c>
      <c r="C876">
        <v>4600</v>
      </c>
      <c r="D876">
        <v>4262</v>
      </c>
      <c r="E876" s="4">
        <f t="shared" si="53"/>
        <v>1</v>
      </c>
      <c r="F876" s="4">
        <f t="shared" si="54"/>
        <v>338</v>
      </c>
      <c r="G876" s="4">
        <f t="shared" si="56"/>
        <v>5.3990548204158788E-3</v>
      </c>
      <c r="H876" s="4">
        <f t="shared" si="55"/>
        <v>114244</v>
      </c>
      <c r="I876" s="5">
        <f>SQRT(SUM('r-pi-multi'!$D$3:D876)/COUNTIF($A$3:A876,"&lt;&gt;0"))</f>
        <v>77.383565743248013</v>
      </c>
    </row>
    <row r="877" spans="1:9">
      <c r="A877">
        <v>875</v>
      </c>
      <c r="B877">
        <v>6</v>
      </c>
      <c r="C877">
        <v>4600</v>
      </c>
      <c r="D877">
        <v>5140</v>
      </c>
      <c r="E877" s="4">
        <f t="shared" si="53"/>
        <v>1</v>
      </c>
      <c r="F877" s="4">
        <f t="shared" si="54"/>
        <v>540</v>
      </c>
      <c r="G877" s="4">
        <f t="shared" si="56"/>
        <v>1.3780718336483932E-2</v>
      </c>
      <c r="H877" s="4">
        <f t="shared" si="55"/>
        <v>291600</v>
      </c>
      <c r="I877" s="5">
        <f>SQRT(SUM('r-pi-multi'!$D$3:D877)/COUNTIF($A$3:A877,"&lt;&gt;0"))</f>
        <v>77.37730195052589</v>
      </c>
    </row>
    <row r="878" spans="1:9">
      <c r="A878">
        <v>876</v>
      </c>
      <c r="B878">
        <v>5</v>
      </c>
      <c r="C878">
        <v>4600</v>
      </c>
      <c r="D878">
        <v>4255</v>
      </c>
      <c r="E878" s="4">
        <f t="shared" si="53"/>
        <v>1</v>
      </c>
      <c r="F878" s="4">
        <f t="shared" si="54"/>
        <v>345</v>
      </c>
      <c r="G878" s="4">
        <f t="shared" si="56"/>
        <v>5.6249999999999998E-3</v>
      </c>
      <c r="H878" s="4">
        <f t="shared" si="55"/>
        <v>119025</v>
      </c>
      <c r="I878" s="5">
        <f>SQRT(SUM('r-pi-multi'!$D$3:D878)/COUNTIF($A$3:A878,"&lt;&gt;0"))</f>
        <v>77.36452291840682</v>
      </c>
    </row>
    <row r="879" spans="1:9">
      <c r="A879">
        <v>877</v>
      </c>
      <c r="B879">
        <v>6</v>
      </c>
      <c r="C879">
        <v>4600</v>
      </c>
      <c r="D879">
        <v>5162</v>
      </c>
      <c r="E879" s="4">
        <f t="shared" si="53"/>
        <v>1</v>
      </c>
      <c r="F879" s="4">
        <f t="shared" si="54"/>
        <v>562</v>
      </c>
      <c r="G879" s="4">
        <f t="shared" si="56"/>
        <v>1.4926465028355387E-2</v>
      </c>
      <c r="H879" s="4">
        <f t="shared" si="55"/>
        <v>315844</v>
      </c>
      <c r="I879" s="5">
        <f>SQRT(SUM('r-pi-multi'!$D$3:D879)/COUNTIF($A$3:A879,"&lt;&gt;0"))</f>
        <v>77.358455728821298</v>
      </c>
    </row>
    <row r="880" spans="1:9">
      <c r="A880">
        <v>878</v>
      </c>
      <c r="B880">
        <v>5</v>
      </c>
      <c r="C880">
        <v>4600</v>
      </c>
      <c r="D880">
        <v>4239</v>
      </c>
      <c r="E880" s="4">
        <f t="shared" si="53"/>
        <v>1</v>
      </c>
      <c r="F880" s="4">
        <f t="shared" si="54"/>
        <v>361</v>
      </c>
      <c r="G880" s="4">
        <f t="shared" si="56"/>
        <v>6.1588374291115314E-3</v>
      </c>
      <c r="H880" s="4">
        <f t="shared" si="55"/>
        <v>130321</v>
      </c>
      <c r="I880" s="5">
        <f>SQRT(SUM('r-pi-multi'!$D$3:D880)/COUNTIF($A$3:A880,"&lt;&gt;0"))</f>
        <v>77.345606369084507</v>
      </c>
    </row>
    <row r="881" spans="1:9">
      <c r="A881">
        <v>879</v>
      </c>
      <c r="B881">
        <v>6</v>
      </c>
      <c r="C881">
        <v>4600</v>
      </c>
      <c r="D881">
        <v>5111</v>
      </c>
      <c r="E881" s="4">
        <f t="shared" si="53"/>
        <v>1</v>
      </c>
      <c r="F881" s="4">
        <f t="shared" si="54"/>
        <v>511</v>
      </c>
      <c r="G881" s="4">
        <f t="shared" si="56"/>
        <v>1.2340311909262758E-2</v>
      </c>
      <c r="H881" s="4">
        <f t="shared" si="55"/>
        <v>261121</v>
      </c>
      <c r="I881" s="5">
        <f>SQRT(SUM('r-pi-multi'!$D$3:D881)/COUNTIF($A$3:A881,"&lt;&gt;0"))</f>
        <v>77.339197925994668</v>
      </c>
    </row>
    <row r="882" spans="1:9">
      <c r="A882">
        <v>880</v>
      </c>
      <c r="B882">
        <v>5</v>
      </c>
      <c r="C882">
        <v>4600</v>
      </c>
      <c r="D882">
        <v>4298</v>
      </c>
      <c r="E882" s="4">
        <f t="shared" si="53"/>
        <v>1</v>
      </c>
      <c r="F882" s="4">
        <f t="shared" si="54"/>
        <v>302</v>
      </c>
      <c r="G882" s="4">
        <f t="shared" si="56"/>
        <v>4.3102079395085074E-3</v>
      </c>
      <c r="H882" s="4">
        <f t="shared" si="55"/>
        <v>91204</v>
      </c>
      <c r="I882" s="5">
        <f>SQRT(SUM('r-pi-multi'!$D$3:D882)/COUNTIF($A$3:A882,"&lt;&gt;0"))</f>
        <v>77.326829990396192</v>
      </c>
    </row>
    <row r="883" spans="1:9">
      <c r="A883">
        <v>881</v>
      </c>
      <c r="B883">
        <v>5</v>
      </c>
      <c r="C883">
        <v>4600</v>
      </c>
      <c r="D883">
        <v>4348</v>
      </c>
      <c r="E883" s="4">
        <f t="shared" si="53"/>
        <v>1</v>
      </c>
      <c r="F883" s="4">
        <f t="shared" si="54"/>
        <v>252</v>
      </c>
      <c r="G883" s="4">
        <f t="shared" si="56"/>
        <v>3.0011342155009447E-3</v>
      </c>
      <c r="H883" s="4">
        <f t="shared" si="55"/>
        <v>63504</v>
      </c>
      <c r="I883" s="5">
        <f>SQRT(SUM('r-pi-multi'!$D$3:D883)/COUNTIF($A$3:A883,"&lt;&gt;0"))</f>
        <v>77.314855190604575</v>
      </c>
    </row>
    <row r="884" spans="1:9">
      <c r="A884">
        <v>882</v>
      </c>
      <c r="B884">
        <v>5</v>
      </c>
      <c r="C884">
        <v>4600</v>
      </c>
      <c r="D884">
        <v>4306</v>
      </c>
      <c r="E884" s="4">
        <f t="shared" si="53"/>
        <v>1</v>
      </c>
      <c r="F884" s="4">
        <f t="shared" si="54"/>
        <v>294</v>
      </c>
      <c r="G884" s="4">
        <f t="shared" si="56"/>
        <v>4.0848771266540638E-3</v>
      </c>
      <c r="H884" s="4">
        <f t="shared" si="55"/>
        <v>86436</v>
      </c>
      <c r="I884" s="5">
        <f>SQRT(SUM('r-pi-multi'!$D$3:D884)/COUNTIF($A$3:A884,"&lt;&gt;0"))</f>
        <v>77.302597692298306</v>
      </c>
    </row>
    <row r="885" spans="1:9">
      <c r="A885">
        <v>883</v>
      </c>
      <c r="B885">
        <v>6</v>
      </c>
      <c r="C885">
        <v>4600</v>
      </c>
      <c r="D885">
        <v>5140</v>
      </c>
      <c r="E885" s="4">
        <f t="shared" si="53"/>
        <v>1</v>
      </c>
      <c r="F885" s="4">
        <f t="shared" si="54"/>
        <v>540</v>
      </c>
      <c r="G885" s="4">
        <f t="shared" si="56"/>
        <v>1.3780718336483932E-2</v>
      </c>
      <c r="H885" s="4">
        <f t="shared" si="55"/>
        <v>291600</v>
      </c>
      <c r="I885" s="5">
        <f>SQRT(SUM('r-pi-multi'!$D$3:D885)/COUNTIF($A$3:A885,"&lt;&gt;0"))</f>
        <v>77.296475901964428</v>
      </c>
    </row>
    <row r="886" spans="1:9">
      <c r="A886">
        <v>884</v>
      </c>
      <c r="B886">
        <v>5</v>
      </c>
      <c r="C886">
        <v>4600</v>
      </c>
      <c r="D886">
        <v>4127</v>
      </c>
      <c r="E886" s="4">
        <f t="shared" si="53"/>
        <v>1</v>
      </c>
      <c r="F886" s="4">
        <f t="shared" si="54"/>
        <v>473</v>
      </c>
      <c r="G886" s="4">
        <f t="shared" si="56"/>
        <v>1.0573204158790169E-2</v>
      </c>
      <c r="H886" s="4">
        <f t="shared" si="55"/>
        <v>223729</v>
      </c>
      <c r="I886" s="5">
        <f>SQRT(SUM('r-pi-multi'!$D$3:D886)/COUNTIF($A$3:A886,"&lt;&gt;0"))</f>
        <v>77.282953989709569</v>
      </c>
    </row>
    <row r="887" spans="1:9">
      <c r="A887">
        <v>885</v>
      </c>
      <c r="B887">
        <v>6</v>
      </c>
      <c r="C887">
        <v>4600</v>
      </c>
      <c r="D887">
        <v>5080</v>
      </c>
      <c r="E887" s="4">
        <f t="shared" ref="E887:E902" si="57">IF(AND(D887&lt;=C887*1.2,D887&gt;=C887*0.8),1,0)</f>
        <v>1</v>
      </c>
      <c r="F887" s="4">
        <f t="shared" ref="F887:F902" si="58">ABS(C887-D887)</f>
        <v>480</v>
      </c>
      <c r="G887" s="4">
        <f t="shared" si="56"/>
        <v>1.0888468809073723E-2</v>
      </c>
      <c r="H887" s="4">
        <f t="shared" ref="H887:H902" si="59">POWER(F887,2)</f>
        <v>230400</v>
      </c>
      <c r="I887" s="5">
        <f>SQRT(SUM('r-pi-multi'!$D$3:D887)/COUNTIF($A$3:A887,"&lt;&gt;0"))</f>
        <v>77.27642802099237</v>
      </c>
    </row>
    <row r="888" spans="1:9">
      <c r="A888">
        <v>886</v>
      </c>
      <c r="B888">
        <v>5</v>
      </c>
      <c r="C888">
        <v>4600</v>
      </c>
      <c r="D888">
        <v>4291</v>
      </c>
      <c r="E888" s="4">
        <f t="shared" si="57"/>
        <v>1</v>
      </c>
      <c r="F888" s="4">
        <f t="shared" si="58"/>
        <v>309</v>
      </c>
      <c r="G888" s="4">
        <f t="shared" si="56"/>
        <v>4.5123345935727793E-3</v>
      </c>
      <c r="H888" s="4">
        <f t="shared" si="59"/>
        <v>95481</v>
      </c>
      <c r="I888" s="5">
        <f>SQRT(SUM('r-pi-multi'!$D$3:D888)/COUNTIF($A$3:A888,"&lt;&gt;0"))</f>
        <v>77.264153626801047</v>
      </c>
    </row>
    <row r="889" spans="1:9">
      <c r="A889">
        <v>887</v>
      </c>
      <c r="B889">
        <v>6</v>
      </c>
      <c r="C889">
        <v>4600</v>
      </c>
      <c r="D889">
        <v>5162</v>
      </c>
      <c r="E889" s="4">
        <f t="shared" si="57"/>
        <v>1</v>
      </c>
      <c r="F889" s="4">
        <f t="shared" si="58"/>
        <v>562</v>
      </c>
      <c r="G889" s="4">
        <f t="shared" si="56"/>
        <v>1.4926465028355387E-2</v>
      </c>
      <c r="H889" s="4">
        <f t="shared" si="59"/>
        <v>315844</v>
      </c>
      <c r="I889" s="5">
        <f>SQRT(SUM('r-pi-multi'!$D$3:D889)/COUNTIF($A$3:A889,"&lt;&gt;0"))</f>
        <v>77.258260285956652</v>
      </c>
    </row>
    <row r="890" spans="1:9">
      <c r="A890">
        <v>888</v>
      </c>
      <c r="B890">
        <v>5</v>
      </c>
      <c r="C890">
        <v>4600</v>
      </c>
      <c r="D890">
        <v>4299</v>
      </c>
      <c r="E890" s="4">
        <f t="shared" si="57"/>
        <v>1</v>
      </c>
      <c r="F890" s="4">
        <f t="shared" si="58"/>
        <v>301</v>
      </c>
      <c r="G890" s="4">
        <f t="shared" si="56"/>
        <v>4.2817107750472583E-3</v>
      </c>
      <c r="H890" s="4">
        <f t="shared" si="59"/>
        <v>90601</v>
      </c>
      <c r="I890" s="5">
        <f>SQRT(SUM('r-pi-multi'!$D$3:D890)/COUNTIF($A$3:A890,"&lt;&gt;0"))</f>
        <v>77.24608943715748</v>
      </c>
    </row>
    <row r="891" spans="1:9">
      <c r="A891">
        <v>889</v>
      </c>
      <c r="B891">
        <v>5</v>
      </c>
      <c r="C891">
        <v>4600</v>
      </c>
      <c r="D891">
        <v>4244</v>
      </c>
      <c r="E891" s="4">
        <f t="shared" si="57"/>
        <v>1</v>
      </c>
      <c r="F891" s="4">
        <f t="shared" si="58"/>
        <v>356</v>
      </c>
      <c r="G891" s="4">
        <f t="shared" si="56"/>
        <v>5.9894139886578438E-3</v>
      </c>
      <c r="H891" s="4">
        <f t="shared" si="59"/>
        <v>126736</v>
      </c>
      <c r="I891" s="5">
        <f>SQRT(SUM('r-pi-multi'!$D$3:D891)/COUNTIF($A$3:A891,"&lt;&gt;0"))</f>
        <v>77.233543538213155</v>
      </c>
    </row>
    <row r="892" spans="1:9">
      <c r="A892">
        <v>890</v>
      </c>
      <c r="B892">
        <v>6</v>
      </c>
      <c r="C892">
        <v>4600</v>
      </c>
      <c r="D892">
        <v>5063</v>
      </c>
      <c r="E892" s="4">
        <f t="shared" si="57"/>
        <v>1</v>
      </c>
      <c r="F892" s="4">
        <f t="shared" si="58"/>
        <v>463</v>
      </c>
      <c r="G892" s="4">
        <f t="shared" si="56"/>
        <v>1.0130860113421548E-2</v>
      </c>
      <c r="H892" s="4">
        <f t="shared" si="59"/>
        <v>214369</v>
      </c>
      <c r="I892" s="5">
        <f>SQRT(SUM('r-pi-multi'!$D$3:D892)/COUNTIF($A$3:A892,"&lt;&gt;0"))</f>
        <v>77.226981953026197</v>
      </c>
    </row>
    <row r="893" spans="1:9">
      <c r="A893">
        <v>891</v>
      </c>
      <c r="B893">
        <v>5</v>
      </c>
      <c r="C893">
        <v>4600</v>
      </c>
      <c r="D893">
        <v>4288</v>
      </c>
      <c r="E893" s="4">
        <f t="shared" si="57"/>
        <v>1</v>
      </c>
      <c r="F893" s="4">
        <f t="shared" si="58"/>
        <v>312</v>
      </c>
      <c r="G893" s="4">
        <f t="shared" si="56"/>
        <v>4.6003780718336489E-3</v>
      </c>
      <c r="H893" s="4">
        <f t="shared" si="59"/>
        <v>97344</v>
      </c>
      <c r="I893" s="5">
        <f>SQRT(SUM('r-pi-multi'!$D$3:D893)/COUNTIF($A$3:A893,"&lt;&gt;0"))</f>
        <v>77.214802346823589</v>
      </c>
    </row>
    <row r="894" spans="1:9">
      <c r="A894">
        <v>892</v>
      </c>
      <c r="B894">
        <v>6</v>
      </c>
      <c r="C894">
        <v>4600</v>
      </c>
      <c r="D894">
        <v>5109</v>
      </c>
      <c r="E894" s="4">
        <f t="shared" si="57"/>
        <v>1</v>
      </c>
      <c r="F894" s="4">
        <f t="shared" si="58"/>
        <v>509</v>
      </c>
      <c r="G894" s="4">
        <f t="shared" si="56"/>
        <v>1.224390359168242E-2</v>
      </c>
      <c r="H894" s="4">
        <f t="shared" si="59"/>
        <v>259081</v>
      </c>
      <c r="I894" s="5">
        <f>SQRT(SUM('r-pi-multi'!$D$3:D894)/COUNTIF($A$3:A894,"&lt;&gt;0"))</f>
        <v>77.208608862685836</v>
      </c>
    </row>
    <row r="895" spans="1:9">
      <c r="A895">
        <v>893</v>
      </c>
      <c r="B895">
        <v>5</v>
      </c>
      <c r="C895">
        <v>4600</v>
      </c>
      <c r="D895">
        <v>4208</v>
      </c>
      <c r="E895" s="4">
        <f t="shared" si="57"/>
        <v>1</v>
      </c>
      <c r="F895" s="4">
        <f t="shared" si="58"/>
        <v>392</v>
      </c>
      <c r="G895" s="4">
        <f t="shared" si="56"/>
        <v>7.2620037807183367E-3</v>
      </c>
      <c r="H895" s="4">
        <f t="shared" si="59"/>
        <v>153664</v>
      </c>
      <c r="I895" s="5">
        <f>SQRT(SUM('r-pi-multi'!$D$3:D895)/COUNTIF($A$3:A895,"&lt;&gt;0"))</f>
        <v>77.195893977804772</v>
      </c>
    </row>
    <row r="896" spans="1:9">
      <c r="A896">
        <v>894</v>
      </c>
      <c r="B896">
        <v>6</v>
      </c>
      <c r="C896">
        <v>4600</v>
      </c>
      <c r="D896">
        <v>4988</v>
      </c>
      <c r="E896" s="4">
        <f t="shared" si="57"/>
        <v>1</v>
      </c>
      <c r="F896" s="4">
        <f t="shared" si="58"/>
        <v>388</v>
      </c>
      <c r="G896" s="4">
        <f t="shared" si="56"/>
        <v>7.1145557655954636E-3</v>
      </c>
      <c r="H896" s="4">
        <f t="shared" si="59"/>
        <v>150544</v>
      </c>
      <c r="I896" s="5">
        <f>SQRT(SUM('r-pi-multi'!$D$3:D896)/COUNTIF($A$3:A896,"&lt;&gt;0"))</f>
        <v>77.188857270987597</v>
      </c>
    </row>
    <row r="897" spans="1:9">
      <c r="A897">
        <v>895</v>
      </c>
      <c r="B897">
        <v>5</v>
      </c>
      <c r="C897">
        <v>4600</v>
      </c>
      <c r="D897">
        <v>4307</v>
      </c>
      <c r="E897" s="4">
        <f t="shared" si="57"/>
        <v>1</v>
      </c>
      <c r="F897" s="4">
        <f t="shared" si="58"/>
        <v>293</v>
      </c>
      <c r="G897" s="4">
        <f t="shared" si="56"/>
        <v>4.0571361058601135E-3</v>
      </c>
      <c r="H897" s="4">
        <f t="shared" si="59"/>
        <v>85849</v>
      </c>
      <c r="I897" s="5">
        <f>SQRT(SUM('r-pi-multi'!$D$3:D897)/COUNTIF($A$3:A897,"&lt;&gt;0"))</f>
        <v>77.176906263047343</v>
      </c>
    </row>
    <row r="898" spans="1:9">
      <c r="A898">
        <v>896</v>
      </c>
      <c r="B898">
        <v>5</v>
      </c>
      <c r="C898">
        <v>4600</v>
      </c>
      <c r="D898">
        <v>4282</v>
      </c>
      <c r="E898" s="4">
        <f t="shared" si="57"/>
        <v>1</v>
      </c>
      <c r="F898" s="4">
        <f t="shared" si="58"/>
        <v>318</v>
      </c>
      <c r="G898" s="4">
        <f t="shared" si="56"/>
        <v>4.7790170132325132E-3</v>
      </c>
      <c r="H898" s="4">
        <f t="shared" si="59"/>
        <v>101124</v>
      </c>
      <c r="I898" s="5">
        <f>SQRT(SUM('r-pi-multi'!$D$3:D898)/COUNTIF($A$3:A898,"&lt;&gt;0"))</f>
        <v>77.164799293460234</v>
      </c>
    </row>
    <row r="899" spans="1:9">
      <c r="A899">
        <v>897</v>
      </c>
      <c r="B899">
        <v>6</v>
      </c>
      <c r="C899">
        <v>4600</v>
      </c>
      <c r="D899">
        <v>4784</v>
      </c>
      <c r="E899" s="4">
        <f t="shared" si="57"/>
        <v>1</v>
      </c>
      <c r="F899" s="4">
        <f t="shared" si="58"/>
        <v>184</v>
      </c>
      <c r="G899" s="4">
        <f t="shared" si="56"/>
        <v>1.6000000000000001E-3</v>
      </c>
      <c r="H899" s="4">
        <f t="shared" si="59"/>
        <v>33856</v>
      </c>
      <c r="I899" s="5">
        <f>SQRT(SUM('r-pi-multi'!$D$3:D899)/COUNTIF($A$3:A899,"&lt;&gt;0"))</f>
        <v>77.156344193302488</v>
      </c>
    </row>
    <row r="900" spans="1:9">
      <c r="A900">
        <v>898</v>
      </c>
      <c r="B900">
        <v>5</v>
      </c>
      <c r="C900">
        <v>4600</v>
      </c>
      <c r="D900">
        <v>3038</v>
      </c>
      <c r="E900" s="4">
        <f t="shared" si="57"/>
        <v>0</v>
      </c>
      <c r="F900" s="4">
        <f t="shared" si="58"/>
        <v>1562</v>
      </c>
      <c r="G900" s="4">
        <f t="shared" ref="G900:G902" si="60">POWER(ABS(C900-D900)/C900,2)</f>
        <v>0.11530453686200379</v>
      </c>
      <c r="H900" s="4">
        <f t="shared" si="59"/>
        <v>2439844</v>
      </c>
      <c r="I900" s="5">
        <f>SQRT(SUM('r-pi-multi'!$D$3:D900)/COUNTIF($A$3:A900,"&lt;&gt;0"))</f>
        <v>77.135304717444441</v>
      </c>
    </row>
    <row r="901" spans="1:9">
      <c r="A901">
        <v>899</v>
      </c>
      <c r="B901">
        <v>6</v>
      </c>
      <c r="C901">
        <v>4600</v>
      </c>
      <c r="D901">
        <v>4902</v>
      </c>
      <c r="E901" s="4">
        <f t="shared" si="57"/>
        <v>1</v>
      </c>
      <c r="F901" s="4">
        <f t="shared" si="58"/>
        <v>302</v>
      </c>
      <c r="G901" s="4">
        <f t="shared" si="60"/>
        <v>4.3102079395085074E-3</v>
      </c>
      <c r="H901" s="4">
        <f t="shared" si="59"/>
        <v>91204</v>
      </c>
      <c r="I901" s="5">
        <f>SQRT(SUM('r-pi-multi'!$D$3:D901)/COUNTIF($A$3:A901,"&lt;&gt;0"))</f>
        <v>77.127748931058619</v>
      </c>
    </row>
    <row r="902" spans="1:9">
      <c r="A902">
        <v>900</v>
      </c>
      <c r="B902">
        <v>6</v>
      </c>
      <c r="C902">
        <v>4600</v>
      </c>
      <c r="D902">
        <v>5041</v>
      </c>
      <c r="E902" s="4">
        <f t="shared" si="57"/>
        <v>1</v>
      </c>
      <c r="F902" s="4">
        <f t="shared" si="58"/>
        <v>441</v>
      </c>
      <c r="G902" s="4">
        <f t="shared" si="60"/>
        <v>9.190973534971645E-3</v>
      </c>
      <c r="H902" s="4">
        <f t="shared" si="59"/>
        <v>194481</v>
      </c>
      <c r="I902" s="5">
        <f>SQRT(SUM('r-pi-multi'!$D$3:D902)/COUNTIF($A$3:A902,"&lt;&gt;0"))</f>
        <v>77.121210513782202</v>
      </c>
    </row>
  </sheetData>
  <mergeCells count="8">
    <mergeCell ref="I1:I2"/>
    <mergeCell ref="A1:A2"/>
    <mergeCell ref="B1:B2"/>
    <mergeCell ref="C1:D1"/>
    <mergeCell ref="E1:E2"/>
    <mergeCell ref="F1:F2"/>
    <mergeCell ref="H1:H2"/>
    <mergeCell ref="G1:G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02"/>
  <sheetViews>
    <sheetView workbookViewId="0">
      <selection activeCell="F11" sqref="F11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6.90625" style="4" bestFit="1" customWidth="1"/>
    <col min="5" max="5" width="9.81640625" style="4" bestFit="1" customWidth="1"/>
    <col min="6" max="6" width="17.1796875" style="4" bestFit="1" customWidth="1"/>
    <col min="7" max="7" width="13" style="4" bestFit="1" customWidth="1"/>
    <col min="8" max="8" width="6.81640625" style="4" bestFit="1" customWidth="1"/>
    <col min="9" max="9" width="17.08984375" style="4" bestFit="1" customWidth="1"/>
  </cols>
  <sheetData>
    <row r="1" spans="1:9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36</v>
      </c>
      <c r="H1" s="42" t="s">
        <v>11</v>
      </c>
      <c r="I1" s="42" t="s">
        <v>12</v>
      </c>
    </row>
    <row r="2" spans="1:9">
      <c r="A2" s="43"/>
      <c r="B2" s="22" t="s">
        <v>6</v>
      </c>
      <c r="C2" s="22" t="s">
        <v>8</v>
      </c>
      <c r="D2" s="12" t="s">
        <v>14</v>
      </c>
      <c r="E2" s="43"/>
      <c r="F2" s="43"/>
      <c r="G2" s="43"/>
      <c r="H2" s="43"/>
      <c r="I2" s="43"/>
    </row>
    <row r="3" spans="1:9">
      <c r="A3">
        <v>1</v>
      </c>
      <c r="B3">
        <v>233</v>
      </c>
      <c r="C3">
        <v>96</v>
      </c>
      <c r="D3">
        <v>240</v>
      </c>
      <c r="E3" s="4">
        <f>IF(AND(C3&lt;=B3*1.2,C3&gt;=B3*0.8),1,0)</f>
        <v>0</v>
      </c>
      <c r="F3" s="4">
        <f>ABS(B3-C3)</f>
        <v>137</v>
      </c>
      <c r="G3" s="4">
        <f>POWER(ABS(B3-C3)/B3,2)</f>
        <v>0.34572381145351727</v>
      </c>
      <c r="H3" s="4">
        <f>POWER(F3,2)</f>
        <v>18769</v>
      </c>
      <c r="I3" s="5">
        <f>SQRT(SUM('p-native-fixed'!$C$3:C3)/COUNTIF($A$3:A3,"&lt;&gt;0"))</f>
        <v>9.7979589711327115</v>
      </c>
    </row>
    <row r="4" spans="1:9">
      <c r="A4">
        <v>2</v>
      </c>
      <c r="B4">
        <v>233</v>
      </c>
      <c r="C4">
        <v>88</v>
      </c>
      <c r="D4">
        <v>51</v>
      </c>
      <c r="E4" s="4">
        <f t="shared" ref="E4:E67" si="0">IF(AND(C4&lt;=B4*1.2,C4&gt;=B4*0.8),1,0)</f>
        <v>0</v>
      </c>
      <c r="F4" s="4">
        <f t="shared" ref="F4:F67" si="1">ABS(B4-C4)</f>
        <v>145</v>
      </c>
      <c r="G4" s="4">
        <f t="shared" ref="G4:G67" si="2">POWER(ABS(B4-C4)/B4,2)</f>
        <v>0.38727919099633445</v>
      </c>
      <c r="H4" s="4">
        <f t="shared" ref="H4:H67" si="3">POWER(F4,2)</f>
        <v>21025</v>
      </c>
      <c r="I4" s="5">
        <f>SQRT(SUM('p-native-fixed'!$C$3:C4)/COUNTIF($A$3:A4,"&lt;&gt;0"))</f>
        <v>9.5916630466254382</v>
      </c>
    </row>
    <row r="5" spans="1:9">
      <c r="A5">
        <v>3</v>
      </c>
      <c r="B5">
        <v>233</v>
      </c>
      <c r="C5">
        <v>74</v>
      </c>
      <c r="D5">
        <v>64</v>
      </c>
      <c r="E5" s="4">
        <f t="shared" si="0"/>
        <v>0</v>
      </c>
      <c r="F5" s="4">
        <f t="shared" si="1"/>
        <v>159</v>
      </c>
      <c r="G5" s="4">
        <f t="shared" si="2"/>
        <v>0.4656744460203725</v>
      </c>
      <c r="H5" s="4">
        <f t="shared" si="3"/>
        <v>25281</v>
      </c>
      <c r="I5" s="5">
        <f>SQRT(SUM('p-native-fixed'!$C$3:C5)/COUNTIF($A$3:A5,"&lt;&gt;0"))</f>
        <v>9.2736184954957039</v>
      </c>
    </row>
    <row r="6" spans="1:9">
      <c r="A6">
        <v>4</v>
      </c>
      <c r="B6">
        <v>233</v>
      </c>
      <c r="C6">
        <v>76</v>
      </c>
      <c r="D6">
        <v>80</v>
      </c>
      <c r="E6" s="4">
        <f t="shared" si="0"/>
        <v>0</v>
      </c>
      <c r="F6" s="4">
        <f t="shared" si="1"/>
        <v>157</v>
      </c>
      <c r="G6" s="4">
        <f t="shared" si="2"/>
        <v>0.45403304536830658</v>
      </c>
      <c r="H6" s="4">
        <f t="shared" si="3"/>
        <v>24649</v>
      </c>
      <c r="I6" s="5">
        <f>SQRT(SUM('p-native-fixed'!$C$3:C6)/COUNTIF($A$3:A6,"&lt;&gt;0"))</f>
        <v>9.1378334412485334</v>
      </c>
    </row>
    <row r="7" spans="1:9">
      <c r="A7">
        <v>5</v>
      </c>
      <c r="B7">
        <v>233</v>
      </c>
      <c r="C7">
        <v>88</v>
      </c>
      <c r="D7">
        <v>91</v>
      </c>
      <c r="E7" s="4">
        <f t="shared" si="0"/>
        <v>0</v>
      </c>
      <c r="F7" s="4">
        <f t="shared" si="1"/>
        <v>145</v>
      </c>
      <c r="G7" s="4">
        <f t="shared" si="2"/>
        <v>0.38727919099633445</v>
      </c>
      <c r="H7" s="4">
        <f t="shared" si="3"/>
        <v>21025</v>
      </c>
      <c r="I7" s="5">
        <f>SQRT(SUM('p-native-fixed'!$C$3:C7)/COUNTIF($A$3:A7,"&lt;&gt;0"))</f>
        <v>9.1869472622846811</v>
      </c>
    </row>
    <row r="8" spans="1:9">
      <c r="A8">
        <v>6</v>
      </c>
      <c r="B8">
        <v>233</v>
      </c>
      <c r="C8">
        <v>96</v>
      </c>
      <c r="D8">
        <v>98</v>
      </c>
      <c r="E8" s="4">
        <f t="shared" si="0"/>
        <v>0</v>
      </c>
      <c r="F8" s="4">
        <f t="shared" si="1"/>
        <v>137</v>
      </c>
      <c r="G8" s="4">
        <f t="shared" si="2"/>
        <v>0.34572381145351727</v>
      </c>
      <c r="H8" s="4">
        <f t="shared" si="3"/>
        <v>18769</v>
      </c>
      <c r="I8" s="5">
        <f>SQRT(SUM('p-native-fixed'!$C$3:C8)/COUNTIF($A$3:A8,"&lt;&gt;0"))</f>
        <v>9.2915732431775684</v>
      </c>
    </row>
    <row r="9" spans="1:9">
      <c r="A9">
        <v>7</v>
      </c>
      <c r="B9">
        <v>233</v>
      </c>
      <c r="C9">
        <v>104</v>
      </c>
      <c r="D9">
        <v>106</v>
      </c>
      <c r="E9" s="4">
        <f t="shared" si="0"/>
        <v>0</v>
      </c>
      <c r="F9" s="4">
        <f t="shared" si="1"/>
        <v>129</v>
      </c>
      <c r="G9" s="4">
        <f t="shared" si="2"/>
        <v>0.30652618394149828</v>
      </c>
      <c r="H9" s="4">
        <f t="shared" si="3"/>
        <v>16641</v>
      </c>
      <c r="I9" s="5">
        <f>SQRT(SUM('p-native-fixed'!$C$3:C9)/COUNTIF($A$3:A9,"&lt;&gt;0"))</f>
        <v>9.4264066778992124</v>
      </c>
    </row>
    <row r="10" spans="1:9">
      <c r="A10">
        <v>8</v>
      </c>
      <c r="B10">
        <v>233</v>
      </c>
      <c r="C10">
        <v>111</v>
      </c>
      <c r="D10">
        <v>113</v>
      </c>
      <c r="E10" s="4">
        <f t="shared" si="0"/>
        <v>0</v>
      </c>
      <c r="F10" s="4">
        <f t="shared" si="1"/>
        <v>122</v>
      </c>
      <c r="G10" s="4">
        <f t="shared" si="2"/>
        <v>0.27416235333124578</v>
      </c>
      <c r="H10" s="4">
        <f t="shared" si="3"/>
        <v>14884</v>
      </c>
      <c r="I10" s="5">
        <f>SQRT(SUM('p-native-fixed'!$C$3:C10)/COUNTIF($A$3:A10,"&lt;&gt;0"))</f>
        <v>9.5720948595383231</v>
      </c>
    </row>
    <row r="11" spans="1:9">
      <c r="A11">
        <v>9</v>
      </c>
      <c r="B11">
        <v>233</v>
      </c>
      <c r="C11">
        <v>118</v>
      </c>
      <c r="D11">
        <v>120</v>
      </c>
      <c r="E11" s="4">
        <f t="shared" si="0"/>
        <v>0</v>
      </c>
      <c r="F11" s="4">
        <f t="shared" si="1"/>
        <v>115</v>
      </c>
      <c r="G11" s="4">
        <f t="shared" si="2"/>
        <v>0.243603676619573</v>
      </c>
      <c r="H11" s="4">
        <f t="shared" si="3"/>
        <v>13225</v>
      </c>
      <c r="I11" s="5">
        <f>SQRT(SUM('p-native-fixed'!$C$3:C11)/COUNTIF($A$3:A11,"&lt;&gt;0"))</f>
        <v>9.7239680972098803</v>
      </c>
    </row>
    <row r="12" spans="1:9">
      <c r="A12">
        <v>10</v>
      </c>
      <c r="B12">
        <v>233</v>
      </c>
      <c r="C12">
        <v>125</v>
      </c>
      <c r="D12">
        <v>127</v>
      </c>
      <c r="E12" s="4">
        <f t="shared" si="0"/>
        <v>0</v>
      </c>
      <c r="F12" s="4">
        <f t="shared" si="1"/>
        <v>108</v>
      </c>
      <c r="G12" s="4">
        <f t="shared" si="2"/>
        <v>0.21485015380648012</v>
      </c>
      <c r="H12" s="4">
        <f t="shared" si="3"/>
        <v>11664</v>
      </c>
      <c r="I12" s="5">
        <f>SQRT(SUM('p-native-fixed'!$C$3:C12)/COUNTIF($A$3:A12,"&lt;&gt;0"))</f>
        <v>9.879271228182775</v>
      </c>
    </row>
    <row r="13" spans="1:9">
      <c r="A13">
        <v>11</v>
      </c>
      <c r="B13">
        <v>233</v>
      </c>
      <c r="C13">
        <v>131</v>
      </c>
      <c r="D13">
        <v>133</v>
      </c>
      <c r="E13" s="4">
        <f t="shared" si="0"/>
        <v>0</v>
      </c>
      <c r="F13" s="4">
        <f t="shared" si="1"/>
        <v>102</v>
      </c>
      <c r="G13" s="4">
        <f t="shared" si="2"/>
        <v>0.191641032253311</v>
      </c>
      <c r="H13" s="4">
        <f t="shared" si="3"/>
        <v>10404</v>
      </c>
      <c r="I13" s="5">
        <f>SQRT(SUM('p-native-fixed'!$C$3:C13)/COUNTIF($A$3:A13,"&lt;&gt;0"))</f>
        <v>10.03176772240883</v>
      </c>
    </row>
    <row r="14" spans="1:9">
      <c r="A14">
        <v>12</v>
      </c>
      <c r="B14">
        <v>233</v>
      </c>
      <c r="C14">
        <v>165</v>
      </c>
      <c r="D14">
        <v>139</v>
      </c>
      <c r="E14" s="4">
        <f t="shared" si="0"/>
        <v>0</v>
      </c>
      <c r="F14" s="4">
        <f t="shared" si="1"/>
        <v>68</v>
      </c>
      <c r="G14" s="4">
        <f t="shared" si="2"/>
        <v>8.5173792112582664E-2</v>
      </c>
      <c r="H14" s="4">
        <f t="shared" si="3"/>
        <v>4624</v>
      </c>
      <c r="I14" s="5">
        <f>SQRT(SUM('p-native-fixed'!$C$3:C14)/COUNTIF($A$3:A14,"&lt;&gt;0"))</f>
        <v>10.295630140987001</v>
      </c>
    </row>
    <row r="15" spans="1:9">
      <c r="A15">
        <v>13</v>
      </c>
      <c r="B15">
        <v>233</v>
      </c>
      <c r="C15">
        <v>127</v>
      </c>
      <c r="D15">
        <v>133</v>
      </c>
      <c r="E15" s="4">
        <f t="shared" si="0"/>
        <v>0</v>
      </c>
      <c r="F15" s="4">
        <f t="shared" si="1"/>
        <v>106</v>
      </c>
      <c r="G15" s="4">
        <f t="shared" si="2"/>
        <v>0.20696642045349883</v>
      </c>
      <c r="H15" s="4">
        <f t="shared" si="3"/>
        <v>11236</v>
      </c>
      <c r="I15" s="5">
        <f>SQRT(SUM('p-native-fixed'!$C$3:C15)/COUNTIF($A$3:A15,"&lt;&gt;0"))</f>
        <v>10.373783524605891</v>
      </c>
    </row>
    <row r="16" spans="1:9">
      <c r="A16">
        <v>14</v>
      </c>
      <c r="B16">
        <v>233</v>
      </c>
      <c r="C16">
        <v>138</v>
      </c>
      <c r="D16">
        <v>153</v>
      </c>
      <c r="E16" s="4">
        <f t="shared" si="0"/>
        <v>0</v>
      </c>
      <c r="F16" s="4">
        <f t="shared" si="1"/>
        <v>95</v>
      </c>
      <c r="G16" s="4">
        <f t="shared" si="2"/>
        <v>0.16623993810900922</v>
      </c>
      <c r="H16" s="4">
        <f t="shared" si="3"/>
        <v>9025</v>
      </c>
      <c r="I16" s="5">
        <f>SQRT(SUM('p-native-fixed'!$C$3:C16)/COUNTIF($A$3:A16,"&lt;&gt;0"))</f>
        <v>10.477867831086355</v>
      </c>
    </row>
    <row r="17" spans="1:9">
      <c r="A17">
        <v>15</v>
      </c>
      <c r="B17">
        <v>233</v>
      </c>
      <c r="C17">
        <v>156</v>
      </c>
      <c r="D17">
        <v>157</v>
      </c>
      <c r="E17" s="4">
        <f t="shared" si="0"/>
        <v>0</v>
      </c>
      <c r="F17" s="4">
        <f t="shared" si="1"/>
        <v>77</v>
      </c>
      <c r="G17" s="4">
        <f t="shared" si="2"/>
        <v>0.10921181086407929</v>
      </c>
      <c r="H17" s="4">
        <f t="shared" si="3"/>
        <v>5929</v>
      </c>
      <c r="I17" s="5">
        <f>SQRT(SUM('p-native-fixed'!$C$3:C17)/COUNTIF($A$3:A17,"&lt;&gt;0"))</f>
        <v>10.623872489194637</v>
      </c>
    </row>
    <row r="18" spans="1:9">
      <c r="A18">
        <v>16</v>
      </c>
      <c r="B18">
        <v>233</v>
      </c>
      <c r="C18">
        <v>197</v>
      </c>
      <c r="D18">
        <v>157</v>
      </c>
      <c r="E18" s="4">
        <f t="shared" si="0"/>
        <v>1</v>
      </c>
      <c r="F18" s="4">
        <f t="shared" si="1"/>
        <v>36</v>
      </c>
      <c r="G18" s="4">
        <f t="shared" si="2"/>
        <v>2.387223931183113E-2</v>
      </c>
      <c r="H18" s="4">
        <f t="shared" si="3"/>
        <v>1296</v>
      </c>
      <c r="I18" s="5">
        <f>SQRT(SUM('p-native-fixed'!$C$3:C18)/COUNTIF($A$3:A18,"&lt;&gt;0"))</f>
        <v>10.868532559642079</v>
      </c>
    </row>
    <row r="19" spans="1:9">
      <c r="A19">
        <v>17</v>
      </c>
      <c r="B19">
        <v>233</v>
      </c>
      <c r="C19">
        <v>181</v>
      </c>
      <c r="D19">
        <v>148</v>
      </c>
      <c r="E19" s="4">
        <f t="shared" si="0"/>
        <v>0</v>
      </c>
      <c r="F19" s="4">
        <f t="shared" si="1"/>
        <v>52</v>
      </c>
      <c r="G19" s="4">
        <f t="shared" si="2"/>
        <v>4.9807511650610627E-2</v>
      </c>
      <c r="H19" s="4">
        <f t="shared" si="3"/>
        <v>2704</v>
      </c>
      <c r="I19" s="5">
        <f>SQRT(SUM('p-native-fixed'!$C$3:C19)/COUNTIF($A$3:A19,"&lt;&gt;0"))</f>
        <v>11.037369678132771</v>
      </c>
    </row>
    <row r="20" spans="1:9">
      <c r="A20">
        <v>18</v>
      </c>
      <c r="B20">
        <v>233</v>
      </c>
      <c r="C20">
        <v>154</v>
      </c>
      <c r="D20">
        <v>156</v>
      </c>
      <c r="E20" s="4">
        <f t="shared" si="0"/>
        <v>0</v>
      </c>
      <c r="F20" s="4">
        <f t="shared" si="1"/>
        <v>79</v>
      </c>
      <c r="G20" s="4">
        <f t="shared" si="2"/>
        <v>0.11495883143914976</v>
      </c>
      <c r="H20" s="4">
        <f t="shared" si="3"/>
        <v>6241</v>
      </c>
      <c r="I20" s="5">
        <f>SQRT(SUM('p-native-fixed'!$C$3:C20)/COUNTIF($A$3:A20,"&lt;&gt;0"))</f>
        <v>11.118053386771946</v>
      </c>
    </row>
    <row r="21" spans="1:9">
      <c r="A21">
        <v>19</v>
      </c>
      <c r="B21">
        <v>233</v>
      </c>
      <c r="C21">
        <v>153</v>
      </c>
      <c r="D21">
        <v>170</v>
      </c>
      <c r="E21" s="4">
        <f t="shared" si="0"/>
        <v>0</v>
      </c>
      <c r="F21" s="4">
        <f t="shared" si="1"/>
        <v>80</v>
      </c>
      <c r="G21" s="4">
        <f t="shared" si="2"/>
        <v>0.11788760153990679</v>
      </c>
      <c r="H21" s="4">
        <f t="shared" si="3"/>
        <v>6400</v>
      </c>
      <c r="I21" s="5">
        <f>SQRT(SUM('p-native-fixed'!$C$3:C21)/COUNTIF($A$3:A21,"&lt;&gt;0"))</f>
        <v>11.187398926329664</v>
      </c>
    </row>
    <row r="22" spans="1:9">
      <c r="A22">
        <v>20</v>
      </c>
      <c r="B22">
        <v>233</v>
      </c>
      <c r="C22">
        <v>194</v>
      </c>
      <c r="D22">
        <v>176</v>
      </c>
      <c r="E22" s="4">
        <f t="shared" si="0"/>
        <v>1</v>
      </c>
      <c r="F22" s="4">
        <f t="shared" si="1"/>
        <v>39</v>
      </c>
      <c r="G22" s="4">
        <f t="shared" si="2"/>
        <v>2.8016725303468472E-2</v>
      </c>
      <c r="H22" s="4">
        <f t="shared" si="3"/>
        <v>1521</v>
      </c>
      <c r="I22" s="5">
        <f>SQRT(SUM('p-native-fixed'!$C$3:C22)/COUNTIF($A$3:A22,"&lt;&gt;0"))</f>
        <v>11.34019400186787</v>
      </c>
    </row>
    <row r="23" spans="1:9">
      <c r="A23">
        <v>21</v>
      </c>
      <c r="B23">
        <v>233</v>
      </c>
      <c r="C23">
        <v>168</v>
      </c>
      <c r="D23">
        <v>167</v>
      </c>
      <c r="E23" s="4">
        <f t="shared" si="0"/>
        <v>0</v>
      </c>
      <c r="F23" s="4">
        <f t="shared" si="1"/>
        <v>65</v>
      </c>
      <c r="G23" s="4">
        <f t="shared" si="2"/>
        <v>7.7824236954079085E-2</v>
      </c>
      <c r="H23" s="4">
        <f t="shared" si="3"/>
        <v>4225</v>
      </c>
      <c r="I23" s="5">
        <f>SQRT(SUM('p-native-fixed'!$C$3:C23)/COUNTIF($A$3:A23,"&lt;&gt;0"))</f>
        <v>11.422617496711972</v>
      </c>
    </row>
    <row r="24" spans="1:9">
      <c r="A24">
        <v>22</v>
      </c>
      <c r="B24">
        <v>233</v>
      </c>
      <c r="C24">
        <v>196</v>
      </c>
      <c r="D24">
        <v>179</v>
      </c>
      <c r="E24" s="4">
        <f t="shared" si="0"/>
        <v>1</v>
      </c>
      <c r="F24" s="4">
        <f t="shared" si="1"/>
        <v>37</v>
      </c>
      <c r="G24" s="4">
        <f t="shared" si="2"/>
        <v>2.5216894766895686E-2</v>
      </c>
      <c r="H24" s="4">
        <f t="shared" si="3"/>
        <v>1369</v>
      </c>
      <c r="I24" s="5">
        <f>SQRT(SUM('p-native-fixed'!$C$3:C24)/COUNTIF($A$3:A24,"&lt;&gt;0"))</f>
        <v>11.552252830272781</v>
      </c>
    </row>
    <row r="25" spans="1:9">
      <c r="A25">
        <v>23</v>
      </c>
      <c r="B25">
        <v>233</v>
      </c>
      <c r="C25">
        <v>160</v>
      </c>
      <c r="D25">
        <v>174</v>
      </c>
      <c r="E25" s="4">
        <f t="shared" si="0"/>
        <v>0</v>
      </c>
      <c r="F25" s="4">
        <f t="shared" si="1"/>
        <v>73</v>
      </c>
      <c r="G25" s="4">
        <f t="shared" si="2"/>
        <v>9.815984821971302E-2</v>
      </c>
      <c r="H25" s="4">
        <f t="shared" si="3"/>
        <v>5329</v>
      </c>
      <c r="I25" s="5">
        <f>SQRT(SUM('p-native-fixed'!$C$3:C25)/COUNTIF($A$3:A25,"&lt;&gt;0"))</f>
        <v>11.602098760662827</v>
      </c>
    </row>
    <row r="26" spans="1:9">
      <c r="A26">
        <v>24</v>
      </c>
      <c r="B26">
        <v>233</v>
      </c>
      <c r="C26">
        <v>183</v>
      </c>
      <c r="D26">
        <v>190</v>
      </c>
      <c r="E26" s="4">
        <f t="shared" si="0"/>
        <v>0</v>
      </c>
      <c r="F26" s="4">
        <f t="shared" si="1"/>
        <v>50</v>
      </c>
      <c r="G26" s="4">
        <f t="shared" si="2"/>
        <v>4.6049844351526092E-2</v>
      </c>
      <c r="H26" s="4">
        <f t="shared" si="3"/>
        <v>2500</v>
      </c>
      <c r="I26" s="5">
        <f>SQRT(SUM('p-native-fixed'!$C$3:C26)/COUNTIF($A$3:A26,"&lt;&gt;0"))</f>
        <v>11.68866972756096</v>
      </c>
    </row>
    <row r="27" spans="1:9">
      <c r="A27">
        <v>25</v>
      </c>
      <c r="B27">
        <v>233</v>
      </c>
      <c r="C27">
        <v>205</v>
      </c>
      <c r="D27">
        <v>187</v>
      </c>
      <c r="E27" s="4">
        <f t="shared" si="0"/>
        <v>1</v>
      </c>
      <c r="F27" s="4">
        <f t="shared" si="1"/>
        <v>28</v>
      </c>
      <c r="G27" s="4">
        <f t="shared" si="2"/>
        <v>1.4441231188638583E-2</v>
      </c>
      <c r="H27" s="4">
        <f t="shared" si="3"/>
        <v>784</v>
      </c>
      <c r="I27" s="5">
        <f>SQRT(SUM('p-native-fixed'!$C$3:C27)/COUNTIF($A$3:A27,"&lt;&gt;0"))</f>
        <v>11.805083650698965</v>
      </c>
    </row>
    <row r="28" spans="1:9">
      <c r="A28">
        <v>26</v>
      </c>
      <c r="B28">
        <v>233</v>
      </c>
      <c r="C28">
        <v>206</v>
      </c>
      <c r="D28">
        <v>182</v>
      </c>
      <c r="E28" s="4">
        <f t="shared" si="0"/>
        <v>1</v>
      </c>
      <c r="F28" s="4">
        <f t="shared" si="1"/>
        <v>27</v>
      </c>
      <c r="G28" s="4">
        <f t="shared" si="2"/>
        <v>1.3428134612905008E-2</v>
      </c>
      <c r="H28" s="4">
        <f t="shared" si="3"/>
        <v>729</v>
      </c>
      <c r="I28" s="5">
        <f>SQRT(SUM('p-native-fixed'!$C$3:C28)/COUNTIF($A$3:A28,"&lt;&gt;0"))</f>
        <v>11.913147229975667</v>
      </c>
    </row>
    <row r="29" spans="1:9">
      <c r="A29">
        <v>27</v>
      </c>
      <c r="B29">
        <v>233</v>
      </c>
      <c r="C29">
        <v>200</v>
      </c>
      <c r="D29">
        <v>184</v>
      </c>
      <c r="E29" s="4">
        <f t="shared" si="0"/>
        <v>1</v>
      </c>
      <c r="F29" s="4">
        <f t="shared" si="1"/>
        <v>33</v>
      </c>
      <c r="G29" s="4">
        <f t="shared" si="2"/>
        <v>2.0059312199524768E-2</v>
      </c>
      <c r="H29" s="4">
        <f t="shared" si="3"/>
        <v>1089</v>
      </c>
      <c r="I29" s="5">
        <f>SQRT(SUM('p-native-fixed'!$C$3:C29)/COUNTIF($A$3:A29,"&lt;&gt;0"))</f>
        <v>12.003086022939021</v>
      </c>
    </row>
    <row r="30" spans="1:9">
      <c r="A30">
        <v>28</v>
      </c>
      <c r="B30">
        <v>233</v>
      </c>
      <c r="C30">
        <v>244</v>
      </c>
      <c r="D30">
        <v>188</v>
      </c>
      <c r="E30" s="4">
        <f t="shared" si="0"/>
        <v>1</v>
      </c>
      <c r="F30" s="4">
        <f t="shared" si="1"/>
        <v>11</v>
      </c>
      <c r="G30" s="4">
        <f t="shared" si="2"/>
        <v>2.2288124666138632E-3</v>
      </c>
      <c r="H30" s="4">
        <f t="shared" si="3"/>
        <v>121</v>
      </c>
      <c r="I30" s="5">
        <f>SQRT(SUM('p-native-fixed'!$C$3:C30)/COUNTIF($A$3:A30,"&lt;&gt;0"))</f>
        <v>12.150837713625227</v>
      </c>
    </row>
    <row r="31" spans="1:9">
      <c r="A31">
        <v>29</v>
      </c>
      <c r="B31">
        <v>233</v>
      </c>
      <c r="C31">
        <v>142</v>
      </c>
      <c r="D31">
        <v>174</v>
      </c>
      <c r="E31" s="4">
        <f t="shared" si="0"/>
        <v>0</v>
      </c>
      <c r="F31" s="4">
        <f t="shared" si="1"/>
        <v>91</v>
      </c>
      <c r="G31" s="4">
        <f t="shared" si="2"/>
        <v>0.15253550442999503</v>
      </c>
      <c r="H31" s="4">
        <f t="shared" si="3"/>
        <v>8281</v>
      </c>
      <c r="I31" s="5">
        <f>SQRT(SUM('p-native-fixed'!$C$3:C31)/COUNTIF($A$3:A31,"&lt;&gt;0"))</f>
        <v>12.142828165714484</v>
      </c>
    </row>
    <row r="32" spans="1:9">
      <c r="A32">
        <v>30</v>
      </c>
      <c r="B32">
        <v>233</v>
      </c>
      <c r="C32">
        <v>202</v>
      </c>
      <c r="D32">
        <v>212</v>
      </c>
      <c r="E32" s="4">
        <f t="shared" si="0"/>
        <v>1</v>
      </c>
      <c r="F32" s="4">
        <f t="shared" si="1"/>
        <v>31</v>
      </c>
      <c r="G32" s="4">
        <f t="shared" si="2"/>
        <v>1.7701560168726628E-2</v>
      </c>
      <c r="H32" s="4">
        <f t="shared" si="3"/>
        <v>961</v>
      </c>
      <c r="I32" s="5">
        <f>SQRT(SUM('p-native-fixed'!$C$3:C32)/COUNTIF($A$3:A32,"&lt;&gt;0"))</f>
        <v>12.217473825086211</v>
      </c>
    </row>
    <row r="33" spans="1:9">
      <c r="A33">
        <v>31</v>
      </c>
      <c r="B33">
        <v>233</v>
      </c>
      <c r="C33">
        <v>200</v>
      </c>
      <c r="D33">
        <v>196</v>
      </c>
      <c r="E33" s="4">
        <f t="shared" si="0"/>
        <v>1</v>
      </c>
      <c r="F33" s="4">
        <f t="shared" si="1"/>
        <v>33</v>
      </c>
      <c r="G33" s="4">
        <f t="shared" si="2"/>
        <v>2.0059312199524768E-2</v>
      </c>
      <c r="H33" s="4">
        <f t="shared" si="3"/>
        <v>1089</v>
      </c>
      <c r="I33" s="5">
        <f>SQRT(SUM('p-native-fixed'!$C$3:C33)/COUNTIF($A$3:A33,"&lt;&gt;0"))</f>
        <v>12.2842674102468</v>
      </c>
    </row>
    <row r="34" spans="1:9">
      <c r="A34">
        <v>32</v>
      </c>
      <c r="B34">
        <v>233</v>
      </c>
      <c r="C34">
        <v>217</v>
      </c>
      <c r="D34">
        <v>199</v>
      </c>
      <c r="E34" s="4">
        <f t="shared" si="0"/>
        <v>1</v>
      </c>
      <c r="F34" s="4">
        <f t="shared" si="1"/>
        <v>16</v>
      </c>
      <c r="G34" s="4">
        <f t="shared" si="2"/>
        <v>4.7155040615962721E-3</v>
      </c>
      <c r="H34" s="4">
        <f t="shared" si="3"/>
        <v>256</v>
      </c>
      <c r="I34" s="5">
        <f>SQRT(SUM('p-native-fixed'!$C$3:C34)/COUNTIF($A$3:A34,"&lt;&gt;0"))</f>
        <v>12.368053605964036</v>
      </c>
    </row>
    <row r="35" spans="1:9">
      <c r="A35">
        <v>33</v>
      </c>
      <c r="B35">
        <v>233</v>
      </c>
      <c r="C35">
        <v>254</v>
      </c>
      <c r="D35">
        <v>195</v>
      </c>
      <c r="E35" s="4">
        <f t="shared" si="0"/>
        <v>1</v>
      </c>
      <c r="F35" s="4">
        <f t="shared" si="1"/>
        <v>21</v>
      </c>
      <c r="G35" s="4">
        <f t="shared" si="2"/>
        <v>8.1231925436092024E-3</v>
      </c>
      <c r="H35" s="4">
        <f t="shared" si="3"/>
        <v>441</v>
      </c>
      <c r="I35" s="5">
        <f>SQRT(SUM('p-native-fixed'!$C$3:C35)/COUNTIF($A$3:A35,"&lt;&gt;0"))</f>
        <v>12.491209029965956</v>
      </c>
    </row>
    <row r="36" spans="1:9">
      <c r="A36">
        <v>34</v>
      </c>
      <c r="B36">
        <v>233</v>
      </c>
      <c r="C36">
        <v>184</v>
      </c>
      <c r="D36">
        <v>182</v>
      </c>
      <c r="E36" s="4">
        <f t="shared" si="0"/>
        <v>0</v>
      </c>
      <c r="F36" s="4">
        <f t="shared" si="1"/>
        <v>49</v>
      </c>
      <c r="G36" s="4">
        <f t="shared" si="2"/>
        <v>4.4226270515205661E-2</v>
      </c>
      <c r="H36" s="4">
        <f t="shared" si="3"/>
        <v>2401</v>
      </c>
      <c r="I36" s="5">
        <f>SQRT(SUM('p-native-fixed'!$C$3:C36)/COUNTIF($A$3:A36,"&lt;&gt;0"))</f>
        <v>12.524094425405398</v>
      </c>
    </row>
    <row r="37" spans="1:9">
      <c r="A37">
        <v>35</v>
      </c>
      <c r="B37">
        <v>233</v>
      </c>
      <c r="C37">
        <v>160</v>
      </c>
      <c r="D37">
        <v>207</v>
      </c>
      <c r="E37" s="4">
        <f t="shared" si="0"/>
        <v>0</v>
      </c>
      <c r="F37" s="4">
        <f t="shared" si="1"/>
        <v>73</v>
      </c>
      <c r="G37" s="4">
        <f t="shared" si="2"/>
        <v>9.815984821971302E-2</v>
      </c>
      <c r="H37" s="4">
        <f t="shared" si="3"/>
        <v>5329</v>
      </c>
      <c r="I37" s="5">
        <f>SQRT(SUM('p-native-fixed'!$C$3:C37)/COUNTIF($A$3:A37,"&lt;&gt;0"))</f>
        <v>12.527683630378649</v>
      </c>
    </row>
    <row r="38" spans="1:9">
      <c r="A38">
        <v>36</v>
      </c>
      <c r="B38">
        <v>233</v>
      </c>
      <c r="C38">
        <v>193</v>
      </c>
      <c r="D38">
        <v>220</v>
      </c>
      <c r="E38" s="4">
        <f t="shared" si="0"/>
        <v>1</v>
      </c>
      <c r="F38" s="4">
        <f t="shared" si="1"/>
        <v>40</v>
      </c>
      <c r="G38" s="4">
        <f t="shared" si="2"/>
        <v>2.9471900384976699E-2</v>
      </c>
      <c r="H38" s="4">
        <f t="shared" si="3"/>
        <v>1600</v>
      </c>
      <c r="I38" s="5">
        <f>SQRT(SUM('p-native-fixed'!$C$3:C38)/COUNTIF($A$3:A38,"&lt;&gt;0"))</f>
        <v>12.567595014339238</v>
      </c>
    </row>
    <row r="39" spans="1:9">
      <c r="A39">
        <v>37</v>
      </c>
      <c r="B39">
        <v>233</v>
      </c>
      <c r="C39">
        <v>270</v>
      </c>
      <c r="D39">
        <v>213</v>
      </c>
      <c r="E39" s="4">
        <f t="shared" si="0"/>
        <v>1</v>
      </c>
      <c r="F39" s="4">
        <f t="shared" si="1"/>
        <v>37</v>
      </c>
      <c r="G39" s="4">
        <f t="shared" si="2"/>
        <v>2.5216894766895686E-2</v>
      </c>
      <c r="H39" s="4">
        <f t="shared" si="3"/>
        <v>1369</v>
      </c>
      <c r="I39" s="5">
        <f>SQRT(SUM('p-native-fixed'!$C$3:C39)/COUNTIF($A$3:A39,"&lt;&gt;0"))</f>
        <v>12.687512481687376</v>
      </c>
    </row>
    <row r="40" spans="1:9">
      <c r="A40">
        <v>38</v>
      </c>
      <c r="B40">
        <v>233</v>
      </c>
      <c r="C40">
        <v>229</v>
      </c>
      <c r="D40">
        <v>187</v>
      </c>
      <c r="E40" s="4">
        <f t="shared" si="0"/>
        <v>1</v>
      </c>
      <c r="F40" s="4">
        <f t="shared" si="1"/>
        <v>4</v>
      </c>
      <c r="G40" s="4">
        <f t="shared" si="2"/>
        <v>2.94719003849767E-4</v>
      </c>
      <c r="H40" s="4">
        <f t="shared" si="3"/>
        <v>16</v>
      </c>
      <c r="I40" s="5">
        <f>SQRT(SUM('p-native-fixed'!$C$3:C40)/COUNTIF($A$3:A40,"&lt;&gt;0"))</f>
        <v>12.757866510304019</v>
      </c>
    </row>
    <row r="41" spans="1:9">
      <c r="A41">
        <v>39</v>
      </c>
      <c r="B41">
        <v>233</v>
      </c>
      <c r="C41">
        <v>196</v>
      </c>
      <c r="D41">
        <v>199</v>
      </c>
      <c r="E41" s="4">
        <f t="shared" si="0"/>
        <v>1</v>
      </c>
      <c r="F41" s="4">
        <f t="shared" si="1"/>
        <v>37</v>
      </c>
      <c r="G41" s="4">
        <f t="shared" si="2"/>
        <v>2.5216894766895686E-2</v>
      </c>
      <c r="H41" s="4">
        <f t="shared" si="3"/>
        <v>1369</v>
      </c>
      <c r="I41" s="5">
        <f>SQRT(SUM('p-native-fixed'!$C$3:C41)/COUNTIF($A$3:A41,"&lt;&gt;0"))</f>
        <v>12.791222952297588</v>
      </c>
    </row>
    <row r="42" spans="1:9">
      <c r="A42">
        <v>40</v>
      </c>
      <c r="B42">
        <v>233</v>
      </c>
      <c r="C42">
        <v>247</v>
      </c>
      <c r="D42">
        <v>212</v>
      </c>
      <c r="E42" s="4">
        <f t="shared" si="0"/>
        <v>1</v>
      </c>
      <c r="F42" s="4">
        <f t="shared" si="1"/>
        <v>14</v>
      </c>
      <c r="G42" s="4">
        <f t="shared" si="2"/>
        <v>3.6103077971596457E-3</v>
      </c>
      <c r="H42" s="4">
        <f t="shared" si="3"/>
        <v>196</v>
      </c>
      <c r="I42" s="5">
        <f>SQRT(SUM('p-native-fixed'!$C$3:C42)/COUNTIF($A$3:A42,"&lt;&gt;0"))</f>
        <v>12.872451204024818</v>
      </c>
    </row>
    <row r="43" spans="1:9">
      <c r="A43">
        <v>41</v>
      </c>
      <c r="B43">
        <v>233</v>
      </c>
      <c r="C43">
        <v>199</v>
      </c>
      <c r="D43">
        <v>196</v>
      </c>
      <c r="E43" s="4">
        <f t="shared" si="0"/>
        <v>1</v>
      </c>
      <c r="F43" s="4">
        <f t="shared" si="1"/>
        <v>34</v>
      </c>
      <c r="G43" s="4">
        <f t="shared" si="2"/>
        <v>2.1293448028145666E-2</v>
      </c>
      <c r="H43" s="4">
        <f t="shared" si="3"/>
        <v>1156</v>
      </c>
      <c r="I43" s="5">
        <f>SQRT(SUM('p-native-fixed'!$C$3:C43)/COUNTIF($A$3:A43,"&lt;&gt;0"))</f>
        <v>12.903960443288378</v>
      </c>
    </row>
    <row r="44" spans="1:9">
      <c r="A44">
        <v>42</v>
      </c>
      <c r="B44">
        <v>233</v>
      </c>
      <c r="C44">
        <v>207</v>
      </c>
      <c r="D44">
        <v>213</v>
      </c>
      <c r="E44" s="4">
        <f t="shared" si="0"/>
        <v>1</v>
      </c>
      <c r="F44" s="4">
        <f t="shared" si="1"/>
        <v>26</v>
      </c>
      <c r="G44" s="4">
        <f t="shared" si="2"/>
        <v>1.2451877912652657E-2</v>
      </c>
      <c r="H44" s="4">
        <f t="shared" si="3"/>
        <v>676</v>
      </c>
      <c r="I44" s="5">
        <f>SQRT(SUM('p-native-fixed'!$C$3:C44)/COUNTIF($A$3:A44,"&lt;&gt;0"))</f>
        <v>12.941259230700483</v>
      </c>
    </row>
    <row r="45" spans="1:9">
      <c r="A45">
        <v>43</v>
      </c>
      <c r="B45">
        <v>233</v>
      </c>
      <c r="C45">
        <v>232</v>
      </c>
      <c r="D45">
        <v>212</v>
      </c>
      <c r="E45" s="4">
        <f t="shared" si="0"/>
        <v>1</v>
      </c>
      <c r="F45" s="4">
        <f t="shared" si="1"/>
        <v>1</v>
      </c>
      <c r="G45" s="4">
        <f t="shared" si="2"/>
        <v>1.8419937740610438E-5</v>
      </c>
      <c r="H45" s="4">
        <f t="shared" si="3"/>
        <v>1</v>
      </c>
      <c r="I45" s="5">
        <f>SQRT(SUM('p-native-fixed'!$C$3:C45)/COUNTIF($A$3:A45,"&lt;&gt;0"))</f>
        <v>12.999105514843954</v>
      </c>
    </row>
    <row r="46" spans="1:9">
      <c r="A46">
        <v>44</v>
      </c>
      <c r="B46">
        <v>233</v>
      </c>
      <c r="C46">
        <v>204</v>
      </c>
      <c r="D46">
        <v>205</v>
      </c>
      <c r="E46" s="4">
        <f t="shared" si="0"/>
        <v>1</v>
      </c>
      <c r="F46" s="4">
        <f t="shared" si="1"/>
        <v>29</v>
      </c>
      <c r="G46" s="4">
        <f t="shared" si="2"/>
        <v>1.5491167639853379E-2</v>
      </c>
      <c r="H46" s="4">
        <f t="shared" si="3"/>
        <v>841</v>
      </c>
      <c r="I46" s="5">
        <f>SQRT(SUM('p-native-fixed'!$C$3:C46)/COUNTIF($A$3:A46,"&lt;&gt;0"))</f>
        <v>13.029686384281369</v>
      </c>
    </row>
    <row r="47" spans="1:9">
      <c r="A47">
        <v>45</v>
      </c>
      <c r="B47">
        <v>233</v>
      </c>
      <c r="C47">
        <v>212</v>
      </c>
      <c r="D47">
        <v>215</v>
      </c>
      <c r="E47" s="4">
        <f t="shared" si="0"/>
        <v>1</v>
      </c>
      <c r="F47" s="4">
        <f t="shared" si="1"/>
        <v>21</v>
      </c>
      <c r="G47" s="4">
        <f t="shared" si="2"/>
        <v>8.1231925436092024E-3</v>
      </c>
      <c r="H47" s="4">
        <f t="shared" si="3"/>
        <v>441</v>
      </c>
      <c r="I47" s="5">
        <f>SQRT(SUM('p-native-fixed'!$C$3:C47)/COUNTIF($A$3:A47,"&lt;&gt;0"))</f>
        <v>13.065646218657196</v>
      </c>
    </row>
    <row r="48" spans="1:9">
      <c r="A48">
        <v>46</v>
      </c>
      <c r="B48">
        <v>233</v>
      </c>
      <c r="C48">
        <v>272</v>
      </c>
      <c r="D48">
        <v>215</v>
      </c>
      <c r="E48" s="4">
        <f t="shared" si="0"/>
        <v>1</v>
      </c>
      <c r="F48" s="4">
        <f t="shared" si="1"/>
        <v>39</v>
      </c>
      <c r="G48" s="4">
        <f t="shared" si="2"/>
        <v>2.8016725303468472E-2</v>
      </c>
      <c r="H48" s="4">
        <f t="shared" si="3"/>
        <v>1521</v>
      </c>
      <c r="I48" s="5">
        <f>SQRT(SUM('p-native-fixed'!$C$3:C48)/COUNTIF($A$3:A48,"&lt;&gt;0"))</f>
        <v>13.149640431519824</v>
      </c>
    </row>
    <row r="49" spans="1:9">
      <c r="A49">
        <v>47</v>
      </c>
      <c r="B49">
        <v>233</v>
      </c>
      <c r="C49">
        <v>237</v>
      </c>
      <c r="D49">
        <v>194</v>
      </c>
      <c r="E49" s="4">
        <f t="shared" si="0"/>
        <v>1</v>
      </c>
      <c r="F49" s="4">
        <f t="shared" si="1"/>
        <v>4</v>
      </c>
      <c r="G49" s="4">
        <f t="shared" si="2"/>
        <v>2.94719003849767E-4</v>
      </c>
      <c r="H49" s="4">
        <f t="shared" si="3"/>
        <v>16</v>
      </c>
      <c r="I49" s="5">
        <f>SQRT(SUM('p-native-fixed'!$C$3:C49)/COUNTIF($A$3:A49,"&lt;&gt;0"))</f>
        <v>13.201386129671416</v>
      </c>
    </row>
    <row r="50" spans="1:9">
      <c r="A50">
        <v>48</v>
      </c>
      <c r="B50">
        <v>233</v>
      </c>
      <c r="C50">
        <v>242</v>
      </c>
      <c r="D50">
        <v>204</v>
      </c>
      <c r="E50" s="4">
        <f t="shared" si="0"/>
        <v>1</v>
      </c>
      <c r="F50" s="4">
        <f t="shared" si="1"/>
        <v>9</v>
      </c>
      <c r="G50" s="4">
        <f t="shared" si="2"/>
        <v>1.4920149569894456E-3</v>
      </c>
      <c r="H50" s="4">
        <f t="shared" si="3"/>
        <v>81</v>
      </c>
      <c r="I50" s="5">
        <f>SQRT(SUM('p-native-fixed'!$C$3:C50)/COUNTIF($A$3:A50,"&lt;&gt;0"))</f>
        <v>13.254716141811564</v>
      </c>
    </row>
    <row r="51" spans="1:9">
      <c r="A51">
        <v>49</v>
      </c>
      <c r="B51">
        <v>233</v>
      </c>
      <c r="C51">
        <v>202</v>
      </c>
      <c r="D51">
        <v>202</v>
      </c>
      <c r="E51" s="4">
        <f t="shared" si="0"/>
        <v>1</v>
      </c>
      <c r="F51" s="4">
        <f t="shared" si="1"/>
        <v>31</v>
      </c>
      <c r="G51" s="4">
        <f t="shared" si="2"/>
        <v>1.7701560168726628E-2</v>
      </c>
      <c r="H51" s="4">
        <f t="shared" si="3"/>
        <v>961</v>
      </c>
      <c r="I51" s="5">
        <f>SQRT(SUM('p-native-fixed'!$C$3:C51)/COUNTIF($A$3:A51,"&lt;&gt;0"))</f>
        <v>13.274957242715262</v>
      </c>
    </row>
    <row r="52" spans="1:9">
      <c r="A52">
        <v>50</v>
      </c>
      <c r="B52">
        <v>233</v>
      </c>
      <c r="C52">
        <v>190</v>
      </c>
      <c r="D52">
        <v>216</v>
      </c>
      <c r="E52" s="4">
        <f t="shared" si="0"/>
        <v>1</v>
      </c>
      <c r="F52" s="4">
        <f t="shared" si="1"/>
        <v>43</v>
      </c>
      <c r="G52" s="4">
        <f t="shared" si="2"/>
        <v>3.40584648823887E-2</v>
      </c>
      <c r="H52" s="4">
        <f t="shared" si="3"/>
        <v>1849</v>
      </c>
      <c r="I52" s="5">
        <f>SQRT(SUM('p-native-fixed'!$C$3:C52)/COUNTIF($A$3:A52,"&lt;&gt;0"))</f>
        <v>13.285330255586423</v>
      </c>
    </row>
    <row r="53" spans="1:9">
      <c r="A53">
        <v>51</v>
      </c>
      <c r="B53">
        <v>233</v>
      </c>
      <c r="C53">
        <v>217</v>
      </c>
      <c r="D53">
        <v>223</v>
      </c>
      <c r="E53" s="4">
        <f t="shared" si="0"/>
        <v>1</v>
      </c>
      <c r="F53" s="4">
        <f t="shared" si="1"/>
        <v>16</v>
      </c>
      <c r="G53" s="4">
        <f t="shared" si="2"/>
        <v>4.7155040615962721E-3</v>
      </c>
      <c r="H53" s="4">
        <f t="shared" si="3"/>
        <v>256</v>
      </c>
      <c r="I53" s="5">
        <f>SQRT(SUM('p-native-fixed'!$C$3:C53)/COUNTIF($A$3:A53,"&lt;&gt;0"))</f>
        <v>13.315183725621619</v>
      </c>
    </row>
    <row r="54" spans="1:9">
      <c r="A54">
        <v>52</v>
      </c>
      <c r="B54">
        <v>233</v>
      </c>
      <c r="C54">
        <v>194</v>
      </c>
      <c r="D54">
        <v>216</v>
      </c>
      <c r="E54" s="4">
        <f t="shared" si="0"/>
        <v>1</v>
      </c>
      <c r="F54" s="4">
        <f t="shared" si="1"/>
        <v>39</v>
      </c>
      <c r="G54" s="4">
        <f t="shared" si="2"/>
        <v>2.8016725303468472E-2</v>
      </c>
      <c r="H54" s="4">
        <f t="shared" si="3"/>
        <v>1521</v>
      </c>
      <c r="I54" s="5">
        <f>SQRT(SUM('p-native-fixed'!$C$3:C54)/COUNTIF($A$3:A54,"&lt;&gt;0"))</f>
        <v>13.32724219842142</v>
      </c>
    </row>
    <row r="55" spans="1:9">
      <c r="A55">
        <v>53</v>
      </c>
      <c r="B55">
        <v>233</v>
      </c>
      <c r="C55">
        <v>244</v>
      </c>
      <c r="D55">
        <v>226</v>
      </c>
      <c r="E55" s="4">
        <f t="shared" si="0"/>
        <v>1</v>
      </c>
      <c r="F55" s="4">
        <f t="shared" si="1"/>
        <v>11</v>
      </c>
      <c r="G55" s="4">
        <f t="shared" si="2"/>
        <v>2.2288124666138632E-3</v>
      </c>
      <c r="H55" s="4">
        <f t="shared" si="3"/>
        <v>121</v>
      </c>
      <c r="I55" s="5">
        <f>SQRT(SUM('p-native-fixed'!$C$3:C55)/COUNTIF($A$3:A55,"&lt;&gt;0"))</f>
        <v>13.37415135731243</v>
      </c>
    </row>
    <row r="56" spans="1:9">
      <c r="A56">
        <v>54</v>
      </c>
      <c r="B56">
        <v>233</v>
      </c>
      <c r="C56">
        <v>208</v>
      </c>
      <c r="D56">
        <v>210</v>
      </c>
      <c r="E56" s="4">
        <f t="shared" si="0"/>
        <v>1</v>
      </c>
      <c r="F56" s="4">
        <f t="shared" si="1"/>
        <v>25</v>
      </c>
      <c r="G56" s="4">
        <f t="shared" si="2"/>
        <v>1.1512461087881523E-2</v>
      </c>
      <c r="H56" s="4">
        <f t="shared" si="3"/>
        <v>625</v>
      </c>
      <c r="I56" s="5">
        <f>SQRT(SUM('p-native-fixed'!$C$3:C56)/COUNTIF($A$3:A56,"&lt;&gt;0"))</f>
        <v>13.394305036373012</v>
      </c>
    </row>
    <row r="57" spans="1:9">
      <c r="A57">
        <v>55</v>
      </c>
      <c r="B57">
        <v>233</v>
      </c>
      <c r="C57">
        <v>255</v>
      </c>
      <c r="D57">
        <v>223</v>
      </c>
      <c r="E57" s="4">
        <f t="shared" si="0"/>
        <v>1</v>
      </c>
      <c r="F57" s="4">
        <f t="shared" si="1"/>
        <v>22</v>
      </c>
      <c r="G57" s="4">
        <f t="shared" si="2"/>
        <v>8.9152498664554526E-3</v>
      </c>
      <c r="H57" s="4">
        <f t="shared" si="3"/>
        <v>484</v>
      </c>
      <c r="I57" s="5">
        <f>SQRT(SUM('p-native-fixed'!$C$3:C57)/COUNTIF($A$3:A57,"&lt;&gt;0"))</f>
        <v>13.445512938591007</v>
      </c>
    </row>
    <row r="58" spans="1:9">
      <c r="A58">
        <v>56</v>
      </c>
      <c r="B58">
        <v>233</v>
      </c>
      <c r="C58">
        <v>142</v>
      </c>
      <c r="D58">
        <v>207</v>
      </c>
      <c r="E58" s="4">
        <f t="shared" si="0"/>
        <v>0</v>
      </c>
      <c r="F58" s="4">
        <f t="shared" si="1"/>
        <v>91</v>
      </c>
      <c r="G58" s="4">
        <f t="shared" si="2"/>
        <v>0.15253550442999503</v>
      </c>
      <c r="H58" s="4">
        <f t="shared" si="3"/>
        <v>8281</v>
      </c>
      <c r="I58" s="5">
        <f>SQRT(SUM('p-native-fixed'!$C$3:C58)/COUNTIF($A$3:A58,"&lt;&gt;0"))</f>
        <v>13.419734934576232</v>
      </c>
    </row>
    <row r="59" spans="1:9">
      <c r="A59">
        <v>57</v>
      </c>
      <c r="B59">
        <v>233</v>
      </c>
      <c r="C59">
        <v>209</v>
      </c>
      <c r="D59">
        <v>247</v>
      </c>
      <c r="E59" s="4">
        <f t="shared" si="0"/>
        <v>1</v>
      </c>
      <c r="F59" s="4">
        <f t="shared" si="1"/>
        <v>24</v>
      </c>
      <c r="G59" s="4">
        <f t="shared" si="2"/>
        <v>1.0609884138591612E-2</v>
      </c>
      <c r="H59" s="4">
        <f t="shared" si="3"/>
        <v>576</v>
      </c>
      <c r="I59" s="5">
        <f>SQRT(SUM('p-native-fixed'!$C$3:C59)/COUNTIF($A$3:A59,"&lt;&gt;0"))</f>
        <v>13.438619394419582</v>
      </c>
    </row>
    <row r="60" spans="1:9">
      <c r="A60">
        <v>58</v>
      </c>
      <c r="B60">
        <v>233</v>
      </c>
      <c r="C60">
        <v>246</v>
      </c>
      <c r="D60">
        <v>229</v>
      </c>
      <c r="E60" s="4">
        <f t="shared" si="0"/>
        <v>1</v>
      </c>
      <c r="F60" s="4">
        <f t="shared" si="1"/>
        <v>13</v>
      </c>
      <c r="G60" s="4">
        <f t="shared" si="2"/>
        <v>3.1129694781631642E-3</v>
      </c>
      <c r="H60" s="4">
        <f t="shared" si="3"/>
        <v>169</v>
      </c>
      <c r="I60" s="5">
        <f>SQRT(SUM('p-native-fixed'!$C$3:C60)/COUNTIF($A$3:A60,"&lt;&gt;0"))</f>
        <v>13.480509557543975</v>
      </c>
    </row>
    <row r="61" spans="1:9">
      <c r="A61">
        <v>59</v>
      </c>
      <c r="B61">
        <v>233</v>
      </c>
      <c r="C61">
        <v>216</v>
      </c>
      <c r="D61">
        <v>217</v>
      </c>
      <c r="E61" s="4">
        <f t="shared" si="0"/>
        <v>1</v>
      </c>
      <c r="F61" s="4">
        <f t="shared" si="1"/>
        <v>17</v>
      </c>
      <c r="G61" s="4">
        <f t="shared" si="2"/>
        <v>5.3233620070364165E-3</v>
      </c>
      <c r="H61" s="4">
        <f t="shared" si="3"/>
        <v>289</v>
      </c>
      <c r="I61" s="5">
        <f>SQRT(SUM('p-native-fixed'!$C$3:C61)/COUNTIF($A$3:A61,"&lt;&gt;0"))</f>
        <v>13.502040021632387</v>
      </c>
    </row>
    <row r="62" spans="1:9">
      <c r="A62">
        <v>60</v>
      </c>
      <c r="B62">
        <v>233</v>
      </c>
      <c r="C62">
        <v>239</v>
      </c>
      <c r="D62">
        <v>227</v>
      </c>
      <c r="E62" s="4">
        <f t="shared" si="0"/>
        <v>1</v>
      </c>
      <c r="F62" s="4">
        <f t="shared" si="1"/>
        <v>6</v>
      </c>
      <c r="G62" s="4">
        <f t="shared" si="2"/>
        <v>6.6311775866197576E-4</v>
      </c>
      <c r="H62" s="4">
        <f t="shared" si="3"/>
        <v>36</v>
      </c>
      <c r="I62" s="5">
        <f>SQRT(SUM('p-native-fixed'!$C$3:C62)/COUNTIF($A$3:A62,"&lt;&gt;0"))</f>
        <v>13.536986370680884</v>
      </c>
    </row>
    <row r="63" spans="1:9">
      <c r="A63">
        <v>61</v>
      </c>
      <c r="B63">
        <v>233</v>
      </c>
      <c r="C63">
        <v>237</v>
      </c>
      <c r="D63">
        <v>220</v>
      </c>
      <c r="E63" s="4">
        <f t="shared" si="0"/>
        <v>1</v>
      </c>
      <c r="F63" s="4">
        <f t="shared" si="1"/>
        <v>4</v>
      </c>
      <c r="G63" s="4">
        <f t="shared" si="2"/>
        <v>2.94719003849767E-4</v>
      </c>
      <c r="H63" s="4">
        <f t="shared" si="3"/>
        <v>16</v>
      </c>
      <c r="I63" s="5">
        <f>SQRT(SUM('p-native-fixed'!$C$3:C63)/COUNTIF($A$3:A63,"&lt;&gt;0"))</f>
        <v>13.569493267656815</v>
      </c>
    </row>
    <row r="64" spans="1:9">
      <c r="A64">
        <v>62</v>
      </c>
      <c r="B64">
        <v>233</v>
      </c>
      <c r="C64">
        <v>196</v>
      </c>
      <c r="D64">
        <v>220</v>
      </c>
      <c r="E64" s="4">
        <f t="shared" si="0"/>
        <v>1</v>
      </c>
      <c r="F64" s="4">
        <f t="shared" si="1"/>
        <v>37</v>
      </c>
      <c r="G64" s="4">
        <f t="shared" si="2"/>
        <v>2.5216894766895686E-2</v>
      </c>
      <c r="H64" s="4">
        <f t="shared" si="3"/>
        <v>1369</v>
      </c>
      <c r="I64" s="5">
        <f>SQRT(SUM('p-native-fixed'!$C$3:C64)/COUNTIF($A$3:A64,"&lt;&gt;0"))</f>
        <v>13.57654523968308</v>
      </c>
    </row>
    <row r="65" spans="1:9">
      <c r="A65">
        <v>63</v>
      </c>
      <c r="B65">
        <v>233</v>
      </c>
      <c r="C65">
        <v>225</v>
      </c>
      <c r="D65">
        <v>235</v>
      </c>
      <c r="E65" s="4">
        <f t="shared" si="0"/>
        <v>1</v>
      </c>
      <c r="F65" s="4">
        <f t="shared" si="1"/>
        <v>8</v>
      </c>
      <c r="G65" s="4">
        <f t="shared" si="2"/>
        <v>1.178876015399068E-3</v>
      </c>
      <c r="H65" s="4">
        <f t="shared" si="3"/>
        <v>64</v>
      </c>
      <c r="I65" s="5">
        <f>SQRT(SUM('p-native-fixed'!$C$3:C65)/COUNTIF($A$3:A65,"&lt;&gt;0"))</f>
        <v>13.600303451329825</v>
      </c>
    </row>
    <row r="66" spans="1:9">
      <c r="A66">
        <v>64</v>
      </c>
      <c r="B66">
        <v>233</v>
      </c>
      <c r="C66">
        <v>228</v>
      </c>
      <c r="D66">
        <v>227</v>
      </c>
      <c r="E66" s="4">
        <f t="shared" si="0"/>
        <v>1</v>
      </c>
      <c r="F66" s="4">
        <f t="shared" si="1"/>
        <v>5</v>
      </c>
      <c r="G66" s="4">
        <f t="shared" si="2"/>
        <v>4.6049844351526092E-4</v>
      </c>
      <c r="H66" s="4">
        <f t="shared" si="3"/>
        <v>25</v>
      </c>
      <c r="I66" s="5">
        <f>SQRT(SUM('p-native-fixed'!$C$3:C66)/COUNTIF($A$3:A66,"&lt;&gt;0"))</f>
        <v>13.625</v>
      </c>
    </row>
    <row r="67" spans="1:9">
      <c r="A67">
        <v>65</v>
      </c>
      <c r="B67">
        <v>233</v>
      </c>
      <c r="C67">
        <v>261</v>
      </c>
      <c r="D67">
        <v>226</v>
      </c>
      <c r="E67" s="4">
        <f t="shared" si="0"/>
        <v>1</v>
      </c>
      <c r="F67" s="4">
        <f t="shared" si="1"/>
        <v>28</v>
      </c>
      <c r="G67" s="4">
        <f t="shared" si="2"/>
        <v>1.4441231188638583E-2</v>
      </c>
      <c r="H67" s="4">
        <f t="shared" si="3"/>
        <v>784</v>
      </c>
      <c r="I67" s="5">
        <f>SQRT(SUM('p-native-fixed'!$C$3:C67)/COUNTIF($A$3:A67,"&lt;&gt;0"))</f>
        <v>13.66747965061591</v>
      </c>
    </row>
    <row r="68" spans="1:9">
      <c r="A68">
        <v>66</v>
      </c>
      <c r="B68">
        <v>233</v>
      </c>
      <c r="C68">
        <v>257</v>
      </c>
      <c r="D68">
        <v>215</v>
      </c>
      <c r="E68" s="4">
        <f t="shared" ref="E68:E131" si="4">IF(AND(C68&lt;=B68*1.2,C68&gt;=B68*0.8),1,0)</f>
        <v>1</v>
      </c>
      <c r="F68" s="4">
        <f t="shared" ref="F68:F131" si="5">ABS(B68-C68)</f>
        <v>24</v>
      </c>
      <c r="G68" s="4">
        <f t="shared" ref="G68:G131" si="6">POWER(ABS(B68-C68)/B68,2)</f>
        <v>1.0609884138591612E-2</v>
      </c>
      <c r="H68" s="4">
        <f t="shared" ref="H68:H131" si="7">POWER(F68,2)</f>
        <v>576</v>
      </c>
      <c r="I68" s="5">
        <f>SQRT(SUM('p-native-fixed'!$C$3:C68)/COUNTIF($A$3:A68,"&lt;&gt;0"))</f>
        <v>13.706335628592946</v>
      </c>
    </row>
    <row r="69" spans="1:9">
      <c r="A69">
        <v>67</v>
      </c>
      <c r="B69">
        <v>233</v>
      </c>
      <c r="C69">
        <v>234</v>
      </c>
      <c r="D69">
        <v>214</v>
      </c>
      <c r="E69" s="4">
        <f t="shared" si="4"/>
        <v>1</v>
      </c>
      <c r="F69" s="4">
        <f t="shared" si="5"/>
        <v>1</v>
      </c>
      <c r="G69" s="4">
        <f t="shared" si="6"/>
        <v>1.8419937740610438E-5</v>
      </c>
      <c r="H69" s="4">
        <f t="shared" si="7"/>
        <v>1</v>
      </c>
      <c r="I69" s="5">
        <f>SQRT(SUM('p-native-fixed'!$C$3:C69)/COUNTIF($A$3:A69,"&lt;&gt;0"))</f>
        <v>13.731432511066359</v>
      </c>
    </row>
    <row r="70" spans="1:9">
      <c r="A70">
        <v>68</v>
      </c>
      <c r="B70">
        <v>233</v>
      </c>
      <c r="C70">
        <v>239</v>
      </c>
      <c r="D70">
        <v>221</v>
      </c>
      <c r="E70" s="4">
        <f t="shared" si="4"/>
        <v>1</v>
      </c>
      <c r="F70" s="4">
        <f t="shared" si="5"/>
        <v>6</v>
      </c>
      <c r="G70" s="4">
        <f t="shared" si="6"/>
        <v>6.6311775866197576E-4</v>
      </c>
      <c r="H70" s="4">
        <f t="shared" si="7"/>
        <v>36</v>
      </c>
      <c r="I70" s="5">
        <f>SQRT(SUM('p-native-fixed'!$C$3:C70)/COUNTIF($A$3:A70,"&lt;&gt;0"))</f>
        <v>13.758419881914449</v>
      </c>
    </row>
    <row r="71" spans="1:9">
      <c r="A71">
        <v>69</v>
      </c>
      <c r="B71">
        <v>233</v>
      </c>
      <c r="C71">
        <v>215</v>
      </c>
      <c r="D71">
        <v>219</v>
      </c>
      <c r="E71" s="4">
        <f t="shared" si="4"/>
        <v>1</v>
      </c>
      <c r="F71" s="4">
        <f t="shared" si="5"/>
        <v>18</v>
      </c>
      <c r="G71" s="4">
        <f t="shared" si="6"/>
        <v>5.9680598279577826E-3</v>
      </c>
      <c r="H71" s="4">
        <f t="shared" si="7"/>
        <v>324</v>
      </c>
      <c r="I71" s="5">
        <f>SQRT(SUM('p-native-fixed'!$C$3:C71)/COUNTIF($A$3:A71,"&lt;&gt;0"))</f>
        <v>13.771952173409064</v>
      </c>
    </row>
    <row r="72" spans="1:9">
      <c r="A72">
        <v>70</v>
      </c>
      <c r="B72">
        <v>233</v>
      </c>
      <c r="C72">
        <v>261</v>
      </c>
      <c r="D72">
        <v>227</v>
      </c>
      <c r="E72" s="4">
        <f t="shared" si="4"/>
        <v>1</v>
      </c>
      <c r="F72" s="4">
        <f t="shared" si="5"/>
        <v>28</v>
      </c>
      <c r="G72" s="4">
        <f t="shared" si="6"/>
        <v>1.4441231188638583E-2</v>
      </c>
      <c r="H72" s="4">
        <f t="shared" si="7"/>
        <v>784</v>
      </c>
      <c r="I72" s="5">
        <f>SQRT(SUM('p-native-fixed'!$C$3:C72)/COUNTIF($A$3:A72,"&lt;&gt;0"))</f>
        <v>13.808899821698841</v>
      </c>
    </row>
    <row r="73" spans="1:9">
      <c r="A73">
        <v>71</v>
      </c>
      <c r="B73">
        <v>233</v>
      </c>
      <c r="C73">
        <v>192</v>
      </c>
      <c r="D73">
        <v>211</v>
      </c>
      <c r="E73" s="4">
        <f t="shared" si="4"/>
        <v>1</v>
      </c>
      <c r="F73" s="4">
        <f t="shared" si="5"/>
        <v>41</v>
      </c>
      <c r="G73" s="4">
        <f t="shared" si="6"/>
        <v>3.0963915341966144E-2</v>
      </c>
      <c r="H73" s="4">
        <f t="shared" si="7"/>
        <v>1681</v>
      </c>
      <c r="I73" s="5">
        <f>SQRT(SUM('p-native-fixed'!$C$3:C73)/COUNTIF($A$3:A73,"&lt;&gt;0"))</f>
        <v>13.809570063985072</v>
      </c>
    </row>
    <row r="74" spans="1:9">
      <c r="A74">
        <v>72</v>
      </c>
      <c r="B74">
        <v>233</v>
      </c>
      <c r="C74">
        <v>263</v>
      </c>
      <c r="D74">
        <v>235</v>
      </c>
      <c r="E74" s="4">
        <f t="shared" si="4"/>
        <v>1</v>
      </c>
      <c r="F74" s="4">
        <f t="shared" si="5"/>
        <v>30</v>
      </c>
      <c r="G74" s="4">
        <f t="shared" si="6"/>
        <v>1.657794396654939E-2</v>
      </c>
      <c r="H74" s="4">
        <f t="shared" si="7"/>
        <v>900</v>
      </c>
      <c r="I74" s="5">
        <f>SQRT(SUM('p-native-fixed'!$C$3:C74)/COUNTIF($A$3:A74,"&lt;&gt;0"))</f>
        <v>13.845877846252051</v>
      </c>
    </row>
    <row r="75" spans="1:9">
      <c r="A75">
        <v>73</v>
      </c>
      <c r="B75">
        <v>233</v>
      </c>
      <c r="C75">
        <v>255</v>
      </c>
      <c r="D75">
        <v>211</v>
      </c>
      <c r="E75" s="4">
        <f t="shared" si="4"/>
        <v>1</v>
      </c>
      <c r="F75" s="4">
        <f t="shared" si="5"/>
        <v>22</v>
      </c>
      <c r="G75" s="4">
        <f t="shared" si="6"/>
        <v>8.9152498664554526E-3</v>
      </c>
      <c r="H75" s="4">
        <f t="shared" si="7"/>
        <v>484</v>
      </c>
      <c r="I75" s="5">
        <f>SQRT(SUM('p-native-fixed'!$C$3:C75)/COUNTIF($A$3:A75,"&lt;&gt;0"))</f>
        <v>13.877151813890105</v>
      </c>
    </row>
    <row r="76" spans="1:9">
      <c r="A76">
        <v>74</v>
      </c>
      <c r="B76">
        <v>233</v>
      </c>
      <c r="C76">
        <v>232</v>
      </c>
      <c r="D76">
        <v>212</v>
      </c>
      <c r="E76" s="4">
        <f t="shared" si="4"/>
        <v>1</v>
      </c>
      <c r="F76" s="4">
        <f t="shared" si="5"/>
        <v>1</v>
      </c>
      <c r="G76" s="4">
        <f t="shared" si="6"/>
        <v>1.8419937740610438E-5</v>
      </c>
      <c r="H76" s="4">
        <f t="shared" si="7"/>
        <v>1</v>
      </c>
      <c r="I76" s="5">
        <f>SQRT(SUM('p-native-fixed'!$C$3:C76)/COUNTIF($A$3:A76,"&lt;&gt;0"))</f>
        <v>13.896334340685248</v>
      </c>
    </row>
    <row r="77" spans="1:9">
      <c r="A77">
        <v>75</v>
      </c>
      <c r="B77">
        <v>233</v>
      </c>
      <c r="C77">
        <v>257</v>
      </c>
      <c r="D77">
        <v>219</v>
      </c>
      <c r="E77" s="4">
        <f t="shared" si="4"/>
        <v>1</v>
      </c>
      <c r="F77" s="4">
        <f t="shared" si="5"/>
        <v>24</v>
      </c>
      <c r="G77" s="4">
        <f t="shared" si="6"/>
        <v>1.0609884138591612E-2</v>
      </c>
      <c r="H77" s="4">
        <f t="shared" si="7"/>
        <v>576</v>
      </c>
      <c r="I77" s="5">
        <f>SQRT(SUM('p-native-fixed'!$C$3:C77)/COUNTIF($A$3:A77,"&lt;&gt;0"))</f>
        <v>13.926952286842948</v>
      </c>
    </row>
    <row r="78" spans="1:9">
      <c r="A78">
        <v>76</v>
      </c>
      <c r="B78">
        <v>233</v>
      </c>
      <c r="C78">
        <v>251</v>
      </c>
      <c r="D78">
        <v>210</v>
      </c>
      <c r="E78" s="4">
        <f t="shared" si="4"/>
        <v>1</v>
      </c>
      <c r="F78" s="4">
        <f t="shared" si="5"/>
        <v>18</v>
      </c>
      <c r="G78" s="4">
        <f t="shared" si="6"/>
        <v>5.9680598279577826E-3</v>
      </c>
      <c r="H78" s="4">
        <f t="shared" si="7"/>
        <v>324</v>
      </c>
      <c r="I78" s="5">
        <f>SQRT(SUM('p-native-fixed'!$C$3:C78)/COUNTIF($A$3:A78,"&lt;&gt;0"))</f>
        <v>13.953871373772566</v>
      </c>
    </row>
    <row r="79" spans="1:9">
      <c r="A79">
        <v>77</v>
      </c>
      <c r="B79">
        <v>233</v>
      </c>
      <c r="C79">
        <v>250</v>
      </c>
      <c r="D79">
        <v>210</v>
      </c>
      <c r="E79" s="4">
        <f t="shared" si="4"/>
        <v>1</v>
      </c>
      <c r="F79" s="4">
        <f t="shared" si="5"/>
        <v>17</v>
      </c>
      <c r="G79" s="4">
        <f t="shared" si="6"/>
        <v>5.3233620070364165E-3</v>
      </c>
      <c r="H79" s="4">
        <f t="shared" si="7"/>
        <v>289</v>
      </c>
      <c r="I79" s="5">
        <f>SQRT(SUM('p-native-fixed'!$C$3:C79)/COUNTIF($A$3:A79,"&lt;&gt;0"))</f>
        <v>13.979576940257219</v>
      </c>
    </row>
    <row r="80" spans="1:9">
      <c r="A80">
        <v>78</v>
      </c>
      <c r="B80">
        <v>233</v>
      </c>
      <c r="C80">
        <v>229</v>
      </c>
      <c r="D80">
        <v>209</v>
      </c>
      <c r="E80" s="4">
        <f t="shared" si="4"/>
        <v>1</v>
      </c>
      <c r="F80" s="4">
        <f t="shared" si="5"/>
        <v>4</v>
      </c>
      <c r="G80" s="4">
        <f t="shared" si="6"/>
        <v>2.94719003849767E-4</v>
      </c>
      <c r="H80" s="4">
        <f t="shared" si="7"/>
        <v>16</v>
      </c>
      <c r="I80" s="5">
        <f>SQRT(SUM('p-native-fixed'!$C$3:C80)/COUNTIF($A$3:A80,"&lt;&gt;0"))</f>
        <v>13.994962463650067</v>
      </c>
    </row>
    <row r="81" spans="1:9">
      <c r="A81">
        <v>79</v>
      </c>
      <c r="B81">
        <v>233</v>
      </c>
      <c r="C81">
        <v>254</v>
      </c>
      <c r="D81">
        <v>216</v>
      </c>
      <c r="E81" s="4">
        <f t="shared" si="4"/>
        <v>1</v>
      </c>
      <c r="F81" s="4">
        <f t="shared" si="5"/>
        <v>21</v>
      </c>
      <c r="G81" s="4">
        <f t="shared" si="6"/>
        <v>8.1231925436092024E-3</v>
      </c>
      <c r="H81" s="4">
        <f t="shared" si="7"/>
        <v>441</v>
      </c>
      <c r="I81" s="5">
        <f>SQRT(SUM('p-native-fixed'!$C$3:C81)/COUNTIF($A$3:A81,"&lt;&gt;0"))</f>
        <v>14.021231640225503</v>
      </c>
    </row>
    <row r="82" spans="1:9">
      <c r="A82">
        <v>80</v>
      </c>
      <c r="B82">
        <v>233</v>
      </c>
      <c r="C82">
        <v>248</v>
      </c>
      <c r="D82">
        <v>207</v>
      </c>
      <c r="E82" s="4">
        <f t="shared" si="4"/>
        <v>1</v>
      </c>
      <c r="F82" s="4">
        <f t="shared" si="5"/>
        <v>15</v>
      </c>
      <c r="G82" s="4">
        <f t="shared" si="6"/>
        <v>4.1444859916373476E-3</v>
      </c>
      <c r="H82" s="4">
        <f t="shared" si="7"/>
        <v>225</v>
      </c>
      <c r="I82" s="5">
        <f>SQRT(SUM('p-native-fixed'!$C$3:C82)/COUNTIF($A$3:A82,"&lt;&gt;0"))</f>
        <v>14.044126886353599</v>
      </c>
    </row>
    <row r="83" spans="1:9">
      <c r="A83">
        <v>81</v>
      </c>
      <c r="B83">
        <v>233</v>
      </c>
      <c r="C83">
        <v>248</v>
      </c>
      <c r="D83">
        <v>207</v>
      </c>
      <c r="E83" s="4">
        <f t="shared" si="4"/>
        <v>1</v>
      </c>
      <c r="F83" s="4">
        <f t="shared" si="5"/>
        <v>15</v>
      </c>
      <c r="G83" s="4">
        <f t="shared" si="6"/>
        <v>4.1444859916373476E-3</v>
      </c>
      <c r="H83" s="4">
        <f t="shared" si="7"/>
        <v>225</v>
      </c>
      <c r="I83" s="5">
        <f>SQRT(SUM('p-native-fixed'!$C$3:C83)/COUNTIF($A$3:A83,"&lt;&gt;0"))</f>
        <v>14.066420921146367</v>
      </c>
    </row>
    <row r="84" spans="1:9">
      <c r="A84">
        <v>82</v>
      </c>
      <c r="B84">
        <v>233</v>
      </c>
      <c r="C84">
        <v>246</v>
      </c>
      <c r="D84">
        <v>206</v>
      </c>
      <c r="E84" s="4">
        <f t="shared" si="4"/>
        <v>1</v>
      </c>
      <c r="F84" s="4">
        <f t="shared" si="5"/>
        <v>13</v>
      </c>
      <c r="G84" s="4">
        <f t="shared" si="6"/>
        <v>3.1129694781631642E-3</v>
      </c>
      <c r="H84" s="4">
        <f t="shared" si="7"/>
        <v>169</v>
      </c>
      <c r="I84" s="5">
        <f>SQRT(SUM('p-native-fixed'!$C$3:C84)/COUNTIF($A$3:A84,"&lt;&gt;0"))</f>
        <v>14.087271542502299</v>
      </c>
    </row>
    <row r="85" spans="1:9">
      <c r="A85">
        <v>83</v>
      </c>
      <c r="B85">
        <v>233</v>
      </c>
      <c r="C85">
        <v>247</v>
      </c>
      <c r="D85">
        <v>206</v>
      </c>
      <c r="E85" s="4">
        <f t="shared" si="4"/>
        <v>1</v>
      </c>
      <c r="F85" s="4">
        <f t="shared" si="5"/>
        <v>14</v>
      </c>
      <c r="G85" s="4">
        <f t="shared" si="6"/>
        <v>3.6103077971596457E-3</v>
      </c>
      <c r="H85" s="4">
        <f t="shared" si="7"/>
        <v>196</v>
      </c>
      <c r="I85" s="5">
        <f>SQRT(SUM('p-native-fixed'!$C$3:C85)/COUNTIF($A$3:A85,"&lt;&gt;0"))</f>
        <v>14.108017032110261</v>
      </c>
    </row>
    <row r="86" spans="1:9">
      <c r="A86">
        <v>84</v>
      </c>
      <c r="B86">
        <v>233</v>
      </c>
      <c r="C86">
        <v>204</v>
      </c>
      <c r="D86">
        <v>204</v>
      </c>
      <c r="E86" s="4">
        <f t="shared" si="4"/>
        <v>1</v>
      </c>
      <c r="F86" s="4">
        <f t="shared" si="5"/>
        <v>29</v>
      </c>
      <c r="G86" s="4">
        <f t="shared" si="6"/>
        <v>1.5491167639853379E-2</v>
      </c>
      <c r="H86" s="4">
        <f t="shared" si="7"/>
        <v>841</v>
      </c>
      <c r="I86" s="5">
        <f>SQRT(SUM('p-native-fixed'!$C$3:C86)/COUNTIF($A$3:A86,"&lt;&gt;0"))</f>
        <v>14.110111200668763</v>
      </c>
    </row>
    <row r="87" spans="1:9">
      <c r="A87">
        <v>85</v>
      </c>
      <c r="B87">
        <v>233</v>
      </c>
      <c r="C87">
        <v>259</v>
      </c>
      <c r="D87">
        <v>219</v>
      </c>
      <c r="E87" s="4">
        <f t="shared" si="4"/>
        <v>1</v>
      </c>
      <c r="F87" s="4">
        <f t="shared" si="5"/>
        <v>26</v>
      </c>
      <c r="G87" s="4">
        <f t="shared" si="6"/>
        <v>1.2451877912652657E-2</v>
      </c>
      <c r="H87" s="4">
        <f t="shared" si="7"/>
        <v>676</v>
      </c>
      <c r="I87" s="5">
        <f>SQRT(SUM('p-native-fixed'!$C$3:C87)/COUNTIF($A$3:A87,"&lt;&gt;0"))</f>
        <v>14.135062787267696</v>
      </c>
    </row>
    <row r="88" spans="1:9">
      <c r="A88">
        <v>86</v>
      </c>
      <c r="B88">
        <v>233</v>
      </c>
      <c r="C88">
        <v>244</v>
      </c>
      <c r="D88">
        <v>201</v>
      </c>
      <c r="E88" s="4">
        <f t="shared" si="4"/>
        <v>1</v>
      </c>
      <c r="F88" s="4">
        <f t="shared" si="5"/>
        <v>11</v>
      </c>
      <c r="G88" s="4">
        <f t="shared" si="6"/>
        <v>2.2288124666138632E-3</v>
      </c>
      <c r="H88" s="4">
        <f t="shared" si="7"/>
        <v>121</v>
      </c>
      <c r="I88" s="5">
        <f>SQRT(SUM('p-native-fixed'!$C$3:C88)/COUNTIF($A$3:A88,"&lt;&gt;0"))</f>
        <v>14.153231203098892</v>
      </c>
    </row>
    <row r="89" spans="1:9">
      <c r="A89">
        <v>87</v>
      </c>
      <c r="B89">
        <v>233</v>
      </c>
      <c r="C89">
        <v>243</v>
      </c>
      <c r="D89">
        <v>204</v>
      </c>
      <c r="E89" s="4">
        <f t="shared" si="4"/>
        <v>1</v>
      </c>
      <c r="F89" s="4">
        <f t="shared" si="5"/>
        <v>10</v>
      </c>
      <c r="G89" s="4">
        <f t="shared" si="6"/>
        <v>1.8419937740610437E-3</v>
      </c>
      <c r="H89" s="4">
        <f t="shared" si="7"/>
        <v>100</v>
      </c>
      <c r="I89" s="5">
        <f>SQRT(SUM('p-native-fixed'!$C$3:C89)/COUNTIF($A$3:A89,"&lt;&gt;0"))</f>
        <v>14.170553895354599</v>
      </c>
    </row>
    <row r="90" spans="1:9">
      <c r="A90">
        <v>88</v>
      </c>
      <c r="B90">
        <v>233</v>
      </c>
      <c r="C90">
        <v>224</v>
      </c>
      <c r="D90">
        <v>204</v>
      </c>
      <c r="E90" s="4">
        <f t="shared" si="4"/>
        <v>1</v>
      </c>
      <c r="F90" s="4">
        <f t="shared" si="5"/>
        <v>9</v>
      </c>
      <c r="G90" s="4">
        <f t="shared" si="6"/>
        <v>1.4920149569894456E-3</v>
      </c>
      <c r="H90" s="4">
        <f t="shared" si="7"/>
        <v>81</v>
      </c>
      <c r="I90" s="5">
        <f>SQRT(SUM('p-native-fixed'!$C$3:C90)/COUNTIF($A$3:A90,"&lt;&gt;0"))</f>
        <v>14.179851262202359</v>
      </c>
    </row>
    <row r="91" spans="1:9">
      <c r="A91">
        <v>89</v>
      </c>
      <c r="B91">
        <v>233</v>
      </c>
      <c r="C91">
        <v>248</v>
      </c>
      <c r="D91">
        <v>210</v>
      </c>
      <c r="E91" s="4">
        <f t="shared" si="4"/>
        <v>1</v>
      </c>
      <c r="F91" s="4">
        <f t="shared" si="5"/>
        <v>15</v>
      </c>
      <c r="G91" s="4">
        <f t="shared" si="6"/>
        <v>4.1444859916373476E-3</v>
      </c>
      <c r="H91" s="4">
        <f t="shared" si="7"/>
        <v>225</v>
      </c>
      <c r="I91" s="5">
        <f>SQRT(SUM('p-native-fixed'!$C$3:C91)/COUNTIF($A$3:A91,"&lt;&gt;0"))</f>
        <v>14.198433209969949</v>
      </c>
    </row>
    <row r="92" spans="1:9">
      <c r="A92">
        <v>90</v>
      </c>
      <c r="B92">
        <v>233</v>
      </c>
      <c r="C92">
        <v>203</v>
      </c>
      <c r="D92">
        <v>202</v>
      </c>
      <c r="E92" s="4">
        <f t="shared" si="4"/>
        <v>1</v>
      </c>
      <c r="F92" s="4">
        <f t="shared" si="5"/>
        <v>30</v>
      </c>
      <c r="G92" s="4">
        <f t="shared" si="6"/>
        <v>1.657794396654939E-2</v>
      </c>
      <c r="H92" s="4">
        <f t="shared" si="7"/>
        <v>900</v>
      </c>
      <c r="I92" s="5">
        <f>SQRT(SUM('p-native-fixed'!$C$3:C92)/COUNTIF($A$3:A92,"&lt;&gt;0"))</f>
        <v>14.198982749165911</v>
      </c>
    </row>
    <row r="93" spans="1:9">
      <c r="A93">
        <v>91</v>
      </c>
      <c r="B93">
        <v>233</v>
      </c>
      <c r="C93">
        <v>214</v>
      </c>
      <c r="D93">
        <v>218</v>
      </c>
      <c r="E93" s="4">
        <f t="shared" si="4"/>
        <v>1</v>
      </c>
      <c r="F93" s="4">
        <f t="shared" si="5"/>
        <v>19</v>
      </c>
      <c r="G93" s="4">
        <f t="shared" si="6"/>
        <v>6.6495975243603669E-3</v>
      </c>
      <c r="H93" s="4">
        <f t="shared" si="7"/>
        <v>361</v>
      </c>
      <c r="I93" s="5">
        <f>SQRT(SUM('p-native-fixed'!$C$3:C93)/COUNTIF($A$3:A93,"&lt;&gt;0"))</f>
        <v>14.203776003135673</v>
      </c>
    </row>
    <row r="94" spans="1:9">
      <c r="A94">
        <v>92</v>
      </c>
      <c r="B94">
        <v>233</v>
      </c>
      <c r="C94">
        <v>256</v>
      </c>
      <c r="D94">
        <v>216</v>
      </c>
      <c r="E94" s="4">
        <f t="shared" si="4"/>
        <v>1</v>
      </c>
      <c r="F94" s="4">
        <f t="shared" si="5"/>
        <v>23</v>
      </c>
      <c r="G94" s="4">
        <f t="shared" si="6"/>
        <v>9.7441470647829202E-3</v>
      </c>
      <c r="H94" s="4">
        <f t="shared" si="7"/>
        <v>529</v>
      </c>
      <c r="I94" s="5">
        <f>SQRT(SUM('p-native-fixed'!$C$3:C94)/COUNTIF($A$3:A94,"&lt;&gt;0"))</f>
        <v>14.224519553283306</v>
      </c>
    </row>
    <row r="95" spans="1:9">
      <c r="A95">
        <v>93</v>
      </c>
      <c r="B95">
        <v>233</v>
      </c>
      <c r="C95">
        <v>244</v>
      </c>
      <c r="D95">
        <v>201</v>
      </c>
      <c r="E95" s="4">
        <f t="shared" si="4"/>
        <v>1</v>
      </c>
      <c r="F95" s="4">
        <f t="shared" si="5"/>
        <v>11</v>
      </c>
      <c r="G95" s="4">
        <f t="shared" si="6"/>
        <v>2.2288124666138632E-3</v>
      </c>
      <c r="H95" s="4">
        <f t="shared" si="7"/>
        <v>121</v>
      </c>
      <c r="I95" s="5">
        <f>SQRT(SUM('p-native-fixed'!$C$3:C95)/COUNTIF($A$3:A95,"&lt;&gt;0"))</f>
        <v>14.24025794136325</v>
      </c>
    </row>
    <row r="96" spans="1:9">
      <c r="A96">
        <v>94</v>
      </c>
      <c r="B96">
        <v>233</v>
      </c>
      <c r="C96">
        <v>224</v>
      </c>
      <c r="D96">
        <v>204</v>
      </c>
      <c r="E96" s="4">
        <f t="shared" si="4"/>
        <v>1</v>
      </c>
      <c r="F96" s="4">
        <f t="shared" si="5"/>
        <v>9</v>
      </c>
      <c r="G96" s="4">
        <f t="shared" si="6"/>
        <v>1.4920149569894456E-3</v>
      </c>
      <c r="H96" s="4">
        <f t="shared" si="7"/>
        <v>81</v>
      </c>
      <c r="I96" s="5">
        <f>SQRT(SUM('p-native-fixed'!$C$3:C96)/COUNTIF($A$3:A96,"&lt;&gt;0"))</f>
        <v>14.248180174951198</v>
      </c>
    </row>
    <row r="97" spans="1:9">
      <c r="A97">
        <v>95</v>
      </c>
      <c r="B97">
        <v>233</v>
      </c>
      <c r="C97">
        <v>209</v>
      </c>
      <c r="D97">
        <v>211</v>
      </c>
      <c r="E97" s="4">
        <f t="shared" si="4"/>
        <v>1</v>
      </c>
      <c r="F97" s="4">
        <f t="shared" si="5"/>
        <v>24</v>
      </c>
      <c r="G97" s="4">
        <f t="shared" si="6"/>
        <v>1.0609884138591612E-2</v>
      </c>
      <c r="H97" s="4">
        <f t="shared" si="7"/>
        <v>576</v>
      </c>
      <c r="I97" s="5">
        <f>SQRT(SUM('p-native-fixed'!$C$3:C97)/COUNTIF($A$3:A97,"&lt;&gt;0"))</f>
        <v>14.250392423036157</v>
      </c>
    </row>
    <row r="98" spans="1:9">
      <c r="A98">
        <v>96</v>
      </c>
      <c r="B98">
        <v>233</v>
      </c>
      <c r="C98">
        <v>255</v>
      </c>
      <c r="D98">
        <v>217</v>
      </c>
      <c r="E98" s="4">
        <f t="shared" si="4"/>
        <v>1</v>
      </c>
      <c r="F98" s="4">
        <f t="shared" si="5"/>
        <v>22</v>
      </c>
      <c r="G98" s="4">
        <f t="shared" si="6"/>
        <v>8.9152498664554526E-3</v>
      </c>
      <c r="H98" s="4">
        <f t="shared" si="7"/>
        <v>484</v>
      </c>
      <c r="I98" s="5">
        <f>SQRT(SUM('p-native-fixed'!$C$3:C98)/COUNTIF($A$3:A98,"&lt;&gt;0"))</f>
        <v>14.269358196265639</v>
      </c>
    </row>
    <row r="99" spans="1:9">
      <c r="A99">
        <v>97</v>
      </c>
      <c r="B99">
        <v>233</v>
      </c>
      <c r="C99">
        <v>204</v>
      </c>
      <c r="D99">
        <v>201</v>
      </c>
      <c r="E99" s="4">
        <f t="shared" si="4"/>
        <v>1</v>
      </c>
      <c r="F99" s="4">
        <f t="shared" si="5"/>
        <v>29</v>
      </c>
      <c r="G99" s="4">
        <f t="shared" si="6"/>
        <v>1.5491167639853379E-2</v>
      </c>
      <c r="H99" s="4">
        <f t="shared" si="7"/>
        <v>841</v>
      </c>
      <c r="I99" s="5">
        <f>SQRT(SUM('p-native-fixed'!$C$3:C99)/COUNTIF($A$3:A99,"&lt;&gt;0"))</f>
        <v>14.269497422860798</v>
      </c>
    </row>
    <row r="100" spans="1:9">
      <c r="A100">
        <v>98</v>
      </c>
      <c r="B100">
        <v>233</v>
      </c>
      <c r="C100">
        <v>215</v>
      </c>
      <c r="D100">
        <v>219</v>
      </c>
      <c r="E100" s="4">
        <f t="shared" si="4"/>
        <v>1</v>
      </c>
      <c r="F100" s="4">
        <f t="shared" si="5"/>
        <v>18</v>
      </c>
      <c r="G100" s="4">
        <f t="shared" si="6"/>
        <v>5.9680598279577826E-3</v>
      </c>
      <c r="H100" s="4">
        <f t="shared" si="7"/>
        <v>324</v>
      </c>
      <c r="I100" s="5">
        <f>SQRT(SUM('p-native-fixed'!$C$3:C100)/COUNTIF($A$3:A100,"&lt;&gt;0"))</f>
        <v>14.27356626346587</v>
      </c>
    </row>
    <row r="101" spans="1:9">
      <c r="A101">
        <v>99</v>
      </c>
      <c r="B101">
        <v>233</v>
      </c>
      <c r="C101">
        <v>260</v>
      </c>
      <c r="D101">
        <v>217</v>
      </c>
      <c r="E101" s="4">
        <f t="shared" si="4"/>
        <v>1</v>
      </c>
      <c r="F101" s="4">
        <f t="shared" si="5"/>
        <v>27</v>
      </c>
      <c r="G101" s="4">
        <f t="shared" si="6"/>
        <v>1.3428134612905008E-2</v>
      </c>
      <c r="H101" s="4">
        <f t="shared" si="7"/>
        <v>729</v>
      </c>
      <c r="I101" s="5">
        <f>SQRT(SUM('p-native-fixed'!$C$3:C101)/COUNTIF($A$3:A101,"&lt;&gt;0"))</f>
        <v>14.29346110300197</v>
      </c>
    </row>
    <row r="102" spans="1:9">
      <c r="A102">
        <v>100</v>
      </c>
      <c r="B102">
        <v>233</v>
      </c>
      <c r="C102">
        <v>224</v>
      </c>
      <c r="D102">
        <v>201</v>
      </c>
      <c r="E102" s="4">
        <f t="shared" si="4"/>
        <v>1</v>
      </c>
      <c r="F102" s="4">
        <f t="shared" si="5"/>
        <v>9</v>
      </c>
      <c r="G102" s="4">
        <f t="shared" si="6"/>
        <v>1.4920149569894456E-3</v>
      </c>
      <c r="H102" s="4">
        <f t="shared" si="7"/>
        <v>81</v>
      </c>
      <c r="I102" s="5">
        <f>SQRT(SUM('p-native-fixed'!$C$3:C102)/COUNTIF($A$3:A102,"&lt;&gt;0"))</f>
        <v>14.300349646075091</v>
      </c>
    </row>
    <row r="103" spans="1:9">
      <c r="A103">
        <v>101</v>
      </c>
      <c r="B103">
        <v>233</v>
      </c>
      <c r="C103">
        <v>233</v>
      </c>
      <c r="D103">
        <v>213</v>
      </c>
      <c r="E103" s="4">
        <f t="shared" si="4"/>
        <v>1</v>
      </c>
      <c r="F103" s="4">
        <f t="shared" si="5"/>
        <v>0</v>
      </c>
      <c r="G103" s="4">
        <f t="shared" si="6"/>
        <v>0</v>
      </c>
      <c r="H103" s="4">
        <f t="shared" si="7"/>
        <v>0</v>
      </c>
      <c r="I103" s="5">
        <f>SQRT(SUM('p-native-fixed'!$C$3:C103)/COUNTIF($A$3:A103,"&lt;&gt;0"))</f>
        <v>14.310212375007639</v>
      </c>
    </row>
    <row r="104" spans="1:9">
      <c r="A104">
        <v>102</v>
      </c>
      <c r="B104">
        <v>233</v>
      </c>
      <c r="C104">
        <v>250</v>
      </c>
      <c r="D104">
        <v>210</v>
      </c>
      <c r="E104" s="4">
        <f t="shared" si="4"/>
        <v>1</v>
      </c>
      <c r="F104" s="4">
        <f t="shared" si="5"/>
        <v>17</v>
      </c>
      <c r="G104" s="4">
        <f t="shared" si="6"/>
        <v>5.3233620070364165E-3</v>
      </c>
      <c r="H104" s="4">
        <f t="shared" si="7"/>
        <v>289</v>
      </c>
      <c r="I104" s="5">
        <f>SQRT(SUM('p-native-fixed'!$C$3:C104)/COUNTIF($A$3:A104,"&lt;&gt;0"))</f>
        <v>14.325693358301315</v>
      </c>
    </row>
    <row r="105" spans="1:9">
      <c r="A105">
        <v>103</v>
      </c>
      <c r="B105">
        <v>233</v>
      </c>
      <c r="C105">
        <v>205</v>
      </c>
      <c r="D105">
        <v>204</v>
      </c>
      <c r="E105" s="4">
        <f t="shared" si="4"/>
        <v>1</v>
      </c>
      <c r="F105" s="4">
        <f t="shared" si="5"/>
        <v>28</v>
      </c>
      <c r="G105" s="4">
        <f t="shared" si="6"/>
        <v>1.4441231188638583E-2</v>
      </c>
      <c r="H105" s="4">
        <f t="shared" si="7"/>
        <v>784</v>
      </c>
      <c r="I105" s="5">
        <f>SQRT(SUM('p-native-fixed'!$C$3:C105)/COUNTIF($A$3:A105,"&lt;&gt;0"))</f>
        <v>14.325616949048785</v>
      </c>
    </row>
    <row r="106" spans="1:9">
      <c r="A106">
        <v>104</v>
      </c>
      <c r="B106">
        <v>233</v>
      </c>
      <c r="C106">
        <v>216</v>
      </c>
      <c r="D106">
        <v>219</v>
      </c>
      <c r="E106" s="4">
        <f t="shared" si="4"/>
        <v>1</v>
      </c>
      <c r="F106" s="4">
        <f t="shared" si="5"/>
        <v>17</v>
      </c>
      <c r="G106" s="4">
        <f t="shared" si="6"/>
        <v>5.3233620070364165E-3</v>
      </c>
      <c r="H106" s="4">
        <f t="shared" si="7"/>
        <v>289</v>
      </c>
      <c r="I106" s="5">
        <f>SQRT(SUM('p-native-fixed'!$C$3:C106)/COUNTIF($A$3:A106,"&lt;&gt;0"))</f>
        <v>14.329233164301678</v>
      </c>
    </row>
    <row r="107" spans="1:9">
      <c r="A107">
        <v>105</v>
      </c>
      <c r="B107">
        <v>233</v>
      </c>
      <c r="C107">
        <v>218</v>
      </c>
      <c r="D107">
        <v>218</v>
      </c>
      <c r="E107" s="4">
        <f t="shared" si="4"/>
        <v>1</v>
      </c>
      <c r="F107" s="4">
        <f t="shared" si="5"/>
        <v>15</v>
      </c>
      <c r="G107" s="4">
        <f t="shared" si="6"/>
        <v>4.1444859916373476E-3</v>
      </c>
      <c r="H107" s="4">
        <f t="shared" si="7"/>
        <v>225</v>
      </c>
      <c r="I107" s="5">
        <f>SQRT(SUM('p-native-fixed'!$C$3:C107)/COUNTIF($A$3:A107,"&lt;&gt;0"))</f>
        <v>14.333444074876738</v>
      </c>
    </row>
    <row r="108" spans="1:9">
      <c r="A108">
        <v>106</v>
      </c>
      <c r="B108">
        <v>233</v>
      </c>
      <c r="C108">
        <v>218</v>
      </c>
      <c r="D108">
        <v>218</v>
      </c>
      <c r="E108" s="4">
        <f t="shared" si="4"/>
        <v>1</v>
      </c>
      <c r="F108" s="4">
        <f t="shared" si="5"/>
        <v>15</v>
      </c>
      <c r="G108" s="4">
        <f t="shared" si="6"/>
        <v>4.1444859916373476E-3</v>
      </c>
      <c r="H108" s="4">
        <f t="shared" si="7"/>
        <v>225</v>
      </c>
      <c r="I108" s="5">
        <f>SQRT(SUM('p-native-fixed'!$C$3:C108)/COUNTIF($A$3:A108,"&lt;&gt;0"))</f>
        <v>14.337574332356539</v>
      </c>
    </row>
    <row r="109" spans="1:9">
      <c r="A109">
        <v>107</v>
      </c>
      <c r="B109">
        <v>233</v>
      </c>
      <c r="C109">
        <v>238</v>
      </c>
      <c r="D109">
        <v>219</v>
      </c>
      <c r="E109" s="4">
        <f t="shared" si="4"/>
        <v>1</v>
      </c>
      <c r="F109" s="4">
        <f t="shared" si="5"/>
        <v>5</v>
      </c>
      <c r="G109" s="4">
        <f t="shared" si="6"/>
        <v>4.6049844351526092E-4</v>
      </c>
      <c r="H109" s="4">
        <f t="shared" si="7"/>
        <v>25</v>
      </c>
      <c r="I109" s="5">
        <f>SQRT(SUM('p-native-fixed'!$C$3:C109)/COUNTIF($A$3:A109,"&lt;&gt;0"))</f>
        <v>14.348141303963544</v>
      </c>
    </row>
    <row r="110" spans="1:9">
      <c r="A110">
        <v>108</v>
      </c>
      <c r="B110">
        <v>233</v>
      </c>
      <c r="C110">
        <v>233</v>
      </c>
      <c r="D110">
        <v>212</v>
      </c>
      <c r="E110" s="4">
        <f t="shared" si="4"/>
        <v>1</v>
      </c>
      <c r="F110" s="4">
        <f t="shared" si="5"/>
        <v>0</v>
      </c>
      <c r="G110" s="4">
        <f t="shared" si="6"/>
        <v>0</v>
      </c>
      <c r="H110" s="4">
        <f t="shared" si="7"/>
        <v>0</v>
      </c>
      <c r="I110" s="5">
        <f>SQRT(SUM('p-native-fixed'!$C$3:C110)/COUNTIF($A$3:A110,"&lt;&gt;0"))</f>
        <v>14.356892782575565</v>
      </c>
    </row>
    <row r="111" spans="1:9">
      <c r="A111">
        <v>109</v>
      </c>
      <c r="B111">
        <v>233</v>
      </c>
      <c r="C111">
        <v>234</v>
      </c>
      <c r="D111">
        <v>214</v>
      </c>
      <c r="E111" s="4">
        <f t="shared" si="4"/>
        <v>1</v>
      </c>
      <c r="F111" s="4">
        <f t="shared" si="5"/>
        <v>1</v>
      </c>
      <c r="G111" s="4">
        <f t="shared" si="6"/>
        <v>1.8419937740610438E-5</v>
      </c>
      <c r="H111" s="4">
        <f t="shared" si="7"/>
        <v>1</v>
      </c>
      <c r="I111" s="5">
        <f>SQRT(SUM('p-native-fixed'!$C$3:C111)/COUNTIF($A$3:A111,"&lt;&gt;0"))</f>
        <v>14.365797812477762</v>
      </c>
    </row>
    <row r="112" spans="1:9">
      <c r="A112">
        <v>110</v>
      </c>
      <c r="B112">
        <v>233</v>
      </c>
      <c r="C112">
        <v>234</v>
      </c>
      <c r="D112">
        <v>214</v>
      </c>
      <c r="E112" s="4">
        <f t="shared" si="4"/>
        <v>1</v>
      </c>
      <c r="F112" s="4">
        <f t="shared" si="5"/>
        <v>1</v>
      </c>
      <c r="G112" s="4">
        <f t="shared" si="6"/>
        <v>1.8419937740610438E-5</v>
      </c>
      <c r="H112" s="4">
        <f t="shared" si="7"/>
        <v>1</v>
      </c>
      <c r="I112" s="5">
        <f>SQRT(SUM('p-native-fixed'!$C$3:C112)/COUNTIF($A$3:A112,"&lt;&gt;0"))</f>
        <v>14.374535565619945</v>
      </c>
    </row>
    <row r="113" spans="1:9">
      <c r="A113">
        <v>111</v>
      </c>
      <c r="B113">
        <v>233</v>
      </c>
      <c r="C113">
        <v>254</v>
      </c>
      <c r="D113">
        <v>214</v>
      </c>
      <c r="E113" s="4">
        <f t="shared" si="4"/>
        <v>1</v>
      </c>
      <c r="F113" s="4">
        <f t="shared" si="5"/>
        <v>21</v>
      </c>
      <c r="G113" s="4">
        <f t="shared" si="6"/>
        <v>8.1231925436092024E-3</v>
      </c>
      <c r="H113" s="4">
        <f t="shared" si="7"/>
        <v>441</v>
      </c>
      <c r="I113" s="5">
        <f>SQRT(SUM('p-native-fixed'!$C$3:C113)/COUNTIF($A$3:A113,"&lt;&gt;0"))</f>
        <v>14.389372955554876</v>
      </c>
    </row>
    <row r="114" spans="1:9">
      <c r="A114">
        <v>112</v>
      </c>
      <c r="B114">
        <v>233</v>
      </c>
      <c r="C114">
        <v>207</v>
      </c>
      <c r="D114">
        <v>206</v>
      </c>
      <c r="E114" s="4">
        <f t="shared" si="4"/>
        <v>1</v>
      </c>
      <c r="F114" s="4">
        <f t="shared" si="5"/>
        <v>26</v>
      </c>
      <c r="G114" s="4">
        <f t="shared" si="6"/>
        <v>1.2451877912652657E-2</v>
      </c>
      <c r="H114" s="4">
        <f t="shared" si="7"/>
        <v>676</v>
      </c>
      <c r="I114" s="5">
        <f>SQRT(SUM('p-native-fixed'!$C$3:C114)/COUNTIF($A$3:A114,"&lt;&gt;0"))</f>
        <v>14.389356185339615</v>
      </c>
    </row>
    <row r="115" spans="1:9">
      <c r="A115">
        <v>113</v>
      </c>
      <c r="B115">
        <v>233</v>
      </c>
      <c r="C115">
        <v>238</v>
      </c>
      <c r="D115">
        <v>222</v>
      </c>
      <c r="E115" s="4">
        <f t="shared" si="4"/>
        <v>1</v>
      </c>
      <c r="F115" s="4">
        <f t="shared" si="5"/>
        <v>5</v>
      </c>
      <c r="G115" s="4">
        <f t="shared" si="6"/>
        <v>4.6049844351526092E-4</v>
      </c>
      <c r="H115" s="4">
        <f t="shared" si="7"/>
        <v>25</v>
      </c>
      <c r="I115" s="5">
        <f>SQRT(SUM('p-native-fixed'!$C$3:C115)/COUNTIF($A$3:A115,"&lt;&gt;0"))</f>
        <v>14.398869178804237</v>
      </c>
    </row>
    <row r="116" spans="1:9">
      <c r="A116">
        <v>114</v>
      </c>
      <c r="B116">
        <v>233</v>
      </c>
      <c r="C116">
        <v>234</v>
      </c>
      <c r="D116">
        <v>212</v>
      </c>
      <c r="E116" s="4">
        <f t="shared" si="4"/>
        <v>1</v>
      </c>
      <c r="F116" s="4">
        <f t="shared" si="5"/>
        <v>1</v>
      </c>
      <c r="G116" s="4">
        <f t="shared" si="6"/>
        <v>1.8419937740610438E-5</v>
      </c>
      <c r="H116" s="4">
        <f t="shared" si="7"/>
        <v>1</v>
      </c>
      <c r="I116" s="5">
        <f>SQRT(SUM('p-native-fixed'!$C$3:C116)/COUNTIF($A$3:A116,"&lt;&gt;0"))</f>
        <v>14.406991480138103</v>
      </c>
    </row>
    <row r="117" spans="1:9">
      <c r="A117">
        <v>115</v>
      </c>
      <c r="B117">
        <v>233</v>
      </c>
      <c r="C117">
        <v>234</v>
      </c>
      <c r="D117">
        <v>214</v>
      </c>
      <c r="E117" s="4">
        <f t="shared" si="4"/>
        <v>1</v>
      </c>
      <c r="F117" s="4">
        <f t="shared" si="5"/>
        <v>1</v>
      </c>
      <c r="G117" s="4">
        <f t="shared" si="6"/>
        <v>1.8419937740610438E-5</v>
      </c>
      <c r="H117" s="4">
        <f t="shared" si="7"/>
        <v>1</v>
      </c>
      <c r="I117" s="5">
        <f>SQRT(SUM('p-native-fixed'!$C$3:C117)/COUNTIF($A$3:A117,"&lt;&gt;0"))</f>
        <v>14.414968066139657</v>
      </c>
    </row>
    <row r="118" spans="1:9">
      <c r="A118">
        <v>116</v>
      </c>
      <c r="B118">
        <v>233</v>
      </c>
      <c r="C118">
        <v>213</v>
      </c>
      <c r="D118">
        <v>213</v>
      </c>
      <c r="E118" s="4">
        <f t="shared" si="4"/>
        <v>1</v>
      </c>
      <c r="F118" s="4">
        <f t="shared" si="5"/>
        <v>20</v>
      </c>
      <c r="G118" s="4">
        <f t="shared" si="6"/>
        <v>7.3679750962441747E-3</v>
      </c>
      <c r="H118" s="4">
        <f t="shared" si="7"/>
        <v>400</v>
      </c>
      <c r="I118" s="5">
        <f>SQRT(SUM('p-native-fixed'!$C$3:C118)/COUNTIF($A$3:A118,"&lt;&gt;0"))</f>
        <v>14.416525479343202</v>
      </c>
    </row>
    <row r="119" spans="1:9">
      <c r="A119">
        <v>117</v>
      </c>
      <c r="B119">
        <v>233</v>
      </c>
      <c r="C119">
        <v>263</v>
      </c>
      <c r="D119">
        <v>221</v>
      </c>
      <c r="E119" s="4">
        <f t="shared" si="4"/>
        <v>1</v>
      </c>
      <c r="F119" s="4">
        <f t="shared" si="5"/>
        <v>30</v>
      </c>
      <c r="G119" s="4">
        <f t="shared" si="6"/>
        <v>1.657794396654939E-2</v>
      </c>
      <c r="H119" s="4">
        <f t="shared" si="7"/>
        <v>900</v>
      </c>
      <c r="I119" s="5">
        <f>SQRT(SUM('p-native-fixed'!$C$3:C119)/COUNTIF($A$3:A119,"&lt;&gt;0"))</f>
        <v>14.432868471225405</v>
      </c>
    </row>
    <row r="120" spans="1:9">
      <c r="A120">
        <v>118</v>
      </c>
      <c r="B120">
        <v>233</v>
      </c>
      <c r="C120">
        <v>207</v>
      </c>
      <c r="D120">
        <v>204</v>
      </c>
      <c r="E120" s="4">
        <f t="shared" si="4"/>
        <v>1</v>
      </c>
      <c r="F120" s="4">
        <f t="shared" si="5"/>
        <v>26</v>
      </c>
      <c r="G120" s="4">
        <f t="shared" si="6"/>
        <v>1.2451877912652657E-2</v>
      </c>
      <c r="H120" s="4">
        <f t="shared" si="7"/>
        <v>676</v>
      </c>
      <c r="I120" s="5">
        <f>SQRT(SUM('p-native-fixed'!$C$3:C120)/COUNTIF($A$3:A120,"&lt;&gt;0"))</f>
        <v>14.432484545964064</v>
      </c>
    </row>
    <row r="121" spans="1:9">
      <c r="A121">
        <v>119</v>
      </c>
      <c r="B121">
        <v>233</v>
      </c>
      <c r="C121">
        <v>219</v>
      </c>
      <c r="D121">
        <v>223</v>
      </c>
      <c r="E121" s="4">
        <f t="shared" si="4"/>
        <v>1</v>
      </c>
      <c r="F121" s="4">
        <f t="shared" si="5"/>
        <v>14</v>
      </c>
      <c r="G121" s="4">
        <f t="shared" si="6"/>
        <v>3.6103077971596457E-3</v>
      </c>
      <c r="H121" s="4">
        <f t="shared" si="7"/>
        <v>196</v>
      </c>
      <c r="I121" s="5">
        <f>SQRT(SUM('p-native-fixed'!$C$3:C121)/COUNTIF($A$3:A121,"&lt;&gt;0"))</f>
        <v>14.435600251525697</v>
      </c>
    </row>
    <row r="122" spans="1:9">
      <c r="A122">
        <v>120</v>
      </c>
      <c r="B122">
        <v>233</v>
      </c>
      <c r="C122">
        <v>240</v>
      </c>
      <c r="D122">
        <v>220</v>
      </c>
      <c r="E122" s="4">
        <f t="shared" si="4"/>
        <v>1</v>
      </c>
      <c r="F122" s="4">
        <f t="shared" si="5"/>
        <v>7</v>
      </c>
      <c r="G122" s="4">
        <f t="shared" si="6"/>
        <v>9.0257694928991142E-4</v>
      </c>
      <c r="H122" s="4">
        <f t="shared" si="7"/>
        <v>49</v>
      </c>
      <c r="I122" s="5">
        <f>SQRT(SUM('p-native-fixed'!$C$3:C122)/COUNTIF($A$3:A122,"&lt;&gt;0"))</f>
        <v>14.444722219551334</v>
      </c>
    </row>
    <row r="123" spans="1:9">
      <c r="A123">
        <v>121</v>
      </c>
      <c r="B123">
        <v>233</v>
      </c>
      <c r="C123">
        <v>234</v>
      </c>
      <c r="D123">
        <v>213</v>
      </c>
      <c r="E123" s="4">
        <f t="shared" si="4"/>
        <v>1</v>
      </c>
      <c r="F123" s="4">
        <f t="shared" si="5"/>
        <v>1</v>
      </c>
      <c r="G123" s="4">
        <f t="shared" si="6"/>
        <v>1.8419937740610438E-5</v>
      </c>
      <c r="H123" s="4">
        <f t="shared" si="7"/>
        <v>1</v>
      </c>
      <c r="I123" s="5">
        <f>SQRT(SUM('p-native-fixed'!$C$3:C123)/COUNTIF($A$3:A123,"&lt;&gt;0"))</f>
        <v>14.451972326718295</v>
      </c>
    </row>
    <row r="124" spans="1:9">
      <c r="A124">
        <v>122</v>
      </c>
      <c r="B124">
        <v>233</v>
      </c>
      <c r="C124">
        <v>214</v>
      </c>
      <c r="D124">
        <v>215</v>
      </c>
      <c r="E124" s="4">
        <f t="shared" si="4"/>
        <v>1</v>
      </c>
      <c r="F124" s="4">
        <f t="shared" si="5"/>
        <v>19</v>
      </c>
      <c r="G124" s="4">
        <f t="shared" si="6"/>
        <v>6.6495975243603669E-3</v>
      </c>
      <c r="H124" s="4">
        <f t="shared" si="7"/>
        <v>361</v>
      </c>
      <c r="I124" s="5">
        <f>SQRT(SUM('p-native-fixed'!$C$3:C124)/COUNTIF($A$3:A124,"&lt;&gt;0"))</f>
        <v>14.453430020042381</v>
      </c>
    </row>
    <row r="125" spans="1:9">
      <c r="A125">
        <v>123</v>
      </c>
      <c r="B125">
        <v>233</v>
      </c>
      <c r="C125">
        <v>240</v>
      </c>
      <c r="D125">
        <v>222</v>
      </c>
      <c r="E125" s="4">
        <f t="shared" si="4"/>
        <v>1</v>
      </c>
      <c r="F125" s="4">
        <f t="shared" si="5"/>
        <v>7</v>
      </c>
      <c r="G125" s="4">
        <f t="shared" si="6"/>
        <v>9.0257694928991142E-4</v>
      </c>
      <c r="H125" s="4">
        <f t="shared" si="7"/>
        <v>49</v>
      </c>
      <c r="I125" s="5">
        <f>SQRT(SUM('p-native-fixed'!$C$3:C125)/COUNTIF($A$3:A125,"&lt;&gt;0"))</f>
        <v>14.462173818092335</v>
      </c>
    </row>
    <row r="126" spans="1:9">
      <c r="A126">
        <v>124</v>
      </c>
      <c r="B126">
        <v>233</v>
      </c>
      <c r="C126">
        <v>258</v>
      </c>
      <c r="D126">
        <v>214</v>
      </c>
      <c r="E126" s="4">
        <f t="shared" si="4"/>
        <v>1</v>
      </c>
      <c r="F126" s="4">
        <f t="shared" si="5"/>
        <v>25</v>
      </c>
      <c r="G126" s="4">
        <f t="shared" si="6"/>
        <v>1.1512461087881523E-2</v>
      </c>
      <c r="H126" s="4">
        <f t="shared" si="7"/>
        <v>625</v>
      </c>
      <c r="I126" s="5">
        <f>SQRT(SUM('p-native-fixed'!$C$3:C126)/COUNTIF($A$3:A126,"&lt;&gt;0"))</f>
        <v>14.475786234148879</v>
      </c>
    </row>
    <row r="127" spans="1:9">
      <c r="A127">
        <v>125</v>
      </c>
      <c r="B127">
        <v>233</v>
      </c>
      <c r="C127">
        <v>248</v>
      </c>
      <c r="D127">
        <v>207</v>
      </c>
      <c r="E127" s="4">
        <f t="shared" si="4"/>
        <v>1</v>
      </c>
      <c r="F127" s="4">
        <f t="shared" si="5"/>
        <v>15</v>
      </c>
      <c r="G127" s="4">
        <f t="shared" si="6"/>
        <v>4.1444859916373476E-3</v>
      </c>
      <c r="H127" s="4">
        <f t="shared" si="7"/>
        <v>225</v>
      </c>
      <c r="I127" s="5">
        <f>SQRT(SUM('p-native-fixed'!$C$3:C127)/COUNTIF($A$3:A127,"&lt;&gt;0"))</f>
        <v>14.486407422131961</v>
      </c>
    </row>
    <row r="128" spans="1:9">
      <c r="A128">
        <v>126</v>
      </c>
      <c r="B128">
        <v>233</v>
      </c>
      <c r="C128">
        <v>227</v>
      </c>
      <c r="D128">
        <v>208</v>
      </c>
      <c r="E128" s="4">
        <f t="shared" si="4"/>
        <v>1</v>
      </c>
      <c r="F128" s="4">
        <f t="shared" si="5"/>
        <v>6</v>
      </c>
      <c r="G128" s="4">
        <f t="shared" si="6"/>
        <v>6.6311775866197576E-4</v>
      </c>
      <c r="H128" s="4">
        <f t="shared" si="7"/>
        <v>36</v>
      </c>
      <c r="I128" s="5">
        <f>SQRT(SUM('p-native-fixed'!$C$3:C128)/COUNTIF($A$3:A128,"&lt;&gt;0"))</f>
        <v>14.491102908062709</v>
      </c>
    </row>
    <row r="129" spans="1:9">
      <c r="A129">
        <v>127</v>
      </c>
      <c r="B129">
        <v>233</v>
      </c>
      <c r="C129">
        <v>235</v>
      </c>
      <c r="D129">
        <v>215</v>
      </c>
      <c r="E129" s="4">
        <f t="shared" si="4"/>
        <v>1</v>
      </c>
      <c r="F129" s="4">
        <f t="shared" si="5"/>
        <v>2</v>
      </c>
      <c r="G129" s="4">
        <f t="shared" si="6"/>
        <v>7.3679750962441751E-5</v>
      </c>
      <c r="H129" s="4">
        <f t="shared" si="7"/>
        <v>4</v>
      </c>
      <c r="I129" s="5">
        <f>SQRT(SUM('p-native-fixed'!$C$3:C129)/COUNTIF($A$3:A129,"&lt;&gt;0"))</f>
        <v>14.497895584461656</v>
      </c>
    </row>
    <row r="130" spans="1:9">
      <c r="A130">
        <v>128</v>
      </c>
      <c r="B130">
        <v>233</v>
      </c>
      <c r="C130">
        <v>253</v>
      </c>
      <c r="D130">
        <v>213</v>
      </c>
      <c r="E130" s="4">
        <f t="shared" si="4"/>
        <v>1</v>
      </c>
      <c r="F130" s="4">
        <f t="shared" si="5"/>
        <v>20</v>
      </c>
      <c r="G130" s="4">
        <f t="shared" si="6"/>
        <v>7.3679750962441747E-3</v>
      </c>
      <c r="H130" s="4">
        <f t="shared" si="7"/>
        <v>400</v>
      </c>
      <c r="I130" s="5">
        <f>SQRT(SUM('p-native-fixed'!$C$3:C130)/COUNTIF($A$3:A130,"&lt;&gt;0"))</f>
        <v>14.509425815655145</v>
      </c>
    </row>
    <row r="131" spans="1:9">
      <c r="A131">
        <v>129</v>
      </c>
      <c r="B131">
        <v>233</v>
      </c>
      <c r="C131">
        <v>207</v>
      </c>
      <c r="D131">
        <v>206</v>
      </c>
      <c r="E131" s="4">
        <f t="shared" si="4"/>
        <v>1</v>
      </c>
      <c r="F131" s="4">
        <f t="shared" si="5"/>
        <v>26</v>
      </c>
      <c r="G131" s="4">
        <f t="shared" si="6"/>
        <v>1.2451877912652657E-2</v>
      </c>
      <c r="H131" s="4">
        <f t="shared" si="7"/>
        <v>676</v>
      </c>
      <c r="I131" s="5">
        <f>SQRT(SUM('p-native-fixed'!$C$3:C131)/COUNTIF($A$3:A131,"&lt;&gt;0"))</f>
        <v>14.508484553219462</v>
      </c>
    </row>
    <row r="132" spans="1:9">
      <c r="A132">
        <v>130</v>
      </c>
      <c r="B132">
        <v>233</v>
      </c>
      <c r="C132">
        <v>218</v>
      </c>
      <c r="D132">
        <v>221</v>
      </c>
      <c r="E132" s="4">
        <f t="shared" ref="E132:E152" si="8">IF(AND(C132&lt;=B132*1.2,C132&gt;=B132*0.8),1,0)</f>
        <v>1</v>
      </c>
      <c r="F132" s="4">
        <f t="shared" ref="F132:F152" si="9">ABS(B132-C132)</f>
        <v>15</v>
      </c>
      <c r="G132" s="4">
        <f t="shared" ref="G132:G152" si="10">POWER(ABS(B132-C132)/B132,2)</f>
        <v>4.1444859916373476E-3</v>
      </c>
      <c r="H132" s="4">
        <f t="shared" ref="H132:H152" si="11">POWER(F132,2)</f>
        <v>225</v>
      </c>
      <c r="I132" s="5">
        <f>SQRT(SUM('p-native-fixed'!$C$3:C132)/COUNTIF($A$3:A132,"&lt;&gt;0"))</f>
        <v>14.510473670898762</v>
      </c>
    </row>
    <row r="133" spans="1:9">
      <c r="A133">
        <v>131</v>
      </c>
      <c r="B133">
        <v>233</v>
      </c>
      <c r="C133">
        <v>219</v>
      </c>
      <c r="D133">
        <v>219</v>
      </c>
      <c r="E133" s="4">
        <f t="shared" si="8"/>
        <v>1</v>
      </c>
      <c r="F133" s="4">
        <f t="shared" si="9"/>
        <v>14</v>
      </c>
      <c r="G133" s="4">
        <f t="shared" si="10"/>
        <v>3.6103077971596457E-3</v>
      </c>
      <c r="H133" s="4">
        <f t="shared" si="11"/>
        <v>196</v>
      </c>
      <c r="I133" s="5">
        <f>SQRT(SUM('p-native-fixed'!$C$3:C133)/COUNTIF($A$3:A133,"&lt;&gt;0"))</f>
        <v>14.512695153233496</v>
      </c>
    </row>
    <row r="134" spans="1:9">
      <c r="A134">
        <v>132</v>
      </c>
      <c r="B134">
        <v>233</v>
      </c>
      <c r="C134">
        <v>219</v>
      </c>
      <c r="D134">
        <v>220</v>
      </c>
      <c r="E134" s="4">
        <f t="shared" si="8"/>
        <v>1</v>
      </c>
      <c r="F134" s="4">
        <f t="shared" si="9"/>
        <v>14</v>
      </c>
      <c r="G134" s="4">
        <f t="shared" si="10"/>
        <v>3.6103077971596457E-3</v>
      </c>
      <c r="H134" s="4">
        <f t="shared" si="11"/>
        <v>196</v>
      </c>
      <c r="I134" s="5">
        <f>SQRT(SUM('p-native-fixed'!$C$3:C134)/COUNTIF($A$3:A134,"&lt;&gt;0"))</f>
        <v>14.514882644438369</v>
      </c>
    </row>
    <row r="135" spans="1:9">
      <c r="A135">
        <v>133</v>
      </c>
      <c r="B135">
        <v>233</v>
      </c>
      <c r="C135">
        <v>260</v>
      </c>
      <c r="D135">
        <v>221</v>
      </c>
      <c r="E135" s="4">
        <f t="shared" si="8"/>
        <v>1</v>
      </c>
      <c r="F135" s="4">
        <f t="shared" si="9"/>
        <v>27</v>
      </c>
      <c r="G135" s="4">
        <f t="shared" si="10"/>
        <v>1.3428134612905008E-2</v>
      </c>
      <c r="H135" s="4">
        <f t="shared" si="11"/>
        <v>729</v>
      </c>
      <c r="I135" s="5">
        <f>SQRT(SUM('p-native-fixed'!$C$3:C135)/COUNTIF($A$3:A135,"&lt;&gt;0"))</f>
        <v>14.527650587033932</v>
      </c>
    </row>
    <row r="136" spans="1:9">
      <c r="A136">
        <v>134</v>
      </c>
      <c r="B136">
        <v>233</v>
      </c>
      <c r="C136">
        <v>229</v>
      </c>
      <c r="D136">
        <v>206</v>
      </c>
      <c r="E136" s="4">
        <f t="shared" si="8"/>
        <v>1</v>
      </c>
      <c r="F136" s="4">
        <f t="shared" si="9"/>
        <v>4</v>
      </c>
      <c r="G136" s="4">
        <f t="shared" si="10"/>
        <v>2.94719003849767E-4</v>
      </c>
      <c r="H136" s="4">
        <f t="shared" si="11"/>
        <v>16</v>
      </c>
      <c r="I136" s="5">
        <f>SQRT(SUM('p-native-fixed'!$C$3:C136)/COUNTIF($A$3:A136,"&lt;&gt;0"))</f>
        <v>14.532259534022199</v>
      </c>
    </row>
    <row r="137" spans="1:9">
      <c r="A137">
        <v>135</v>
      </c>
      <c r="B137">
        <v>233</v>
      </c>
      <c r="C137">
        <v>254</v>
      </c>
      <c r="D137">
        <v>216</v>
      </c>
      <c r="E137" s="4">
        <f t="shared" si="8"/>
        <v>1</v>
      </c>
      <c r="F137" s="4">
        <f t="shared" si="9"/>
        <v>21</v>
      </c>
      <c r="G137" s="4">
        <f t="shared" si="10"/>
        <v>8.1231925436092024E-3</v>
      </c>
      <c r="H137" s="4">
        <f t="shared" si="11"/>
        <v>441</v>
      </c>
      <c r="I137" s="5">
        <f>SQRT(SUM('p-native-fixed'!$C$3:C137)/COUNTIF($A$3:A137,"&lt;&gt;0"))</f>
        <v>14.543166907647857</v>
      </c>
    </row>
    <row r="138" spans="1:9">
      <c r="A138">
        <v>136</v>
      </c>
      <c r="B138">
        <v>233</v>
      </c>
      <c r="C138">
        <v>250</v>
      </c>
      <c r="D138">
        <v>207</v>
      </c>
      <c r="E138" s="4">
        <f t="shared" si="8"/>
        <v>1</v>
      </c>
      <c r="F138" s="4">
        <f t="shared" si="9"/>
        <v>17</v>
      </c>
      <c r="G138" s="4">
        <f t="shared" si="10"/>
        <v>5.3233620070364165E-3</v>
      </c>
      <c r="H138" s="4">
        <f t="shared" si="11"/>
        <v>289</v>
      </c>
      <c r="I138" s="5">
        <f>SQRT(SUM('p-native-fixed'!$C$3:C138)/COUNTIF($A$3:A138,"&lt;&gt;0"))</f>
        <v>14.552895406271645</v>
      </c>
    </row>
    <row r="139" spans="1:9">
      <c r="A139">
        <v>137</v>
      </c>
      <c r="B139">
        <v>233</v>
      </c>
      <c r="C139">
        <v>247</v>
      </c>
      <c r="D139">
        <v>207</v>
      </c>
      <c r="E139" s="4">
        <f t="shared" si="8"/>
        <v>1</v>
      </c>
      <c r="F139" s="4">
        <f t="shared" si="9"/>
        <v>14</v>
      </c>
      <c r="G139" s="4">
        <f t="shared" si="10"/>
        <v>3.6103077971596457E-3</v>
      </c>
      <c r="H139" s="4">
        <f t="shared" si="11"/>
        <v>196</v>
      </c>
      <c r="I139" s="5">
        <f>SQRT(SUM('p-native-fixed'!$C$3:C139)/COUNTIF($A$3:A139,"&lt;&gt;0"))</f>
        <v>14.561723648676963</v>
      </c>
    </row>
    <row r="140" spans="1:9">
      <c r="A140">
        <v>138</v>
      </c>
      <c r="B140">
        <v>233</v>
      </c>
      <c r="C140">
        <v>227</v>
      </c>
      <c r="D140">
        <v>207</v>
      </c>
      <c r="E140" s="4">
        <f t="shared" si="8"/>
        <v>1</v>
      </c>
      <c r="F140" s="4">
        <f t="shared" si="9"/>
        <v>6</v>
      </c>
      <c r="G140" s="4">
        <f t="shared" si="10"/>
        <v>6.6311775866197576E-4</v>
      </c>
      <c r="H140" s="4">
        <f t="shared" si="11"/>
        <v>36</v>
      </c>
      <c r="I140" s="5">
        <f>SQRT(SUM('p-native-fixed'!$C$3:C140)/COUNTIF($A$3:A140,"&lt;&gt;0"))</f>
        <v>14.565444514776866</v>
      </c>
    </row>
    <row r="141" spans="1:9">
      <c r="A141">
        <v>139</v>
      </c>
      <c r="B141">
        <v>233</v>
      </c>
      <c r="C141">
        <v>211</v>
      </c>
      <c r="D141">
        <v>213</v>
      </c>
      <c r="E141" s="4">
        <f t="shared" si="8"/>
        <v>1</v>
      </c>
      <c r="F141" s="4">
        <f t="shared" si="9"/>
        <v>22</v>
      </c>
      <c r="G141" s="4">
        <f t="shared" si="10"/>
        <v>8.9152498664554526E-3</v>
      </c>
      <c r="H141" s="4">
        <f t="shared" si="11"/>
        <v>484</v>
      </c>
      <c r="I141" s="5">
        <f>SQRT(SUM('p-native-fixed'!$C$3:C141)/COUNTIF($A$3:A141,"&lt;&gt;0"))</f>
        <v>14.565159967953882</v>
      </c>
    </row>
    <row r="142" spans="1:9">
      <c r="A142">
        <v>140</v>
      </c>
      <c r="B142">
        <v>233</v>
      </c>
      <c r="C142">
        <v>261</v>
      </c>
      <c r="D142">
        <v>219</v>
      </c>
      <c r="E142" s="4">
        <f t="shared" si="8"/>
        <v>1</v>
      </c>
      <c r="F142" s="4">
        <f t="shared" si="9"/>
        <v>28</v>
      </c>
      <c r="G142" s="4">
        <f t="shared" si="10"/>
        <v>1.4441231188638583E-2</v>
      </c>
      <c r="H142" s="4">
        <f t="shared" si="11"/>
        <v>784</v>
      </c>
      <c r="I142" s="5">
        <f>SQRT(SUM('p-native-fixed'!$C$3:C142)/COUNTIF($A$3:A142,"&lt;&gt;0"))</f>
        <v>14.577134737075635</v>
      </c>
    </row>
    <row r="143" spans="1:9">
      <c r="A143">
        <v>141</v>
      </c>
      <c r="B143">
        <v>233</v>
      </c>
      <c r="C143">
        <v>205</v>
      </c>
      <c r="D143">
        <v>202</v>
      </c>
      <c r="E143" s="4">
        <f t="shared" si="8"/>
        <v>1</v>
      </c>
      <c r="F143" s="4">
        <f t="shared" si="9"/>
        <v>28</v>
      </c>
      <c r="G143" s="4">
        <f t="shared" si="10"/>
        <v>1.4441231188638583E-2</v>
      </c>
      <c r="H143" s="4">
        <f t="shared" si="11"/>
        <v>784</v>
      </c>
      <c r="I143" s="5">
        <f>SQRT(SUM('p-native-fixed'!$C$3:C143)/COUNTIF($A$3:A143,"&lt;&gt;0"))</f>
        <v>14.575311877008215</v>
      </c>
    </row>
    <row r="144" spans="1:9">
      <c r="A144">
        <v>142</v>
      </c>
      <c r="B144">
        <v>233</v>
      </c>
      <c r="C144">
        <v>257</v>
      </c>
      <c r="D144">
        <v>221</v>
      </c>
      <c r="E144" s="4">
        <f t="shared" si="8"/>
        <v>1</v>
      </c>
      <c r="F144" s="4">
        <f t="shared" si="9"/>
        <v>24</v>
      </c>
      <c r="G144" s="4">
        <f t="shared" si="10"/>
        <v>1.0609884138591612E-2</v>
      </c>
      <c r="H144" s="4">
        <f t="shared" si="11"/>
        <v>576</v>
      </c>
      <c r="I144" s="5">
        <f>SQRT(SUM('p-native-fixed'!$C$3:C144)/COUNTIF($A$3:A144,"&lt;&gt;0"))</f>
        <v>14.586072847986211</v>
      </c>
    </row>
    <row r="145" spans="1:9">
      <c r="A145">
        <v>143</v>
      </c>
      <c r="B145">
        <v>233</v>
      </c>
      <c r="C145">
        <v>247</v>
      </c>
      <c r="D145">
        <v>204</v>
      </c>
      <c r="E145" s="4">
        <f t="shared" si="8"/>
        <v>1</v>
      </c>
      <c r="F145" s="4">
        <f t="shared" si="9"/>
        <v>14</v>
      </c>
      <c r="G145" s="4">
        <f t="shared" si="10"/>
        <v>3.6103077971596457E-3</v>
      </c>
      <c r="H145" s="4">
        <f t="shared" si="11"/>
        <v>196</v>
      </c>
      <c r="I145" s="5">
        <f>SQRT(SUM('p-native-fixed'!$C$3:C145)/COUNTIF($A$3:A145,"&lt;&gt;0"))</f>
        <v>14.59427994088804</v>
      </c>
    </row>
    <row r="146" spans="1:9">
      <c r="A146">
        <v>144</v>
      </c>
      <c r="B146">
        <v>233</v>
      </c>
      <c r="C146">
        <v>226</v>
      </c>
      <c r="D146">
        <v>206</v>
      </c>
      <c r="E146" s="4">
        <f t="shared" si="8"/>
        <v>1</v>
      </c>
      <c r="F146" s="4">
        <f t="shared" si="9"/>
        <v>7</v>
      </c>
      <c r="G146" s="4">
        <f t="shared" si="10"/>
        <v>9.0257694928991142E-4</v>
      </c>
      <c r="H146" s="4">
        <f t="shared" si="11"/>
        <v>49</v>
      </c>
      <c r="I146" s="5">
        <f>SQRT(SUM('p-native-fixed'!$C$3:C146)/COUNTIF($A$3:A146,"&lt;&gt;0"))</f>
        <v>14.597374193098338</v>
      </c>
    </row>
    <row r="147" spans="1:9">
      <c r="A147">
        <v>145</v>
      </c>
      <c r="B147">
        <v>233</v>
      </c>
      <c r="C147">
        <v>254</v>
      </c>
      <c r="D147">
        <v>213</v>
      </c>
      <c r="E147" s="4">
        <f t="shared" si="8"/>
        <v>1</v>
      </c>
      <c r="F147" s="4">
        <f t="shared" si="9"/>
        <v>21</v>
      </c>
      <c r="G147" s="4">
        <f t="shared" si="10"/>
        <v>8.1231925436092024E-3</v>
      </c>
      <c r="H147" s="4">
        <f t="shared" si="11"/>
        <v>441</v>
      </c>
      <c r="I147" s="5">
        <f>SQRT(SUM('p-native-fixed'!$C$3:C147)/COUNTIF($A$3:A147,"&lt;&gt;0"))</f>
        <v>14.607036566031431</v>
      </c>
    </row>
    <row r="148" spans="1:9">
      <c r="A148">
        <v>146</v>
      </c>
      <c r="B148">
        <v>233</v>
      </c>
      <c r="C148">
        <v>225</v>
      </c>
      <c r="D148">
        <v>203</v>
      </c>
      <c r="E148" s="4">
        <f t="shared" si="8"/>
        <v>1</v>
      </c>
      <c r="F148" s="4">
        <f t="shared" si="9"/>
        <v>8</v>
      </c>
      <c r="G148" s="4">
        <f t="shared" si="10"/>
        <v>1.178876015399068E-3</v>
      </c>
      <c r="H148" s="4">
        <f t="shared" si="11"/>
        <v>64</v>
      </c>
      <c r="I148" s="5">
        <f>SQRT(SUM('p-native-fixed'!$C$3:C148)/COUNTIF($A$3:A148,"&lt;&gt;0"))</f>
        <v>14.609764045988287</v>
      </c>
    </row>
    <row r="149" spans="1:9">
      <c r="A149">
        <v>147</v>
      </c>
      <c r="B149">
        <v>233</v>
      </c>
      <c r="C149">
        <v>250</v>
      </c>
      <c r="D149">
        <v>212</v>
      </c>
      <c r="E149" s="4">
        <f t="shared" si="8"/>
        <v>1</v>
      </c>
      <c r="F149" s="4">
        <f t="shared" si="9"/>
        <v>17</v>
      </c>
      <c r="G149" s="4">
        <f t="shared" si="10"/>
        <v>5.3233620070364165E-3</v>
      </c>
      <c r="H149" s="4">
        <f t="shared" si="11"/>
        <v>289</v>
      </c>
      <c r="I149" s="5">
        <f>SQRT(SUM('p-native-fixed'!$C$3:C149)/COUNTIF($A$3:A149,"&lt;&gt;0"))</f>
        <v>14.618272043953089</v>
      </c>
    </row>
    <row r="150" spans="1:9">
      <c r="A150">
        <v>148</v>
      </c>
      <c r="B150">
        <v>233</v>
      </c>
      <c r="C150">
        <v>224</v>
      </c>
      <c r="D150">
        <v>203</v>
      </c>
      <c r="E150" s="4">
        <f t="shared" si="8"/>
        <v>1</v>
      </c>
      <c r="F150" s="4">
        <f t="shared" si="9"/>
        <v>9</v>
      </c>
      <c r="G150" s="4">
        <f t="shared" si="10"/>
        <v>1.4920149569894456E-3</v>
      </c>
      <c r="H150" s="4">
        <f t="shared" si="11"/>
        <v>81</v>
      </c>
      <c r="I150" s="5">
        <f>SQRT(SUM('p-native-fixed'!$C$3:C150)/COUNTIF($A$3:A150,"&lt;&gt;0"))</f>
        <v>14.620653662320079</v>
      </c>
    </row>
    <row r="151" spans="1:9">
      <c r="A151">
        <v>149</v>
      </c>
      <c r="B151">
        <v>233</v>
      </c>
      <c r="C151">
        <v>229</v>
      </c>
      <c r="D151">
        <v>211</v>
      </c>
      <c r="E151" s="4">
        <f t="shared" si="8"/>
        <v>1</v>
      </c>
      <c r="F151" s="4">
        <f t="shared" si="9"/>
        <v>4</v>
      </c>
      <c r="G151" s="4">
        <f t="shared" si="10"/>
        <v>2.94719003849767E-4</v>
      </c>
      <c r="H151" s="4">
        <f t="shared" si="11"/>
        <v>16</v>
      </c>
      <c r="I151" s="5">
        <f>SQRT(SUM('p-native-fixed'!$C$3:C151)/COUNTIF($A$3:A151,"&lt;&gt;0"))</f>
        <v>14.624150293677939</v>
      </c>
    </row>
    <row r="152" spans="1:9">
      <c r="A152">
        <v>150</v>
      </c>
      <c r="B152">
        <v>233</v>
      </c>
      <c r="C152">
        <v>250</v>
      </c>
      <c r="D152">
        <v>210</v>
      </c>
      <c r="E152" s="4">
        <f t="shared" si="8"/>
        <v>1</v>
      </c>
      <c r="F152" s="4">
        <f t="shared" si="9"/>
        <v>17</v>
      </c>
      <c r="G152" s="4">
        <f t="shared" si="10"/>
        <v>5.3233620070364165E-3</v>
      </c>
      <c r="H152" s="4">
        <f t="shared" si="11"/>
        <v>289</v>
      </c>
      <c r="I152" s="5">
        <f>SQRT(SUM('p-native-fixed'!$C$3:C152)/COUNTIF($A$3:A152,"&lt;&gt;0"))</f>
        <v>14.632384175747527</v>
      </c>
    </row>
    <row r="153" spans="1:9">
      <c r="A153"/>
      <c r="B153"/>
      <c r="C153"/>
      <c r="D153"/>
      <c r="I153" s="5"/>
    </row>
    <row r="154" spans="1:9">
      <c r="A154"/>
      <c r="B154"/>
      <c r="C154"/>
      <c r="D154"/>
      <c r="I154" s="5"/>
    </row>
    <row r="155" spans="1:9">
      <c r="A155"/>
      <c r="B155"/>
      <c r="C155"/>
      <c r="D155"/>
      <c r="I155" s="5"/>
    </row>
    <row r="156" spans="1:9">
      <c r="A156"/>
      <c r="B156"/>
      <c r="C156"/>
      <c r="D156"/>
      <c r="I156" s="5"/>
    </row>
    <row r="157" spans="1:9">
      <c r="A157"/>
      <c r="B157"/>
      <c r="C157"/>
      <c r="D157"/>
      <c r="I157" s="5"/>
    </row>
    <row r="158" spans="1:9">
      <c r="A158"/>
      <c r="B158"/>
      <c r="C158"/>
      <c r="D158"/>
      <c r="I158" s="5"/>
    </row>
    <row r="159" spans="1:9">
      <c r="A159"/>
      <c r="B159"/>
      <c r="C159"/>
      <c r="D159"/>
      <c r="I159" s="5"/>
    </row>
    <row r="160" spans="1:9">
      <c r="A160"/>
      <c r="B160"/>
      <c r="C160"/>
      <c r="D160"/>
      <c r="I160" s="5"/>
    </row>
    <row r="161" spans="1:9">
      <c r="A161"/>
      <c r="B161"/>
      <c r="C161"/>
      <c r="D161"/>
      <c r="I161" s="5"/>
    </row>
    <row r="162" spans="1:9">
      <c r="A162"/>
      <c r="B162"/>
      <c r="C162"/>
      <c r="D162"/>
      <c r="I162" s="5"/>
    </row>
    <row r="163" spans="1:9">
      <c r="A163"/>
      <c r="B163"/>
      <c r="C163"/>
      <c r="D163"/>
      <c r="I163" s="5"/>
    </row>
    <row r="164" spans="1:9">
      <c r="A164"/>
      <c r="B164"/>
      <c r="C164"/>
      <c r="D164"/>
      <c r="I164" s="5"/>
    </row>
    <row r="165" spans="1:9">
      <c r="A165"/>
      <c r="B165"/>
      <c r="C165"/>
      <c r="D165"/>
      <c r="I165" s="5"/>
    </row>
    <row r="166" spans="1:9">
      <c r="A166"/>
      <c r="B166"/>
      <c r="C166"/>
      <c r="D166"/>
      <c r="I166" s="5"/>
    </row>
    <row r="167" spans="1:9">
      <c r="A167"/>
      <c r="B167"/>
      <c r="C167"/>
      <c r="D167"/>
      <c r="I167" s="5"/>
    </row>
    <row r="168" spans="1:9">
      <c r="A168"/>
      <c r="B168"/>
      <c r="C168"/>
      <c r="D168"/>
      <c r="I168" s="5"/>
    </row>
    <row r="169" spans="1:9">
      <c r="A169"/>
      <c r="B169"/>
      <c r="C169"/>
      <c r="D169"/>
      <c r="I169" s="5"/>
    </row>
    <row r="170" spans="1:9">
      <c r="A170"/>
      <c r="B170"/>
      <c r="C170"/>
      <c r="D170"/>
      <c r="I170" s="5"/>
    </row>
    <row r="171" spans="1:9">
      <c r="A171"/>
      <c r="B171"/>
      <c r="C171"/>
      <c r="D171"/>
      <c r="I171" s="5"/>
    </row>
    <row r="172" spans="1:9">
      <c r="A172"/>
      <c r="B172"/>
      <c r="C172"/>
      <c r="D172"/>
      <c r="I172" s="5"/>
    </row>
    <row r="173" spans="1:9">
      <c r="A173"/>
      <c r="B173"/>
      <c r="C173"/>
      <c r="D173"/>
      <c r="I173" s="5"/>
    </row>
    <row r="174" spans="1:9">
      <c r="A174"/>
      <c r="B174"/>
      <c r="C174"/>
      <c r="D174"/>
      <c r="I174" s="5"/>
    </row>
    <row r="175" spans="1:9">
      <c r="A175"/>
      <c r="B175"/>
      <c r="C175"/>
      <c r="D175"/>
      <c r="I175" s="5"/>
    </row>
    <row r="176" spans="1:9">
      <c r="A176"/>
      <c r="B176"/>
      <c r="C176"/>
      <c r="D176"/>
      <c r="I176" s="5"/>
    </row>
    <row r="177" spans="1:9">
      <c r="A177"/>
      <c r="B177"/>
      <c r="C177"/>
      <c r="D177"/>
      <c r="I177" s="5"/>
    </row>
    <row r="178" spans="1:9">
      <c r="A178"/>
      <c r="B178"/>
      <c r="C178"/>
      <c r="D178"/>
      <c r="I178" s="5"/>
    </row>
    <row r="179" spans="1:9">
      <c r="A179"/>
      <c r="B179"/>
      <c r="C179"/>
      <c r="D179"/>
      <c r="I179" s="5"/>
    </row>
    <row r="180" spans="1:9">
      <c r="A180"/>
      <c r="B180"/>
      <c r="C180"/>
      <c r="D180"/>
      <c r="I180" s="5"/>
    </row>
    <row r="181" spans="1:9">
      <c r="A181"/>
      <c r="B181"/>
      <c r="C181"/>
      <c r="D181"/>
      <c r="I181" s="5"/>
    </row>
    <row r="182" spans="1:9">
      <c r="A182"/>
      <c r="B182"/>
      <c r="C182"/>
      <c r="D182"/>
      <c r="I182" s="5"/>
    </row>
    <row r="183" spans="1:9">
      <c r="A183"/>
      <c r="B183"/>
      <c r="C183"/>
      <c r="D183"/>
      <c r="I183" s="5"/>
    </row>
    <row r="184" spans="1:9">
      <c r="A184"/>
      <c r="B184"/>
      <c r="C184"/>
      <c r="D184"/>
      <c r="I184" s="5"/>
    </row>
    <row r="185" spans="1:9">
      <c r="A185"/>
      <c r="B185"/>
      <c r="C185"/>
      <c r="D185"/>
      <c r="I185" s="5"/>
    </row>
    <row r="186" spans="1:9">
      <c r="A186"/>
      <c r="B186"/>
      <c r="C186"/>
      <c r="D186"/>
      <c r="I186" s="5"/>
    </row>
    <row r="187" spans="1:9">
      <c r="A187"/>
      <c r="B187"/>
      <c r="C187"/>
      <c r="D187"/>
      <c r="I187" s="5"/>
    </row>
    <row r="188" spans="1:9">
      <c r="A188"/>
      <c r="B188"/>
      <c r="C188"/>
      <c r="D188"/>
      <c r="I188" s="5"/>
    </row>
    <row r="189" spans="1:9">
      <c r="A189"/>
      <c r="B189"/>
      <c r="C189"/>
      <c r="D189"/>
      <c r="I189" s="5"/>
    </row>
    <row r="190" spans="1:9">
      <c r="A190"/>
      <c r="B190"/>
      <c r="C190"/>
      <c r="D190"/>
      <c r="I190" s="5"/>
    </row>
    <row r="191" spans="1:9">
      <c r="A191"/>
      <c r="B191"/>
      <c r="C191"/>
      <c r="D191"/>
      <c r="I191" s="5"/>
    </row>
    <row r="192" spans="1:9">
      <c r="A192"/>
      <c r="B192"/>
      <c r="C192"/>
      <c r="D192"/>
      <c r="I192" s="5"/>
    </row>
    <row r="193" spans="1:9">
      <c r="A193"/>
      <c r="B193"/>
      <c r="C193"/>
      <c r="D193"/>
      <c r="I193" s="5"/>
    </row>
    <row r="194" spans="1:9">
      <c r="A194"/>
      <c r="B194"/>
      <c r="C194"/>
      <c r="D194"/>
      <c r="I194" s="5"/>
    </row>
    <row r="195" spans="1:9">
      <c r="A195"/>
      <c r="B195"/>
      <c r="C195"/>
      <c r="D195"/>
      <c r="I195" s="5"/>
    </row>
    <row r="196" spans="1:9">
      <c r="A196"/>
      <c r="B196"/>
      <c r="C196"/>
      <c r="D196"/>
      <c r="I196" s="5"/>
    </row>
    <row r="197" spans="1:9">
      <c r="A197"/>
      <c r="B197"/>
      <c r="C197"/>
      <c r="D197"/>
      <c r="I197" s="5"/>
    </row>
    <row r="198" spans="1:9">
      <c r="A198"/>
      <c r="B198"/>
      <c r="C198"/>
      <c r="D198"/>
      <c r="I198" s="5"/>
    </row>
    <row r="199" spans="1:9">
      <c r="A199"/>
      <c r="B199"/>
      <c r="C199"/>
      <c r="D199"/>
      <c r="I199" s="5"/>
    </row>
    <row r="200" spans="1:9">
      <c r="A200"/>
      <c r="B200"/>
      <c r="C200"/>
      <c r="D200"/>
      <c r="I200" s="5"/>
    </row>
    <row r="201" spans="1:9">
      <c r="A201"/>
      <c r="B201"/>
      <c r="C201"/>
      <c r="D201"/>
      <c r="I201" s="5"/>
    </row>
    <row r="202" spans="1:9">
      <c r="A202"/>
      <c r="B202"/>
      <c r="C202"/>
      <c r="D202"/>
      <c r="I202" s="5"/>
    </row>
    <row r="203" spans="1:9">
      <c r="A203"/>
      <c r="B203"/>
      <c r="C203"/>
      <c r="D203"/>
      <c r="I203" s="5"/>
    </row>
    <row r="204" spans="1:9">
      <c r="A204"/>
      <c r="B204"/>
      <c r="C204"/>
      <c r="D204"/>
      <c r="I204" s="5"/>
    </row>
    <row r="205" spans="1:9">
      <c r="A205"/>
      <c r="B205"/>
      <c r="C205"/>
      <c r="D205"/>
      <c r="I205" s="5"/>
    </row>
    <row r="206" spans="1:9">
      <c r="A206"/>
      <c r="B206"/>
      <c r="C206"/>
      <c r="D206"/>
      <c r="I206" s="5"/>
    </row>
    <row r="207" spans="1:9">
      <c r="A207"/>
      <c r="B207"/>
      <c r="C207"/>
      <c r="D207"/>
      <c r="I207" s="5"/>
    </row>
    <row r="208" spans="1:9">
      <c r="A208"/>
      <c r="B208"/>
      <c r="C208"/>
      <c r="D208"/>
      <c r="I208" s="5"/>
    </row>
    <row r="209" spans="1:9">
      <c r="A209"/>
      <c r="B209"/>
      <c r="C209"/>
      <c r="D209"/>
      <c r="I209" s="5"/>
    </row>
    <row r="210" spans="1:9">
      <c r="A210"/>
      <c r="B210"/>
      <c r="C210"/>
      <c r="D210"/>
      <c r="I210" s="5"/>
    </row>
    <row r="211" spans="1:9">
      <c r="A211"/>
      <c r="B211"/>
      <c r="C211"/>
      <c r="D211"/>
      <c r="I211" s="5"/>
    </row>
    <row r="212" spans="1:9">
      <c r="A212"/>
      <c r="B212"/>
      <c r="C212"/>
      <c r="D212"/>
      <c r="I212" s="5"/>
    </row>
    <row r="213" spans="1:9">
      <c r="A213"/>
      <c r="B213"/>
      <c r="C213"/>
      <c r="D213"/>
      <c r="I213" s="5"/>
    </row>
    <row r="214" spans="1:9">
      <c r="A214"/>
      <c r="B214"/>
      <c r="C214"/>
      <c r="D214"/>
      <c r="I214" s="5"/>
    </row>
    <row r="215" spans="1:9">
      <c r="A215"/>
      <c r="B215"/>
      <c r="C215"/>
      <c r="D215"/>
      <c r="I215" s="5"/>
    </row>
    <row r="216" spans="1:9">
      <c r="A216"/>
      <c r="B216"/>
      <c r="C216"/>
      <c r="D216"/>
      <c r="I216" s="5"/>
    </row>
    <row r="217" spans="1:9">
      <c r="A217"/>
      <c r="B217"/>
      <c r="C217"/>
      <c r="D217"/>
      <c r="I217" s="5"/>
    </row>
    <row r="218" spans="1:9">
      <c r="A218"/>
      <c r="B218"/>
      <c r="C218"/>
      <c r="D218"/>
      <c r="I218" s="5"/>
    </row>
    <row r="219" spans="1:9">
      <c r="A219"/>
      <c r="B219"/>
      <c r="C219"/>
      <c r="D219"/>
      <c r="I219" s="5"/>
    </row>
    <row r="220" spans="1:9">
      <c r="A220"/>
      <c r="B220"/>
      <c r="C220"/>
      <c r="D220"/>
      <c r="I220" s="5"/>
    </row>
    <row r="221" spans="1:9">
      <c r="A221"/>
      <c r="B221"/>
      <c r="C221"/>
      <c r="D221"/>
      <c r="I221" s="5"/>
    </row>
    <row r="222" spans="1:9">
      <c r="A222"/>
      <c r="B222"/>
      <c r="C222"/>
      <c r="D222"/>
      <c r="I222" s="5"/>
    </row>
    <row r="223" spans="1:9">
      <c r="A223"/>
      <c r="B223"/>
      <c r="C223"/>
      <c r="D223"/>
      <c r="I223" s="5"/>
    </row>
    <row r="224" spans="1:9">
      <c r="A224"/>
      <c r="B224"/>
      <c r="C224"/>
      <c r="D224"/>
      <c r="I224" s="5"/>
    </row>
    <row r="225" spans="1:9">
      <c r="A225"/>
      <c r="B225"/>
      <c r="C225"/>
      <c r="D225"/>
      <c r="I225" s="5"/>
    </row>
    <row r="226" spans="1:9">
      <c r="A226"/>
      <c r="B226"/>
      <c r="C226"/>
      <c r="D226"/>
      <c r="I226" s="5"/>
    </row>
    <row r="227" spans="1:9">
      <c r="A227"/>
      <c r="B227"/>
      <c r="C227"/>
      <c r="D227"/>
      <c r="I227" s="5"/>
    </row>
    <row r="228" spans="1:9">
      <c r="A228"/>
      <c r="B228"/>
      <c r="C228"/>
      <c r="D228"/>
      <c r="I228" s="5"/>
    </row>
    <row r="229" spans="1:9">
      <c r="A229"/>
      <c r="B229"/>
      <c r="C229"/>
      <c r="D229"/>
      <c r="I229" s="5"/>
    </row>
    <row r="230" spans="1:9">
      <c r="A230"/>
      <c r="B230"/>
      <c r="C230"/>
      <c r="D230"/>
      <c r="I230" s="5"/>
    </row>
    <row r="231" spans="1:9">
      <c r="A231"/>
      <c r="B231"/>
      <c r="C231"/>
      <c r="D231"/>
      <c r="I231" s="5"/>
    </row>
    <row r="232" spans="1:9">
      <c r="A232"/>
      <c r="B232"/>
      <c r="C232"/>
      <c r="D232"/>
      <c r="I232" s="5"/>
    </row>
    <row r="233" spans="1:9">
      <c r="A233"/>
      <c r="B233"/>
      <c r="C233"/>
      <c r="D233"/>
      <c r="I233" s="5"/>
    </row>
    <row r="234" spans="1:9">
      <c r="A234"/>
      <c r="B234"/>
      <c r="C234"/>
      <c r="D234"/>
      <c r="I234" s="5"/>
    </row>
    <row r="235" spans="1:9">
      <c r="A235"/>
      <c r="B235"/>
      <c r="C235"/>
      <c r="D235"/>
      <c r="I235" s="5"/>
    </row>
    <row r="236" spans="1:9">
      <c r="A236"/>
      <c r="B236"/>
      <c r="C236"/>
      <c r="D236"/>
      <c r="I236" s="5"/>
    </row>
    <row r="237" spans="1:9">
      <c r="A237"/>
      <c r="B237"/>
      <c r="C237"/>
      <c r="D237"/>
      <c r="I237" s="5"/>
    </row>
    <row r="238" spans="1:9">
      <c r="A238"/>
      <c r="B238"/>
      <c r="C238"/>
      <c r="D238"/>
      <c r="I238" s="5"/>
    </row>
    <row r="239" spans="1:9">
      <c r="A239"/>
      <c r="B239"/>
      <c r="C239"/>
      <c r="D239"/>
      <c r="I239" s="5"/>
    </row>
    <row r="240" spans="1:9">
      <c r="A240"/>
      <c r="B240"/>
      <c r="C240"/>
      <c r="D240"/>
      <c r="I240" s="5"/>
    </row>
    <row r="241" spans="1:9">
      <c r="A241"/>
      <c r="B241"/>
      <c r="C241"/>
      <c r="D241"/>
      <c r="I241" s="5"/>
    </row>
    <row r="242" spans="1:9">
      <c r="A242"/>
      <c r="B242"/>
      <c r="C242"/>
      <c r="D242"/>
      <c r="I242" s="5"/>
    </row>
    <row r="243" spans="1:9">
      <c r="A243"/>
      <c r="B243"/>
      <c r="C243"/>
      <c r="D243"/>
      <c r="I243" s="5"/>
    </row>
    <row r="244" spans="1:9">
      <c r="A244"/>
      <c r="B244"/>
      <c r="C244"/>
      <c r="D244"/>
      <c r="I244" s="5"/>
    </row>
    <row r="245" spans="1:9">
      <c r="A245"/>
      <c r="B245"/>
      <c r="C245"/>
      <c r="D245"/>
      <c r="I245" s="5"/>
    </row>
    <row r="246" spans="1:9">
      <c r="A246"/>
      <c r="B246"/>
      <c r="C246"/>
      <c r="D246"/>
      <c r="I246" s="5"/>
    </row>
    <row r="247" spans="1:9">
      <c r="A247"/>
      <c r="B247"/>
      <c r="C247"/>
      <c r="D247"/>
      <c r="I247" s="5"/>
    </row>
    <row r="248" spans="1:9">
      <c r="A248"/>
      <c r="B248"/>
      <c r="C248"/>
      <c r="D248"/>
      <c r="I248" s="5"/>
    </row>
    <row r="249" spans="1:9">
      <c r="A249"/>
      <c r="B249"/>
      <c r="C249"/>
      <c r="D249"/>
      <c r="I249" s="5"/>
    </row>
    <row r="250" spans="1:9">
      <c r="A250"/>
      <c r="B250"/>
      <c r="C250"/>
      <c r="D250"/>
      <c r="I250" s="5"/>
    </row>
    <row r="251" spans="1:9">
      <c r="A251"/>
      <c r="B251"/>
      <c r="C251"/>
      <c r="D251"/>
      <c r="I251" s="5"/>
    </row>
    <row r="252" spans="1:9">
      <c r="A252"/>
      <c r="B252"/>
      <c r="C252"/>
      <c r="D252"/>
      <c r="I252" s="5"/>
    </row>
    <row r="253" spans="1:9">
      <c r="A253"/>
      <c r="B253"/>
      <c r="C253"/>
      <c r="D253"/>
      <c r="I253" s="5"/>
    </row>
    <row r="254" spans="1:9">
      <c r="A254"/>
      <c r="B254"/>
      <c r="C254"/>
      <c r="D254"/>
      <c r="I254" s="5"/>
    </row>
    <row r="255" spans="1:9">
      <c r="A255"/>
      <c r="B255"/>
      <c r="C255"/>
      <c r="D255"/>
      <c r="I255" s="5"/>
    </row>
    <row r="256" spans="1:9">
      <c r="A256"/>
      <c r="B256"/>
      <c r="C256"/>
      <c r="D256"/>
      <c r="I256" s="5"/>
    </row>
    <row r="257" spans="1:9">
      <c r="A257"/>
      <c r="B257"/>
      <c r="C257"/>
      <c r="D257"/>
      <c r="I257" s="5"/>
    </row>
    <row r="258" spans="1:9">
      <c r="A258"/>
      <c r="B258"/>
      <c r="C258"/>
      <c r="D258"/>
      <c r="I258" s="5"/>
    </row>
    <row r="259" spans="1:9">
      <c r="A259"/>
      <c r="B259"/>
      <c r="C259"/>
      <c r="D259"/>
      <c r="I259" s="5"/>
    </row>
    <row r="260" spans="1:9">
      <c r="A260"/>
      <c r="B260"/>
      <c r="C260"/>
      <c r="D260"/>
      <c r="I260" s="5"/>
    </row>
    <row r="261" spans="1:9">
      <c r="A261"/>
      <c r="B261"/>
      <c r="C261"/>
      <c r="D261"/>
      <c r="I261" s="5"/>
    </row>
    <row r="262" spans="1:9">
      <c r="A262"/>
      <c r="B262"/>
      <c r="C262"/>
      <c r="D262"/>
      <c r="I262" s="5"/>
    </row>
    <row r="263" spans="1:9">
      <c r="A263"/>
      <c r="B263"/>
      <c r="C263"/>
      <c r="D263"/>
      <c r="I263" s="5"/>
    </row>
    <row r="264" spans="1:9">
      <c r="A264"/>
      <c r="B264"/>
      <c r="C264"/>
      <c r="D264"/>
      <c r="I264" s="5"/>
    </row>
    <row r="265" spans="1:9">
      <c r="A265"/>
      <c r="B265"/>
      <c r="C265"/>
      <c r="D265"/>
      <c r="I265" s="5"/>
    </row>
    <row r="266" spans="1:9">
      <c r="A266"/>
      <c r="B266"/>
      <c r="C266"/>
      <c r="D266"/>
      <c r="I266" s="5"/>
    </row>
    <row r="267" spans="1:9">
      <c r="A267"/>
      <c r="B267"/>
      <c r="C267"/>
      <c r="D267"/>
      <c r="I267" s="5"/>
    </row>
    <row r="268" spans="1:9">
      <c r="A268"/>
      <c r="B268"/>
      <c r="C268"/>
      <c r="D268"/>
      <c r="I268" s="5"/>
    </row>
    <row r="269" spans="1:9">
      <c r="A269"/>
      <c r="B269"/>
      <c r="C269"/>
      <c r="D269"/>
      <c r="I269" s="5"/>
    </row>
    <row r="270" spans="1:9">
      <c r="A270"/>
      <c r="B270"/>
      <c r="C270"/>
      <c r="D270"/>
      <c r="I270" s="5"/>
    </row>
    <row r="271" spans="1:9">
      <c r="A271"/>
      <c r="B271"/>
      <c r="C271"/>
      <c r="D271"/>
      <c r="I271" s="5"/>
    </row>
    <row r="272" spans="1:9">
      <c r="A272"/>
      <c r="B272"/>
      <c r="C272"/>
      <c r="D272"/>
      <c r="I272" s="5"/>
    </row>
    <row r="273" spans="1:9">
      <c r="A273"/>
      <c r="B273"/>
      <c r="C273"/>
      <c r="D273"/>
      <c r="I273" s="5"/>
    </row>
    <row r="274" spans="1:9">
      <c r="A274"/>
      <c r="B274"/>
      <c r="C274"/>
      <c r="D274"/>
      <c r="I274" s="5"/>
    </row>
    <row r="275" spans="1:9">
      <c r="A275"/>
      <c r="B275"/>
      <c r="C275"/>
      <c r="D275"/>
      <c r="I275" s="5"/>
    </row>
    <row r="276" spans="1:9">
      <c r="A276"/>
      <c r="B276"/>
      <c r="C276"/>
      <c r="D276"/>
      <c r="I276" s="5"/>
    </row>
    <row r="277" spans="1:9">
      <c r="A277"/>
      <c r="B277"/>
      <c r="C277"/>
      <c r="D277"/>
      <c r="I277" s="5"/>
    </row>
    <row r="278" spans="1:9">
      <c r="A278"/>
      <c r="B278"/>
      <c r="C278"/>
      <c r="D278"/>
      <c r="I278" s="5"/>
    </row>
    <row r="279" spans="1:9">
      <c r="A279"/>
      <c r="B279"/>
      <c r="C279"/>
      <c r="D279"/>
      <c r="I279" s="5"/>
    </row>
    <row r="280" spans="1:9">
      <c r="A280"/>
      <c r="B280"/>
      <c r="C280"/>
      <c r="D280"/>
      <c r="I280" s="5"/>
    </row>
    <row r="281" spans="1:9">
      <c r="A281"/>
      <c r="B281"/>
      <c r="C281"/>
      <c r="D281"/>
      <c r="I281" s="5"/>
    </row>
    <row r="282" spans="1:9">
      <c r="A282"/>
      <c r="B282"/>
      <c r="C282"/>
      <c r="D282"/>
      <c r="I282" s="5"/>
    </row>
    <row r="283" spans="1:9">
      <c r="A283"/>
      <c r="B283"/>
      <c r="C283"/>
      <c r="D283"/>
      <c r="I283" s="5"/>
    </row>
    <row r="284" spans="1:9">
      <c r="A284"/>
      <c r="B284"/>
      <c r="C284"/>
      <c r="D284"/>
      <c r="I284" s="5"/>
    </row>
    <row r="285" spans="1:9">
      <c r="A285"/>
      <c r="B285"/>
      <c r="C285"/>
      <c r="D285"/>
      <c r="I285" s="5"/>
    </row>
    <row r="286" spans="1:9">
      <c r="A286"/>
      <c r="B286"/>
      <c r="C286"/>
      <c r="D286"/>
      <c r="I286" s="5"/>
    </row>
    <row r="287" spans="1:9">
      <c r="A287"/>
      <c r="B287"/>
      <c r="C287"/>
      <c r="D287"/>
      <c r="I287" s="5"/>
    </row>
    <row r="288" spans="1:9">
      <c r="A288"/>
      <c r="B288"/>
      <c r="C288"/>
      <c r="D288"/>
      <c r="I288" s="5"/>
    </row>
    <row r="289" spans="1:9">
      <c r="A289"/>
      <c r="B289"/>
      <c r="C289"/>
      <c r="D289"/>
      <c r="I289" s="5"/>
    </row>
    <row r="290" spans="1:9">
      <c r="A290"/>
      <c r="B290"/>
      <c r="C290"/>
      <c r="D290"/>
      <c r="I290" s="5"/>
    </row>
    <row r="291" spans="1:9">
      <c r="A291"/>
      <c r="B291"/>
      <c r="C291"/>
      <c r="D291"/>
      <c r="I291" s="5"/>
    </row>
    <row r="292" spans="1:9">
      <c r="A292"/>
      <c r="B292"/>
      <c r="C292"/>
      <c r="D292"/>
      <c r="I292" s="5"/>
    </row>
    <row r="293" spans="1:9">
      <c r="A293"/>
      <c r="B293"/>
      <c r="C293"/>
      <c r="D293"/>
      <c r="I293" s="5"/>
    </row>
    <row r="294" spans="1:9">
      <c r="A294"/>
      <c r="B294"/>
      <c r="C294"/>
      <c r="D294"/>
      <c r="I294" s="5"/>
    </row>
    <row r="295" spans="1:9">
      <c r="A295"/>
      <c r="B295"/>
      <c r="C295"/>
      <c r="D295"/>
      <c r="I295" s="5"/>
    </row>
    <row r="296" spans="1:9">
      <c r="A296"/>
      <c r="B296"/>
      <c r="C296"/>
      <c r="D296"/>
      <c r="I296" s="5"/>
    </row>
    <row r="297" spans="1:9">
      <c r="A297"/>
      <c r="B297"/>
      <c r="C297"/>
      <c r="D297"/>
      <c r="I297" s="5"/>
    </row>
    <row r="298" spans="1:9">
      <c r="A298"/>
      <c r="B298"/>
      <c r="C298"/>
      <c r="D298"/>
      <c r="I298" s="5"/>
    </row>
    <row r="299" spans="1:9">
      <c r="A299"/>
      <c r="B299"/>
      <c r="C299"/>
      <c r="D299"/>
      <c r="I299" s="5"/>
    </row>
    <row r="300" spans="1:9">
      <c r="A300"/>
      <c r="B300"/>
      <c r="C300"/>
      <c r="D300"/>
      <c r="I300" s="5"/>
    </row>
    <row r="301" spans="1:9">
      <c r="A301"/>
      <c r="B301"/>
      <c r="C301"/>
      <c r="D301"/>
      <c r="I301" s="5"/>
    </row>
    <row r="302" spans="1:9">
      <c r="A302"/>
      <c r="B302"/>
      <c r="C302"/>
      <c r="D302"/>
      <c r="I302" s="5"/>
    </row>
    <row r="303" spans="1:9">
      <c r="A303"/>
      <c r="B303"/>
      <c r="C303"/>
      <c r="D303"/>
      <c r="I303" s="5"/>
    </row>
    <row r="304" spans="1:9">
      <c r="A304"/>
      <c r="B304"/>
      <c r="C304"/>
      <c r="D304"/>
      <c r="I304" s="5"/>
    </row>
    <row r="305" spans="1:9">
      <c r="A305"/>
      <c r="B305"/>
      <c r="C305"/>
      <c r="D305"/>
      <c r="I305" s="5"/>
    </row>
    <row r="306" spans="1:9">
      <c r="A306"/>
      <c r="B306"/>
      <c r="C306"/>
      <c r="D306"/>
      <c r="I306" s="5"/>
    </row>
    <row r="307" spans="1:9">
      <c r="A307"/>
      <c r="B307"/>
      <c r="C307"/>
      <c r="D307"/>
      <c r="I307" s="5"/>
    </row>
    <row r="308" spans="1:9">
      <c r="A308"/>
      <c r="B308"/>
      <c r="C308"/>
      <c r="D308"/>
      <c r="I308" s="5"/>
    </row>
    <row r="309" spans="1:9">
      <c r="A309"/>
      <c r="B309"/>
      <c r="C309"/>
      <c r="D309"/>
      <c r="I309" s="5"/>
    </row>
    <row r="310" spans="1:9">
      <c r="A310"/>
      <c r="B310"/>
      <c r="C310"/>
      <c r="D310"/>
      <c r="I310" s="5"/>
    </row>
    <row r="311" spans="1:9">
      <c r="A311"/>
      <c r="B311"/>
      <c r="C311"/>
      <c r="D311"/>
      <c r="I311" s="5"/>
    </row>
    <row r="312" spans="1:9">
      <c r="A312"/>
      <c r="B312"/>
      <c r="C312"/>
      <c r="D312"/>
      <c r="I312" s="5"/>
    </row>
    <row r="313" spans="1:9">
      <c r="A313"/>
      <c r="B313"/>
      <c r="C313"/>
      <c r="D313"/>
      <c r="I313" s="5"/>
    </row>
    <row r="314" spans="1:9">
      <c r="A314"/>
      <c r="B314"/>
      <c r="C314"/>
      <c r="D314"/>
      <c r="I314" s="5"/>
    </row>
    <row r="315" spans="1:9">
      <c r="A315"/>
      <c r="B315"/>
      <c r="C315"/>
      <c r="D315"/>
      <c r="I315" s="5"/>
    </row>
    <row r="316" spans="1:9">
      <c r="A316"/>
      <c r="B316"/>
      <c r="C316"/>
      <c r="D316"/>
      <c r="I316" s="5"/>
    </row>
    <row r="317" spans="1:9">
      <c r="A317"/>
      <c r="B317"/>
      <c r="C317"/>
      <c r="D317"/>
      <c r="I317" s="5"/>
    </row>
    <row r="318" spans="1:9">
      <c r="A318"/>
      <c r="B318"/>
      <c r="C318"/>
      <c r="D318"/>
      <c r="I318" s="5"/>
    </row>
    <row r="319" spans="1:9">
      <c r="A319"/>
      <c r="B319"/>
      <c r="C319"/>
      <c r="D319"/>
      <c r="I319" s="5"/>
    </row>
    <row r="320" spans="1:9">
      <c r="A320"/>
      <c r="B320"/>
      <c r="C320"/>
      <c r="D320"/>
      <c r="I320" s="5"/>
    </row>
    <row r="321" spans="1:9">
      <c r="A321"/>
      <c r="B321"/>
      <c r="C321"/>
      <c r="D321"/>
      <c r="I321" s="5"/>
    </row>
    <row r="322" spans="1:9">
      <c r="A322"/>
      <c r="B322"/>
      <c r="C322"/>
      <c r="D322"/>
      <c r="I322" s="5"/>
    </row>
    <row r="323" spans="1:9">
      <c r="A323"/>
      <c r="B323"/>
      <c r="C323"/>
      <c r="D323"/>
      <c r="I323" s="5"/>
    </row>
    <row r="324" spans="1:9">
      <c r="A324"/>
      <c r="B324"/>
      <c r="C324"/>
      <c r="D324"/>
      <c r="I324" s="5"/>
    </row>
    <row r="325" spans="1:9">
      <c r="A325"/>
      <c r="B325"/>
      <c r="C325"/>
      <c r="D325"/>
      <c r="I325" s="5"/>
    </row>
    <row r="326" spans="1:9">
      <c r="A326"/>
      <c r="B326"/>
      <c r="C326"/>
      <c r="D326"/>
      <c r="I326" s="5"/>
    </row>
    <row r="327" spans="1:9">
      <c r="A327"/>
      <c r="B327"/>
      <c r="C327"/>
      <c r="D327"/>
      <c r="I327" s="5"/>
    </row>
    <row r="328" spans="1:9">
      <c r="A328"/>
      <c r="B328"/>
      <c r="C328"/>
      <c r="D328"/>
      <c r="I328" s="5"/>
    </row>
    <row r="329" spans="1:9">
      <c r="A329"/>
      <c r="B329"/>
      <c r="C329"/>
      <c r="D329"/>
      <c r="I329" s="5"/>
    </row>
    <row r="330" spans="1:9">
      <c r="A330"/>
      <c r="B330"/>
      <c r="C330"/>
      <c r="D330"/>
      <c r="I330" s="5"/>
    </row>
    <row r="331" spans="1:9">
      <c r="A331"/>
      <c r="B331"/>
      <c r="C331"/>
      <c r="D331"/>
      <c r="I331" s="5"/>
    </row>
    <row r="332" spans="1:9">
      <c r="A332"/>
      <c r="B332"/>
      <c r="C332"/>
      <c r="D332"/>
      <c r="I332" s="5"/>
    </row>
    <row r="333" spans="1:9">
      <c r="A333"/>
      <c r="B333"/>
      <c r="C333"/>
      <c r="D333"/>
      <c r="I333" s="5"/>
    </row>
    <row r="334" spans="1:9">
      <c r="A334"/>
      <c r="B334"/>
      <c r="C334"/>
      <c r="D334"/>
      <c r="I334" s="5"/>
    </row>
    <row r="335" spans="1:9">
      <c r="A335"/>
      <c r="B335"/>
      <c r="C335"/>
      <c r="D335"/>
      <c r="I335" s="5"/>
    </row>
    <row r="336" spans="1:9">
      <c r="A336"/>
      <c r="B336"/>
      <c r="C336"/>
      <c r="D336"/>
      <c r="I336" s="5"/>
    </row>
    <row r="337" spans="1:9">
      <c r="A337"/>
      <c r="B337"/>
      <c r="C337"/>
      <c r="D337"/>
      <c r="I337" s="5"/>
    </row>
    <row r="338" spans="1:9">
      <c r="A338"/>
      <c r="B338"/>
      <c r="C338"/>
      <c r="D338"/>
      <c r="I338" s="5"/>
    </row>
    <row r="339" spans="1:9">
      <c r="A339"/>
      <c r="B339"/>
      <c r="C339"/>
      <c r="D339"/>
      <c r="I339" s="5"/>
    </row>
    <row r="340" spans="1:9">
      <c r="A340"/>
      <c r="B340"/>
      <c r="C340"/>
      <c r="D340"/>
      <c r="I340" s="5"/>
    </row>
    <row r="341" spans="1:9">
      <c r="A341"/>
      <c r="B341"/>
      <c r="C341"/>
      <c r="D341"/>
      <c r="I341" s="5"/>
    </row>
    <row r="342" spans="1:9">
      <c r="A342"/>
      <c r="B342"/>
      <c r="C342"/>
      <c r="D342"/>
      <c r="I342" s="5"/>
    </row>
    <row r="343" spans="1:9">
      <c r="A343"/>
      <c r="B343"/>
      <c r="C343"/>
      <c r="D343"/>
      <c r="I343" s="5"/>
    </row>
    <row r="344" spans="1:9">
      <c r="A344"/>
      <c r="B344"/>
      <c r="C344"/>
      <c r="D344"/>
      <c r="I344" s="5"/>
    </row>
    <row r="345" spans="1:9">
      <c r="A345"/>
      <c r="B345"/>
      <c r="C345"/>
      <c r="D345"/>
      <c r="I345" s="5"/>
    </row>
    <row r="346" spans="1:9">
      <c r="A346"/>
      <c r="B346"/>
      <c r="C346"/>
      <c r="D346"/>
      <c r="I346" s="5"/>
    </row>
    <row r="347" spans="1:9">
      <c r="A347"/>
      <c r="B347"/>
      <c r="C347"/>
      <c r="D347"/>
      <c r="I347" s="5"/>
    </row>
    <row r="348" spans="1:9">
      <c r="A348"/>
      <c r="B348"/>
      <c r="C348"/>
      <c r="D348"/>
      <c r="I348" s="5"/>
    </row>
    <row r="349" spans="1:9">
      <c r="A349"/>
      <c r="B349"/>
      <c r="C349"/>
      <c r="D349"/>
      <c r="I349" s="5"/>
    </row>
    <row r="350" spans="1:9">
      <c r="A350"/>
      <c r="B350"/>
      <c r="C350"/>
      <c r="D350"/>
      <c r="I350" s="5"/>
    </row>
    <row r="351" spans="1:9">
      <c r="A351"/>
      <c r="B351"/>
      <c r="C351"/>
      <c r="D351"/>
      <c r="I351" s="5"/>
    </row>
    <row r="352" spans="1:9">
      <c r="A352"/>
      <c r="B352"/>
      <c r="C352"/>
      <c r="D352"/>
      <c r="I352" s="5"/>
    </row>
    <row r="353" spans="1:9">
      <c r="A353"/>
      <c r="B353"/>
      <c r="C353"/>
      <c r="D353"/>
      <c r="I353" s="5"/>
    </row>
    <row r="354" spans="1:9">
      <c r="A354"/>
      <c r="B354"/>
      <c r="C354"/>
      <c r="D354"/>
      <c r="I354" s="5"/>
    </row>
    <row r="355" spans="1:9">
      <c r="A355"/>
      <c r="B355"/>
      <c r="C355"/>
      <c r="D355"/>
      <c r="I355" s="5"/>
    </row>
    <row r="356" spans="1:9">
      <c r="A356"/>
      <c r="B356"/>
      <c r="C356"/>
      <c r="D356"/>
      <c r="I356" s="5"/>
    </row>
    <row r="357" spans="1:9">
      <c r="A357"/>
      <c r="B357"/>
      <c r="C357"/>
      <c r="D357"/>
      <c r="I357" s="5"/>
    </row>
    <row r="358" spans="1:9">
      <c r="A358"/>
      <c r="B358"/>
      <c r="C358"/>
      <c r="D358"/>
      <c r="I358" s="5"/>
    </row>
    <row r="359" spans="1:9">
      <c r="A359"/>
      <c r="B359"/>
      <c r="C359"/>
      <c r="D359"/>
      <c r="I359" s="5"/>
    </row>
    <row r="360" spans="1:9">
      <c r="A360"/>
      <c r="B360"/>
      <c r="C360"/>
      <c r="D360"/>
      <c r="I360" s="5"/>
    </row>
    <row r="361" spans="1:9">
      <c r="A361"/>
      <c r="B361"/>
      <c r="C361"/>
      <c r="D361"/>
      <c r="I361" s="5"/>
    </row>
    <row r="362" spans="1:9">
      <c r="A362"/>
      <c r="B362"/>
      <c r="C362"/>
      <c r="D362"/>
      <c r="I362" s="5"/>
    </row>
    <row r="363" spans="1:9">
      <c r="A363"/>
      <c r="B363"/>
      <c r="C363"/>
      <c r="D363"/>
      <c r="I363" s="5"/>
    </row>
    <row r="364" spans="1:9">
      <c r="A364"/>
      <c r="B364"/>
      <c r="C364"/>
      <c r="D364"/>
      <c r="I364" s="5"/>
    </row>
    <row r="365" spans="1:9">
      <c r="A365"/>
      <c r="B365"/>
      <c r="C365"/>
      <c r="D365"/>
      <c r="I365" s="5"/>
    </row>
    <row r="366" spans="1:9">
      <c r="A366"/>
      <c r="B366"/>
      <c r="C366"/>
      <c r="D366"/>
      <c r="I366" s="5"/>
    </row>
    <row r="367" spans="1:9">
      <c r="A367"/>
      <c r="B367"/>
      <c r="C367"/>
      <c r="D367"/>
      <c r="I367" s="5"/>
    </row>
    <row r="368" spans="1:9">
      <c r="A368"/>
      <c r="B368"/>
      <c r="C368"/>
      <c r="D368"/>
      <c r="I368" s="5"/>
    </row>
    <row r="369" spans="1:9">
      <c r="A369"/>
      <c r="B369"/>
      <c r="C369"/>
      <c r="D369"/>
      <c r="I369" s="5"/>
    </row>
    <row r="370" spans="1:9">
      <c r="A370"/>
      <c r="B370"/>
      <c r="C370"/>
      <c r="D370"/>
      <c r="I370" s="5"/>
    </row>
    <row r="371" spans="1:9">
      <c r="A371"/>
      <c r="B371"/>
      <c r="C371"/>
      <c r="D371"/>
      <c r="I371" s="5"/>
    </row>
    <row r="372" spans="1:9">
      <c r="A372"/>
      <c r="B372"/>
      <c r="C372"/>
      <c r="D372"/>
      <c r="I372" s="5"/>
    </row>
    <row r="373" spans="1:9">
      <c r="A373"/>
      <c r="B373"/>
      <c r="C373"/>
      <c r="D373"/>
      <c r="I373" s="5"/>
    </row>
    <row r="374" spans="1:9">
      <c r="A374"/>
      <c r="B374"/>
      <c r="C374"/>
      <c r="D374"/>
      <c r="I374" s="5"/>
    </row>
    <row r="375" spans="1:9">
      <c r="A375"/>
      <c r="B375"/>
      <c r="C375"/>
      <c r="D375"/>
      <c r="I375" s="5"/>
    </row>
    <row r="376" spans="1:9">
      <c r="A376"/>
      <c r="B376"/>
      <c r="C376"/>
      <c r="D376"/>
      <c r="I376" s="5"/>
    </row>
    <row r="377" spans="1:9">
      <c r="A377"/>
      <c r="B377"/>
      <c r="C377"/>
      <c r="D377"/>
      <c r="I377" s="5"/>
    </row>
    <row r="378" spans="1:9">
      <c r="A378"/>
      <c r="B378"/>
      <c r="C378"/>
      <c r="D378"/>
      <c r="I378" s="5"/>
    </row>
    <row r="379" spans="1:9">
      <c r="A379"/>
      <c r="B379"/>
      <c r="C379"/>
      <c r="D379"/>
      <c r="I379" s="5"/>
    </row>
    <row r="380" spans="1:9">
      <c r="A380"/>
      <c r="B380"/>
      <c r="C380"/>
      <c r="D380"/>
      <c r="I380" s="5"/>
    </row>
    <row r="381" spans="1:9">
      <c r="A381"/>
      <c r="B381"/>
      <c r="C381"/>
      <c r="D381"/>
      <c r="I381" s="5"/>
    </row>
    <row r="382" spans="1:9">
      <c r="A382"/>
      <c r="B382"/>
      <c r="C382"/>
      <c r="D382"/>
      <c r="I382" s="5"/>
    </row>
    <row r="383" spans="1:9">
      <c r="A383"/>
      <c r="B383"/>
      <c r="C383"/>
      <c r="D383"/>
      <c r="I383" s="5"/>
    </row>
    <row r="384" spans="1:9">
      <c r="A384"/>
      <c r="B384"/>
      <c r="C384"/>
      <c r="D384"/>
      <c r="I384" s="5"/>
    </row>
    <row r="385" spans="1:9">
      <c r="A385"/>
      <c r="B385"/>
      <c r="C385"/>
      <c r="D385"/>
      <c r="I385" s="5"/>
    </row>
    <row r="386" spans="1:9">
      <c r="A386"/>
      <c r="B386"/>
      <c r="C386"/>
      <c r="D386"/>
      <c r="I386" s="5"/>
    </row>
    <row r="387" spans="1:9">
      <c r="A387"/>
      <c r="B387"/>
      <c r="C387"/>
      <c r="D387"/>
      <c r="I387" s="5"/>
    </row>
    <row r="388" spans="1:9">
      <c r="A388"/>
      <c r="B388"/>
      <c r="C388"/>
      <c r="D388"/>
      <c r="I388" s="5"/>
    </row>
    <row r="389" spans="1:9">
      <c r="A389"/>
      <c r="B389"/>
      <c r="C389"/>
      <c r="D389"/>
      <c r="I389" s="5"/>
    </row>
    <row r="390" spans="1:9">
      <c r="A390"/>
      <c r="B390"/>
      <c r="C390"/>
      <c r="D390"/>
      <c r="I390" s="5"/>
    </row>
    <row r="391" spans="1:9">
      <c r="A391"/>
      <c r="B391"/>
      <c r="C391"/>
      <c r="D391"/>
      <c r="I391" s="5"/>
    </row>
    <row r="392" spans="1:9">
      <c r="A392"/>
      <c r="B392"/>
      <c r="C392"/>
      <c r="D392"/>
      <c r="I392" s="5"/>
    </row>
    <row r="393" spans="1:9">
      <c r="A393"/>
      <c r="B393"/>
      <c r="C393"/>
      <c r="D393"/>
      <c r="I393" s="5"/>
    </row>
    <row r="394" spans="1:9">
      <c r="A394"/>
      <c r="B394"/>
      <c r="C394"/>
      <c r="D394"/>
      <c r="I394" s="5"/>
    </row>
    <row r="395" spans="1:9">
      <c r="A395"/>
      <c r="B395"/>
      <c r="C395"/>
      <c r="D395"/>
      <c r="I395" s="5"/>
    </row>
    <row r="396" spans="1:9">
      <c r="A396"/>
      <c r="B396"/>
      <c r="C396"/>
      <c r="D396"/>
      <c r="I396" s="5"/>
    </row>
    <row r="397" spans="1:9">
      <c r="A397"/>
      <c r="B397"/>
      <c r="C397"/>
      <c r="D397"/>
      <c r="I397" s="5"/>
    </row>
    <row r="398" spans="1:9">
      <c r="A398"/>
      <c r="B398"/>
      <c r="C398"/>
      <c r="D398"/>
      <c r="I398" s="5"/>
    </row>
    <row r="399" spans="1:9">
      <c r="A399"/>
      <c r="B399"/>
      <c r="C399"/>
      <c r="D399"/>
      <c r="I399" s="5"/>
    </row>
    <row r="400" spans="1:9">
      <c r="A400"/>
      <c r="B400"/>
      <c r="C400"/>
      <c r="D400"/>
      <c r="I400" s="5"/>
    </row>
    <row r="401" spans="1:9">
      <c r="A401"/>
      <c r="B401"/>
      <c r="C401"/>
      <c r="D401"/>
      <c r="I401" s="5"/>
    </row>
    <row r="402" spans="1:9">
      <c r="A402"/>
      <c r="B402"/>
      <c r="C402"/>
      <c r="D402"/>
      <c r="I402" s="5"/>
    </row>
    <row r="403" spans="1:9">
      <c r="A403"/>
      <c r="B403"/>
      <c r="C403"/>
      <c r="D403"/>
      <c r="I403" s="5"/>
    </row>
    <row r="404" spans="1:9">
      <c r="A404"/>
      <c r="B404"/>
      <c r="C404"/>
      <c r="D404"/>
      <c r="I404" s="5"/>
    </row>
    <row r="405" spans="1:9">
      <c r="A405"/>
      <c r="B405"/>
      <c r="C405"/>
      <c r="D405"/>
      <c r="I405" s="5"/>
    </row>
    <row r="406" spans="1:9">
      <c r="A406"/>
      <c r="B406"/>
      <c r="C406"/>
      <c r="D406"/>
      <c r="I406" s="5"/>
    </row>
    <row r="407" spans="1:9">
      <c r="A407"/>
      <c r="B407"/>
      <c r="C407"/>
      <c r="D407"/>
      <c r="I407" s="5"/>
    </row>
    <row r="408" spans="1:9">
      <c r="A408"/>
      <c r="B408"/>
      <c r="C408"/>
      <c r="D408"/>
      <c r="I408" s="5"/>
    </row>
    <row r="409" spans="1:9">
      <c r="A409"/>
      <c r="B409"/>
      <c r="C409"/>
      <c r="D409"/>
      <c r="I409" s="5"/>
    </row>
    <row r="410" spans="1:9">
      <c r="A410"/>
      <c r="B410"/>
      <c r="C410"/>
      <c r="D410"/>
      <c r="I410" s="5"/>
    </row>
    <row r="411" spans="1:9">
      <c r="A411"/>
      <c r="B411"/>
      <c r="C411"/>
      <c r="D411"/>
      <c r="I411" s="5"/>
    </row>
    <row r="412" spans="1:9">
      <c r="A412"/>
      <c r="B412"/>
      <c r="C412"/>
      <c r="D412"/>
      <c r="I412" s="5"/>
    </row>
    <row r="413" spans="1:9">
      <c r="A413"/>
      <c r="B413"/>
      <c r="C413"/>
      <c r="D413"/>
      <c r="I413" s="5"/>
    </row>
    <row r="414" spans="1:9">
      <c r="A414"/>
      <c r="B414"/>
      <c r="C414"/>
      <c r="D414"/>
      <c r="I414" s="5"/>
    </row>
    <row r="415" spans="1:9">
      <c r="A415"/>
      <c r="B415"/>
      <c r="C415"/>
      <c r="D415"/>
      <c r="I415" s="5"/>
    </row>
    <row r="416" spans="1:9">
      <c r="A416"/>
      <c r="B416"/>
      <c r="C416"/>
      <c r="D416"/>
      <c r="I416" s="5"/>
    </row>
    <row r="417" spans="1:9">
      <c r="A417"/>
      <c r="B417"/>
      <c r="C417"/>
      <c r="D417"/>
      <c r="I417" s="5"/>
    </row>
    <row r="418" spans="1:9">
      <c r="A418"/>
      <c r="B418"/>
      <c r="C418"/>
      <c r="D418"/>
      <c r="I418" s="5"/>
    </row>
    <row r="419" spans="1:9">
      <c r="A419"/>
      <c r="B419"/>
      <c r="C419"/>
      <c r="D419"/>
      <c r="I419" s="5"/>
    </row>
    <row r="420" spans="1:9">
      <c r="A420"/>
      <c r="B420"/>
      <c r="C420"/>
      <c r="D420"/>
      <c r="I420" s="5"/>
    </row>
    <row r="421" spans="1:9">
      <c r="A421"/>
      <c r="B421"/>
      <c r="C421"/>
      <c r="D421"/>
      <c r="I421" s="5"/>
    </row>
    <row r="422" spans="1:9">
      <c r="A422"/>
      <c r="B422"/>
      <c r="C422"/>
      <c r="D422"/>
      <c r="I422" s="5"/>
    </row>
    <row r="423" spans="1:9">
      <c r="A423"/>
      <c r="B423"/>
      <c r="C423"/>
      <c r="D423"/>
      <c r="I423" s="5"/>
    </row>
    <row r="424" spans="1:9">
      <c r="A424"/>
      <c r="B424"/>
      <c r="C424"/>
      <c r="D424"/>
      <c r="I424" s="5"/>
    </row>
    <row r="425" spans="1:9">
      <c r="A425"/>
      <c r="B425"/>
      <c r="C425"/>
      <c r="D425"/>
      <c r="I425" s="5"/>
    </row>
    <row r="426" spans="1:9">
      <c r="A426"/>
      <c r="B426"/>
      <c r="C426"/>
      <c r="D426"/>
      <c r="I426" s="5"/>
    </row>
    <row r="427" spans="1:9">
      <c r="A427"/>
      <c r="B427"/>
      <c r="C427"/>
      <c r="D427"/>
      <c r="I427" s="5"/>
    </row>
    <row r="428" spans="1:9">
      <c r="A428"/>
      <c r="B428"/>
      <c r="C428"/>
      <c r="D428"/>
      <c r="I428" s="5"/>
    </row>
    <row r="429" spans="1:9">
      <c r="A429"/>
      <c r="B429"/>
      <c r="C429"/>
      <c r="D429"/>
      <c r="I429" s="5"/>
    </row>
    <row r="430" spans="1:9">
      <c r="A430"/>
      <c r="B430"/>
      <c r="C430"/>
      <c r="D430"/>
      <c r="I430" s="5"/>
    </row>
    <row r="431" spans="1:9">
      <c r="A431"/>
      <c r="B431"/>
      <c r="C431"/>
      <c r="D431"/>
      <c r="I431" s="5"/>
    </row>
    <row r="432" spans="1:9">
      <c r="A432"/>
      <c r="B432"/>
      <c r="C432"/>
      <c r="D432"/>
      <c r="I432" s="5"/>
    </row>
    <row r="433" spans="1:9">
      <c r="A433"/>
      <c r="B433"/>
      <c r="C433"/>
      <c r="D433"/>
      <c r="I433" s="5"/>
    </row>
    <row r="434" spans="1:9">
      <c r="A434"/>
      <c r="B434"/>
      <c r="C434"/>
      <c r="D434"/>
      <c r="I434" s="5"/>
    </row>
    <row r="435" spans="1:9">
      <c r="A435"/>
      <c r="B435"/>
      <c r="C435"/>
      <c r="D435"/>
      <c r="I435" s="5"/>
    </row>
    <row r="436" spans="1:9">
      <c r="A436"/>
      <c r="B436"/>
      <c r="C436"/>
      <c r="D436"/>
      <c r="I436" s="5"/>
    </row>
    <row r="437" spans="1:9">
      <c r="A437"/>
      <c r="B437"/>
      <c r="C437"/>
      <c r="D437"/>
      <c r="I437" s="5"/>
    </row>
    <row r="438" spans="1:9">
      <c r="A438"/>
      <c r="B438"/>
      <c r="C438"/>
      <c r="D438"/>
      <c r="I438" s="5"/>
    </row>
    <row r="439" spans="1:9">
      <c r="A439"/>
      <c r="B439"/>
      <c r="C439"/>
      <c r="D439"/>
      <c r="I439" s="5"/>
    </row>
    <row r="440" spans="1:9">
      <c r="A440"/>
      <c r="B440"/>
      <c r="C440"/>
      <c r="D440"/>
      <c r="I440" s="5"/>
    </row>
    <row r="441" spans="1:9">
      <c r="A441"/>
      <c r="B441"/>
      <c r="C441"/>
      <c r="D441"/>
      <c r="I441" s="5"/>
    </row>
    <row r="442" spans="1:9">
      <c r="A442"/>
      <c r="B442"/>
      <c r="C442"/>
      <c r="D442"/>
      <c r="I442" s="5"/>
    </row>
    <row r="443" spans="1:9">
      <c r="A443"/>
      <c r="B443"/>
      <c r="C443"/>
      <c r="D443"/>
      <c r="I443" s="5"/>
    </row>
    <row r="444" spans="1:9">
      <c r="A444"/>
      <c r="B444"/>
      <c r="C444"/>
      <c r="D444"/>
      <c r="I444" s="5"/>
    </row>
    <row r="445" spans="1:9">
      <c r="A445"/>
      <c r="B445"/>
      <c r="C445"/>
      <c r="D445"/>
      <c r="I445" s="5"/>
    </row>
    <row r="446" spans="1:9">
      <c r="A446"/>
      <c r="B446"/>
      <c r="C446"/>
      <c r="D446"/>
      <c r="I446" s="5"/>
    </row>
    <row r="447" spans="1:9">
      <c r="A447"/>
      <c r="B447"/>
      <c r="C447"/>
      <c r="D447"/>
      <c r="I447" s="5"/>
    </row>
    <row r="448" spans="1:9">
      <c r="A448"/>
      <c r="B448"/>
      <c r="C448"/>
      <c r="D448"/>
      <c r="I448" s="5"/>
    </row>
    <row r="449" spans="1:9">
      <c r="A449"/>
      <c r="B449"/>
      <c r="C449"/>
      <c r="D449"/>
      <c r="I449" s="5"/>
    </row>
    <row r="450" spans="1:9">
      <c r="A450"/>
      <c r="B450"/>
      <c r="C450"/>
      <c r="D450"/>
      <c r="I450" s="5"/>
    </row>
    <row r="451" spans="1:9">
      <c r="A451"/>
      <c r="B451"/>
      <c r="C451"/>
      <c r="D451"/>
      <c r="I451" s="5"/>
    </row>
    <row r="452" spans="1:9">
      <c r="A452"/>
      <c r="B452"/>
      <c r="C452"/>
      <c r="D452"/>
      <c r="I452" s="5"/>
    </row>
    <row r="453" spans="1:9">
      <c r="A453"/>
      <c r="B453"/>
      <c r="C453"/>
      <c r="D453"/>
      <c r="I453" s="5"/>
    </row>
    <row r="454" spans="1:9">
      <c r="A454"/>
      <c r="B454"/>
      <c r="C454"/>
      <c r="D454"/>
      <c r="I454" s="5"/>
    </row>
    <row r="455" spans="1:9">
      <c r="A455"/>
      <c r="B455"/>
      <c r="C455"/>
      <c r="D455"/>
      <c r="I455" s="5"/>
    </row>
    <row r="456" spans="1:9">
      <c r="A456"/>
      <c r="B456"/>
      <c r="C456"/>
      <c r="D456"/>
      <c r="I456" s="5"/>
    </row>
    <row r="457" spans="1:9">
      <c r="A457"/>
      <c r="B457"/>
      <c r="C457"/>
      <c r="D457"/>
      <c r="I457" s="5"/>
    </row>
    <row r="458" spans="1:9">
      <c r="A458"/>
      <c r="B458"/>
      <c r="C458"/>
      <c r="D458"/>
      <c r="I458" s="5"/>
    </row>
    <row r="459" spans="1:9">
      <c r="A459"/>
      <c r="B459"/>
      <c r="C459"/>
      <c r="D459"/>
      <c r="I459" s="5"/>
    </row>
    <row r="460" spans="1:9">
      <c r="A460"/>
      <c r="B460"/>
      <c r="C460"/>
      <c r="D460"/>
      <c r="I460" s="5"/>
    </row>
    <row r="461" spans="1:9">
      <c r="A461"/>
      <c r="B461"/>
      <c r="C461"/>
      <c r="D461"/>
      <c r="I461" s="5"/>
    </row>
    <row r="462" spans="1:9">
      <c r="A462"/>
      <c r="B462"/>
      <c r="C462"/>
      <c r="D462"/>
      <c r="I462" s="5"/>
    </row>
    <row r="463" spans="1:9">
      <c r="A463"/>
      <c r="B463"/>
      <c r="C463"/>
      <c r="D463"/>
      <c r="I463" s="5"/>
    </row>
    <row r="464" spans="1:9">
      <c r="A464"/>
      <c r="B464"/>
      <c r="C464"/>
      <c r="D464"/>
      <c r="I464" s="5"/>
    </row>
    <row r="465" spans="1:9">
      <c r="A465"/>
      <c r="B465"/>
      <c r="C465"/>
      <c r="D465"/>
      <c r="I465" s="5"/>
    </row>
    <row r="466" spans="1:9">
      <c r="A466"/>
      <c r="B466"/>
      <c r="C466"/>
      <c r="D466"/>
      <c r="I466" s="5"/>
    </row>
    <row r="467" spans="1:9">
      <c r="A467"/>
      <c r="B467"/>
      <c r="C467"/>
      <c r="D467"/>
      <c r="I467" s="5"/>
    </row>
    <row r="468" spans="1:9">
      <c r="A468"/>
      <c r="B468"/>
      <c r="C468"/>
      <c r="D468"/>
      <c r="I468" s="5"/>
    </row>
    <row r="469" spans="1:9">
      <c r="A469"/>
      <c r="B469"/>
      <c r="C469"/>
      <c r="D469"/>
      <c r="I469" s="5"/>
    </row>
    <row r="470" spans="1:9">
      <c r="A470"/>
      <c r="B470"/>
      <c r="C470"/>
      <c r="D470"/>
      <c r="I470" s="5"/>
    </row>
    <row r="471" spans="1:9">
      <c r="A471"/>
      <c r="B471"/>
      <c r="C471"/>
      <c r="D471"/>
      <c r="I471" s="5"/>
    </row>
    <row r="472" spans="1:9">
      <c r="A472"/>
      <c r="B472"/>
      <c r="C472"/>
      <c r="D472"/>
      <c r="I472" s="5"/>
    </row>
    <row r="473" spans="1:9">
      <c r="A473"/>
      <c r="B473"/>
      <c r="C473"/>
      <c r="D473"/>
      <c r="I473" s="5"/>
    </row>
    <row r="474" spans="1:9">
      <c r="A474"/>
      <c r="B474"/>
      <c r="C474"/>
      <c r="D474"/>
      <c r="I474" s="5"/>
    </row>
    <row r="475" spans="1:9">
      <c r="A475"/>
      <c r="B475"/>
      <c r="C475"/>
      <c r="D475"/>
      <c r="I475" s="5"/>
    </row>
    <row r="476" spans="1:9">
      <c r="A476"/>
      <c r="B476"/>
      <c r="C476"/>
      <c r="D476"/>
      <c r="I476" s="5"/>
    </row>
    <row r="477" spans="1:9">
      <c r="A477"/>
      <c r="B477"/>
      <c r="C477"/>
      <c r="D477"/>
      <c r="I477" s="5"/>
    </row>
    <row r="478" spans="1:9">
      <c r="A478"/>
      <c r="B478"/>
      <c r="C478"/>
      <c r="D478"/>
      <c r="I478" s="5"/>
    </row>
    <row r="479" spans="1:9">
      <c r="A479"/>
      <c r="B479"/>
      <c r="C479"/>
      <c r="D479"/>
      <c r="I479" s="5"/>
    </row>
    <row r="480" spans="1:9">
      <c r="A480"/>
      <c r="B480"/>
      <c r="C480"/>
      <c r="D480"/>
      <c r="I480" s="5"/>
    </row>
    <row r="481" spans="1:9">
      <c r="A481"/>
      <c r="B481"/>
      <c r="C481"/>
      <c r="D481"/>
      <c r="I481" s="5"/>
    </row>
    <row r="482" spans="1:9">
      <c r="A482"/>
      <c r="B482"/>
      <c r="C482"/>
      <c r="D482"/>
      <c r="I482" s="5"/>
    </row>
    <row r="483" spans="1:9">
      <c r="A483"/>
      <c r="B483"/>
      <c r="C483"/>
      <c r="D483"/>
      <c r="I483" s="5"/>
    </row>
    <row r="484" spans="1:9">
      <c r="A484"/>
      <c r="B484"/>
      <c r="C484"/>
      <c r="D484"/>
      <c r="I484" s="5"/>
    </row>
    <row r="485" spans="1:9">
      <c r="A485"/>
      <c r="B485"/>
      <c r="C485"/>
      <c r="D485"/>
      <c r="I485" s="5"/>
    </row>
    <row r="486" spans="1:9">
      <c r="A486"/>
      <c r="B486"/>
      <c r="C486"/>
      <c r="D486"/>
      <c r="I486" s="5"/>
    </row>
    <row r="487" spans="1:9">
      <c r="A487"/>
      <c r="B487"/>
      <c r="C487"/>
      <c r="D487"/>
      <c r="I487" s="5"/>
    </row>
    <row r="488" spans="1:9">
      <c r="A488"/>
      <c r="B488"/>
      <c r="C488"/>
      <c r="D488"/>
      <c r="I488" s="5"/>
    </row>
    <row r="489" spans="1:9">
      <c r="A489"/>
      <c r="B489"/>
      <c r="C489"/>
      <c r="D489"/>
      <c r="I489" s="5"/>
    </row>
    <row r="490" spans="1:9">
      <c r="A490"/>
      <c r="B490"/>
      <c r="C490"/>
      <c r="D490"/>
      <c r="I490" s="5"/>
    </row>
    <row r="491" spans="1:9">
      <c r="A491"/>
      <c r="B491"/>
      <c r="C491"/>
      <c r="D491"/>
      <c r="I491" s="5"/>
    </row>
    <row r="492" spans="1:9">
      <c r="A492"/>
      <c r="B492"/>
      <c r="C492"/>
      <c r="D492"/>
      <c r="I492" s="5"/>
    </row>
    <row r="493" spans="1:9">
      <c r="A493"/>
      <c r="B493"/>
      <c r="C493"/>
      <c r="D493"/>
      <c r="I493" s="5"/>
    </row>
    <row r="494" spans="1:9">
      <c r="A494"/>
      <c r="B494"/>
      <c r="C494"/>
      <c r="D494"/>
      <c r="I494" s="5"/>
    </row>
    <row r="495" spans="1:9">
      <c r="A495"/>
      <c r="B495"/>
      <c r="C495"/>
      <c r="D495"/>
      <c r="I495" s="5"/>
    </row>
    <row r="496" spans="1:9">
      <c r="A496"/>
      <c r="B496"/>
      <c r="C496"/>
      <c r="D496"/>
      <c r="I496" s="5"/>
    </row>
    <row r="497" spans="1:9">
      <c r="A497"/>
      <c r="B497"/>
      <c r="C497"/>
      <c r="D497"/>
      <c r="I497" s="5"/>
    </row>
    <row r="498" spans="1:9">
      <c r="A498"/>
      <c r="B498"/>
      <c r="C498"/>
      <c r="D498"/>
      <c r="I498" s="5"/>
    </row>
    <row r="499" spans="1:9">
      <c r="A499"/>
      <c r="B499"/>
      <c r="C499"/>
      <c r="D499"/>
      <c r="I499" s="5"/>
    </row>
    <row r="500" spans="1:9">
      <c r="A500"/>
      <c r="B500"/>
      <c r="C500"/>
      <c r="D500"/>
      <c r="I500" s="5"/>
    </row>
    <row r="501" spans="1:9">
      <c r="A501"/>
      <c r="B501"/>
      <c r="C501"/>
      <c r="D501"/>
      <c r="I501" s="5"/>
    </row>
    <row r="502" spans="1:9">
      <c r="A502"/>
      <c r="B502"/>
      <c r="C502"/>
      <c r="D502"/>
      <c r="I502" s="5"/>
    </row>
    <row r="503" spans="1:9">
      <c r="A503"/>
      <c r="B503"/>
      <c r="C503"/>
      <c r="D503"/>
      <c r="I503" s="5"/>
    </row>
    <row r="504" spans="1:9">
      <c r="A504"/>
      <c r="B504"/>
      <c r="C504"/>
      <c r="D504"/>
      <c r="I504" s="5"/>
    </row>
    <row r="505" spans="1:9">
      <c r="A505"/>
      <c r="B505"/>
      <c r="C505"/>
      <c r="D505"/>
      <c r="I505" s="5"/>
    </row>
    <row r="506" spans="1:9">
      <c r="A506"/>
      <c r="B506"/>
      <c r="C506"/>
      <c r="D506"/>
      <c r="I506" s="5"/>
    </row>
    <row r="507" spans="1:9">
      <c r="A507"/>
      <c r="B507"/>
      <c r="C507"/>
      <c r="D507"/>
      <c r="I507" s="5"/>
    </row>
    <row r="508" spans="1:9">
      <c r="A508"/>
      <c r="B508"/>
      <c r="C508"/>
      <c r="D508"/>
      <c r="I508" s="5"/>
    </row>
    <row r="509" spans="1:9">
      <c r="A509"/>
      <c r="B509"/>
      <c r="C509"/>
      <c r="D509"/>
      <c r="I509" s="5"/>
    </row>
    <row r="510" spans="1:9">
      <c r="A510"/>
      <c r="B510"/>
      <c r="C510"/>
      <c r="D510"/>
      <c r="I510" s="5"/>
    </row>
    <row r="511" spans="1:9">
      <c r="A511"/>
      <c r="B511"/>
      <c r="C511"/>
      <c r="D511"/>
      <c r="I511" s="5"/>
    </row>
    <row r="512" spans="1:9">
      <c r="A512"/>
      <c r="B512"/>
      <c r="C512"/>
      <c r="D512"/>
      <c r="I512" s="5"/>
    </row>
    <row r="513" spans="1:9">
      <c r="A513"/>
      <c r="B513"/>
      <c r="C513"/>
      <c r="D513"/>
      <c r="I513" s="5"/>
    </row>
    <row r="514" spans="1:9">
      <c r="A514"/>
      <c r="B514"/>
      <c r="C514"/>
      <c r="D514"/>
      <c r="I514" s="5"/>
    </row>
    <row r="515" spans="1:9">
      <c r="A515"/>
      <c r="B515"/>
      <c r="C515"/>
      <c r="D515"/>
      <c r="I515" s="5"/>
    </row>
    <row r="516" spans="1:9">
      <c r="A516"/>
      <c r="B516"/>
      <c r="C516"/>
      <c r="D516"/>
      <c r="I516" s="5"/>
    </row>
    <row r="517" spans="1:9">
      <c r="A517"/>
      <c r="B517"/>
      <c r="C517"/>
      <c r="D517"/>
      <c r="I517" s="5"/>
    </row>
    <row r="518" spans="1:9">
      <c r="A518"/>
      <c r="B518"/>
      <c r="C518"/>
      <c r="D518"/>
      <c r="I518" s="5"/>
    </row>
    <row r="519" spans="1:9">
      <c r="A519"/>
      <c r="B519"/>
      <c r="C519"/>
      <c r="D519"/>
      <c r="I519" s="5"/>
    </row>
    <row r="520" spans="1:9">
      <c r="A520"/>
      <c r="B520"/>
      <c r="C520"/>
      <c r="D520"/>
      <c r="I520" s="5"/>
    </row>
    <row r="521" spans="1:9">
      <c r="A521"/>
      <c r="B521"/>
      <c r="C521"/>
      <c r="D521"/>
      <c r="I521" s="5"/>
    </row>
    <row r="522" spans="1:9">
      <c r="A522"/>
      <c r="B522"/>
      <c r="C522"/>
      <c r="D522"/>
      <c r="I522" s="5"/>
    </row>
    <row r="523" spans="1:9">
      <c r="A523"/>
      <c r="B523"/>
      <c r="C523"/>
      <c r="D523"/>
      <c r="I523" s="5"/>
    </row>
    <row r="524" spans="1:9">
      <c r="A524"/>
      <c r="B524"/>
      <c r="C524"/>
      <c r="D524"/>
      <c r="I524" s="5"/>
    </row>
    <row r="525" spans="1:9">
      <c r="A525"/>
      <c r="B525"/>
      <c r="C525"/>
      <c r="D525"/>
      <c r="I525" s="5"/>
    </row>
    <row r="526" spans="1:9">
      <c r="A526"/>
      <c r="B526"/>
      <c r="C526"/>
      <c r="D526"/>
      <c r="I526" s="5"/>
    </row>
    <row r="527" spans="1:9">
      <c r="A527"/>
      <c r="B527"/>
      <c r="C527"/>
      <c r="D527"/>
      <c r="I527" s="5"/>
    </row>
    <row r="528" spans="1:9">
      <c r="A528"/>
      <c r="B528"/>
      <c r="C528"/>
      <c r="D528"/>
      <c r="I528" s="5"/>
    </row>
    <row r="529" spans="1:9">
      <c r="A529"/>
      <c r="B529"/>
      <c r="C529"/>
      <c r="D529"/>
      <c r="I529" s="5"/>
    </row>
    <row r="530" spans="1:9">
      <c r="A530"/>
      <c r="B530"/>
      <c r="C530"/>
      <c r="D530"/>
      <c r="I530" s="5"/>
    </row>
    <row r="531" spans="1:9">
      <c r="A531"/>
      <c r="B531"/>
      <c r="C531"/>
      <c r="D531"/>
      <c r="I531" s="5"/>
    </row>
    <row r="532" spans="1:9">
      <c r="A532"/>
      <c r="B532"/>
      <c r="C532"/>
      <c r="D532"/>
      <c r="I532" s="5"/>
    </row>
    <row r="533" spans="1:9">
      <c r="A533"/>
      <c r="B533"/>
      <c r="C533"/>
      <c r="D533"/>
      <c r="I533" s="5"/>
    </row>
    <row r="534" spans="1:9">
      <c r="A534"/>
      <c r="B534"/>
      <c r="C534"/>
      <c r="D534"/>
      <c r="I534" s="5"/>
    </row>
    <row r="535" spans="1:9">
      <c r="A535"/>
      <c r="B535"/>
      <c r="C535"/>
      <c r="D535"/>
      <c r="I535" s="5"/>
    </row>
    <row r="536" spans="1:9">
      <c r="A536"/>
      <c r="B536"/>
      <c r="C536"/>
      <c r="D536"/>
      <c r="I536" s="5"/>
    </row>
    <row r="537" spans="1:9">
      <c r="A537"/>
      <c r="B537"/>
      <c r="C537"/>
      <c r="D537"/>
      <c r="I537" s="5"/>
    </row>
    <row r="538" spans="1:9">
      <c r="A538"/>
      <c r="B538"/>
      <c r="C538"/>
      <c r="D538"/>
      <c r="I538" s="5"/>
    </row>
    <row r="539" spans="1:9">
      <c r="A539"/>
      <c r="B539"/>
      <c r="C539"/>
      <c r="D539"/>
      <c r="I539" s="5"/>
    </row>
    <row r="540" spans="1:9">
      <c r="A540"/>
      <c r="B540"/>
      <c r="C540"/>
      <c r="D540"/>
      <c r="I540" s="5"/>
    </row>
    <row r="541" spans="1:9">
      <c r="A541"/>
      <c r="B541"/>
      <c r="C541"/>
      <c r="D541"/>
      <c r="I541" s="5"/>
    </row>
    <row r="542" spans="1:9">
      <c r="A542"/>
      <c r="B542"/>
      <c r="C542"/>
      <c r="D542"/>
      <c r="I542" s="5"/>
    </row>
    <row r="543" spans="1:9">
      <c r="A543"/>
      <c r="B543"/>
      <c r="C543"/>
      <c r="D543"/>
      <c r="I543" s="5"/>
    </row>
    <row r="544" spans="1:9">
      <c r="A544"/>
      <c r="B544"/>
      <c r="C544"/>
      <c r="D544"/>
      <c r="I544" s="5"/>
    </row>
    <row r="545" spans="1:9">
      <c r="A545"/>
      <c r="B545"/>
      <c r="C545"/>
      <c r="D545"/>
      <c r="I545" s="5"/>
    </row>
    <row r="546" spans="1:9">
      <c r="A546"/>
      <c r="B546"/>
      <c r="C546"/>
      <c r="D546"/>
      <c r="I546" s="5"/>
    </row>
    <row r="547" spans="1:9">
      <c r="A547"/>
      <c r="B547"/>
      <c r="C547"/>
      <c r="D547"/>
      <c r="I547" s="5"/>
    </row>
    <row r="548" spans="1:9">
      <c r="A548"/>
      <c r="B548"/>
      <c r="C548"/>
      <c r="D548"/>
      <c r="I548" s="5"/>
    </row>
    <row r="549" spans="1:9">
      <c r="A549"/>
      <c r="B549"/>
      <c r="C549"/>
      <c r="D549"/>
      <c r="I549" s="5"/>
    </row>
    <row r="550" spans="1:9">
      <c r="A550"/>
      <c r="B550"/>
      <c r="C550"/>
      <c r="D550"/>
      <c r="I550" s="5"/>
    </row>
    <row r="551" spans="1:9">
      <c r="A551"/>
      <c r="B551"/>
      <c r="C551"/>
      <c r="D551"/>
      <c r="I551" s="5"/>
    </row>
    <row r="552" spans="1:9">
      <c r="A552"/>
      <c r="B552"/>
      <c r="C552"/>
      <c r="D552"/>
      <c r="I552" s="5"/>
    </row>
    <row r="553" spans="1:9">
      <c r="A553"/>
      <c r="B553"/>
      <c r="C553"/>
      <c r="D553"/>
      <c r="I553" s="5"/>
    </row>
    <row r="554" spans="1:9">
      <c r="A554"/>
      <c r="B554"/>
      <c r="C554"/>
      <c r="D554"/>
      <c r="I554" s="5"/>
    </row>
    <row r="555" spans="1:9">
      <c r="A555"/>
      <c r="B555"/>
      <c r="C555"/>
      <c r="D555"/>
      <c r="I555" s="5"/>
    </row>
    <row r="556" spans="1:9">
      <c r="A556"/>
      <c r="B556"/>
      <c r="C556"/>
      <c r="D556"/>
      <c r="I556" s="5"/>
    </row>
    <row r="557" spans="1:9">
      <c r="A557"/>
      <c r="B557"/>
      <c r="C557"/>
      <c r="D557"/>
      <c r="I557" s="5"/>
    </row>
    <row r="558" spans="1:9">
      <c r="A558"/>
      <c r="B558"/>
      <c r="C558"/>
      <c r="D558"/>
      <c r="I558" s="5"/>
    </row>
    <row r="559" spans="1:9">
      <c r="A559"/>
      <c r="B559"/>
      <c r="C559"/>
      <c r="D559"/>
      <c r="I559" s="5"/>
    </row>
    <row r="560" spans="1:9">
      <c r="A560"/>
      <c r="B560"/>
      <c r="C560"/>
      <c r="D560"/>
      <c r="I560" s="5"/>
    </row>
    <row r="561" spans="1:9">
      <c r="A561"/>
      <c r="B561"/>
      <c r="C561"/>
      <c r="D561"/>
      <c r="I561" s="5"/>
    </row>
    <row r="562" spans="1:9">
      <c r="A562"/>
      <c r="B562"/>
      <c r="C562"/>
      <c r="D562"/>
      <c r="I562" s="5"/>
    </row>
    <row r="563" spans="1:9">
      <c r="A563"/>
      <c r="B563"/>
      <c r="C563"/>
      <c r="D563"/>
      <c r="I563" s="5"/>
    </row>
    <row r="564" spans="1:9">
      <c r="A564"/>
      <c r="B564"/>
      <c r="C564"/>
      <c r="D564"/>
      <c r="I564" s="5"/>
    </row>
    <row r="565" spans="1:9">
      <c r="A565"/>
      <c r="B565"/>
      <c r="C565"/>
      <c r="D565"/>
      <c r="I565" s="5"/>
    </row>
    <row r="566" spans="1:9">
      <c r="A566"/>
      <c r="B566"/>
      <c r="C566"/>
      <c r="D566"/>
      <c r="I566" s="5"/>
    </row>
    <row r="567" spans="1:9">
      <c r="A567"/>
      <c r="B567"/>
      <c r="C567"/>
      <c r="D567"/>
      <c r="I567" s="5"/>
    </row>
    <row r="568" spans="1:9">
      <c r="A568"/>
      <c r="B568"/>
      <c r="C568"/>
      <c r="D568"/>
      <c r="I568" s="5"/>
    </row>
    <row r="569" spans="1:9">
      <c r="A569"/>
      <c r="B569"/>
      <c r="C569"/>
      <c r="D569"/>
      <c r="I569" s="5"/>
    </row>
    <row r="570" spans="1:9">
      <c r="A570"/>
      <c r="B570"/>
      <c r="C570"/>
      <c r="D570"/>
      <c r="I570" s="5"/>
    </row>
    <row r="571" spans="1:9">
      <c r="A571"/>
      <c r="B571"/>
      <c r="C571"/>
      <c r="D571"/>
      <c r="I571" s="5"/>
    </row>
    <row r="572" spans="1:9">
      <c r="A572"/>
      <c r="B572"/>
      <c r="C572"/>
      <c r="D572"/>
      <c r="I572" s="5"/>
    </row>
    <row r="573" spans="1:9">
      <c r="A573"/>
      <c r="B573"/>
      <c r="C573"/>
      <c r="D573"/>
      <c r="I573" s="5"/>
    </row>
    <row r="574" spans="1:9">
      <c r="A574"/>
      <c r="B574"/>
      <c r="C574"/>
      <c r="D574"/>
      <c r="I574" s="5"/>
    </row>
    <row r="575" spans="1:9">
      <c r="A575"/>
      <c r="B575"/>
      <c r="C575"/>
      <c r="D575"/>
      <c r="I575" s="5"/>
    </row>
    <row r="576" spans="1:9">
      <c r="A576"/>
      <c r="B576"/>
      <c r="C576"/>
      <c r="D576"/>
      <c r="I576" s="5"/>
    </row>
    <row r="577" spans="1:9">
      <c r="A577"/>
      <c r="B577"/>
      <c r="C577"/>
      <c r="D577"/>
      <c r="I577" s="5"/>
    </row>
    <row r="578" spans="1:9">
      <c r="A578"/>
      <c r="B578"/>
      <c r="C578"/>
      <c r="D578"/>
      <c r="I578" s="5"/>
    </row>
    <row r="579" spans="1:9">
      <c r="A579"/>
      <c r="B579"/>
      <c r="C579"/>
      <c r="D579"/>
      <c r="I579" s="5"/>
    </row>
    <row r="580" spans="1:9">
      <c r="A580"/>
      <c r="B580"/>
      <c r="C580"/>
      <c r="D580"/>
      <c r="I580" s="5"/>
    </row>
    <row r="581" spans="1:9">
      <c r="A581"/>
      <c r="B581"/>
      <c r="C581"/>
      <c r="D581"/>
      <c r="I581" s="5"/>
    </row>
    <row r="582" spans="1:9">
      <c r="A582"/>
      <c r="B582"/>
      <c r="C582"/>
      <c r="D582"/>
      <c r="I582" s="5"/>
    </row>
    <row r="583" spans="1:9">
      <c r="A583"/>
      <c r="B583"/>
      <c r="C583"/>
      <c r="D583"/>
      <c r="I583" s="5"/>
    </row>
    <row r="584" spans="1:9">
      <c r="A584"/>
      <c r="B584"/>
      <c r="C584"/>
      <c r="D584"/>
      <c r="I584" s="5"/>
    </row>
    <row r="585" spans="1:9">
      <c r="A585"/>
      <c r="B585"/>
      <c r="C585"/>
      <c r="D585"/>
      <c r="I585" s="5"/>
    </row>
    <row r="586" spans="1:9">
      <c r="A586"/>
      <c r="B586"/>
      <c r="C586"/>
      <c r="D586"/>
      <c r="I586" s="5"/>
    </row>
    <row r="587" spans="1:9">
      <c r="A587"/>
      <c r="B587"/>
      <c r="C587"/>
      <c r="D587"/>
      <c r="I587" s="5"/>
    </row>
    <row r="588" spans="1:9">
      <c r="A588"/>
      <c r="B588"/>
      <c r="C588"/>
      <c r="D588"/>
      <c r="I588" s="5"/>
    </row>
    <row r="589" spans="1:9">
      <c r="A589"/>
      <c r="B589"/>
      <c r="C589"/>
      <c r="D589"/>
      <c r="I589" s="5"/>
    </row>
    <row r="590" spans="1:9">
      <c r="A590"/>
      <c r="B590"/>
      <c r="C590"/>
      <c r="D590"/>
      <c r="I590" s="5"/>
    </row>
    <row r="591" spans="1:9">
      <c r="A591"/>
      <c r="B591"/>
      <c r="C591"/>
      <c r="D591"/>
      <c r="I591" s="5"/>
    </row>
    <row r="592" spans="1:9">
      <c r="A592"/>
      <c r="B592"/>
      <c r="C592"/>
      <c r="D592"/>
      <c r="I592" s="5"/>
    </row>
    <row r="593" spans="1:9">
      <c r="A593"/>
      <c r="B593"/>
      <c r="C593"/>
      <c r="D593"/>
      <c r="I593" s="5"/>
    </row>
    <row r="594" spans="1:9">
      <c r="A594"/>
      <c r="B594"/>
      <c r="C594"/>
      <c r="D594"/>
      <c r="I594" s="5"/>
    </row>
    <row r="595" spans="1:9">
      <c r="A595"/>
      <c r="B595"/>
      <c r="C595"/>
      <c r="D595"/>
      <c r="I595" s="5"/>
    </row>
    <row r="596" spans="1:9">
      <c r="A596"/>
      <c r="B596"/>
      <c r="C596"/>
      <c r="D596"/>
      <c r="I596" s="5"/>
    </row>
    <row r="597" spans="1:9">
      <c r="A597"/>
      <c r="B597"/>
      <c r="C597"/>
      <c r="D597"/>
      <c r="I597" s="5"/>
    </row>
    <row r="598" spans="1:9">
      <c r="A598"/>
      <c r="B598"/>
      <c r="C598"/>
      <c r="D598"/>
      <c r="I598" s="5"/>
    </row>
    <row r="599" spans="1:9">
      <c r="A599"/>
      <c r="B599"/>
      <c r="C599"/>
      <c r="D599"/>
      <c r="I599" s="5"/>
    </row>
    <row r="600" spans="1:9">
      <c r="A600"/>
      <c r="B600"/>
      <c r="C600"/>
      <c r="D600"/>
      <c r="I600" s="5"/>
    </row>
    <row r="601" spans="1:9">
      <c r="A601"/>
      <c r="B601"/>
      <c r="C601"/>
      <c r="D601"/>
      <c r="I601" s="5"/>
    </row>
    <row r="602" spans="1:9">
      <c r="A602"/>
      <c r="B602"/>
      <c r="C602"/>
      <c r="D602"/>
      <c r="I602" s="5"/>
    </row>
    <row r="603" spans="1:9">
      <c r="A603"/>
      <c r="B603"/>
      <c r="C603"/>
      <c r="D603"/>
      <c r="I603" s="5"/>
    </row>
    <row r="604" spans="1:9">
      <c r="A604"/>
      <c r="B604"/>
      <c r="C604"/>
      <c r="D604"/>
      <c r="I604" s="5"/>
    </row>
    <row r="605" spans="1:9">
      <c r="A605"/>
      <c r="B605"/>
      <c r="C605"/>
      <c r="D605"/>
      <c r="I605" s="5"/>
    </row>
    <row r="606" spans="1:9">
      <c r="A606"/>
      <c r="B606"/>
      <c r="C606"/>
      <c r="D606"/>
      <c r="I606" s="5"/>
    </row>
    <row r="607" spans="1:9">
      <c r="A607"/>
      <c r="B607"/>
      <c r="C607"/>
      <c r="D607"/>
      <c r="I607" s="5"/>
    </row>
    <row r="608" spans="1:9">
      <c r="A608"/>
      <c r="B608"/>
      <c r="C608"/>
      <c r="D608"/>
      <c r="I608" s="5"/>
    </row>
    <row r="609" spans="1:9">
      <c r="A609"/>
      <c r="B609"/>
      <c r="C609"/>
      <c r="D609"/>
      <c r="I609" s="5"/>
    </row>
    <row r="610" spans="1:9">
      <c r="A610"/>
      <c r="B610"/>
      <c r="C610"/>
      <c r="D610"/>
      <c r="I610" s="5"/>
    </row>
    <row r="611" spans="1:9">
      <c r="A611"/>
      <c r="B611"/>
      <c r="C611"/>
      <c r="D611"/>
      <c r="I611" s="5"/>
    </row>
    <row r="612" spans="1:9">
      <c r="A612"/>
      <c r="B612"/>
      <c r="C612"/>
      <c r="D612"/>
      <c r="I612" s="5"/>
    </row>
    <row r="613" spans="1:9">
      <c r="A613"/>
      <c r="B613"/>
      <c r="C613"/>
      <c r="D613"/>
      <c r="I613" s="5"/>
    </row>
    <row r="614" spans="1:9">
      <c r="A614"/>
      <c r="B614"/>
      <c r="C614"/>
      <c r="D614"/>
      <c r="I614" s="5"/>
    </row>
    <row r="615" spans="1:9">
      <c r="A615"/>
      <c r="B615"/>
      <c r="C615"/>
      <c r="D615"/>
      <c r="I615" s="5"/>
    </row>
    <row r="616" spans="1:9">
      <c r="A616"/>
      <c r="B616"/>
      <c r="C616"/>
      <c r="D616"/>
      <c r="I616" s="5"/>
    </row>
    <row r="617" spans="1:9">
      <c r="A617"/>
      <c r="B617"/>
      <c r="C617"/>
      <c r="D617"/>
      <c r="I617" s="5"/>
    </row>
    <row r="618" spans="1:9">
      <c r="A618"/>
      <c r="B618"/>
      <c r="C618"/>
      <c r="D618"/>
      <c r="I618" s="5"/>
    </row>
    <row r="619" spans="1:9">
      <c r="A619"/>
      <c r="B619"/>
      <c r="C619"/>
      <c r="D619"/>
      <c r="I619" s="5"/>
    </row>
    <row r="620" spans="1:9">
      <c r="A620"/>
      <c r="B620"/>
      <c r="C620"/>
      <c r="D620"/>
      <c r="I620" s="5"/>
    </row>
    <row r="621" spans="1:9">
      <c r="A621"/>
      <c r="B621"/>
      <c r="C621"/>
      <c r="D621"/>
      <c r="I621" s="5"/>
    </row>
    <row r="622" spans="1:9">
      <c r="A622"/>
      <c r="B622"/>
      <c r="C622"/>
      <c r="D622"/>
      <c r="I622" s="5"/>
    </row>
    <row r="623" spans="1:9">
      <c r="A623"/>
      <c r="B623"/>
      <c r="C623"/>
      <c r="D623"/>
      <c r="I623" s="5"/>
    </row>
    <row r="624" spans="1:9">
      <c r="A624"/>
      <c r="B624"/>
      <c r="C624"/>
      <c r="D624"/>
      <c r="I624" s="5"/>
    </row>
    <row r="625" spans="1:9">
      <c r="A625"/>
      <c r="B625"/>
      <c r="C625"/>
      <c r="D625"/>
      <c r="I625" s="5"/>
    </row>
    <row r="626" spans="1:9">
      <c r="A626"/>
      <c r="B626"/>
      <c r="C626"/>
      <c r="D626"/>
      <c r="I626" s="5"/>
    </row>
    <row r="627" spans="1:9">
      <c r="A627"/>
      <c r="B627"/>
      <c r="C627"/>
      <c r="D627"/>
      <c r="I627" s="5"/>
    </row>
    <row r="628" spans="1:9">
      <c r="A628"/>
      <c r="B628"/>
      <c r="C628"/>
      <c r="D628"/>
      <c r="I628" s="5"/>
    </row>
    <row r="629" spans="1:9">
      <c r="A629"/>
      <c r="B629"/>
      <c r="C629"/>
      <c r="D629"/>
      <c r="I629" s="5"/>
    </row>
    <row r="630" spans="1:9">
      <c r="A630"/>
      <c r="B630"/>
      <c r="C630"/>
      <c r="D630"/>
      <c r="I630" s="5"/>
    </row>
    <row r="631" spans="1:9">
      <c r="A631"/>
      <c r="B631"/>
      <c r="C631"/>
      <c r="D631"/>
      <c r="I631" s="5"/>
    </row>
    <row r="632" spans="1:9">
      <c r="A632"/>
      <c r="B632"/>
      <c r="C632"/>
      <c r="D632"/>
      <c r="I632" s="5"/>
    </row>
    <row r="633" spans="1:9">
      <c r="A633"/>
      <c r="B633"/>
      <c r="C633"/>
      <c r="D633"/>
      <c r="I633" s="5"/>
    </row>
    <row r="634" spans="1:9">
      <c r="A634"/>
      <c r="B634"/>
      <c r="C634"/>
      <c r="D634"/>
      <c r="I634" s="5"/>
    </row>
    <row r="635" spans="1:9">
      <c r="A635"/>
      <c r="B635"/>
      <c r="C635"/>
      <c r="D635"/>
      <c r="I635" s="5"/>
    </row>
    <row r="636" spans="1:9">
      <c r="A636"/>
      <c r="B636"/>
      <c r="C636"/>
      <c r="D636"/>
      <c r="I636" s="5"/>
    </row>
    <row r="637" spans="1:9">
      <c r="A637"/>
      <c r="B637"/>
      <c r="C637"/>
      <c r="D637"/>
      <c r="I637" s="5"/>
    </row>
    <row r="638" spans="1:9">
      <c r="A638"/>
      <c r="B638"/>
      <c r="C638"/>
      <c r="D638"/>
      <c r="I638" s="5"/>
    </row>
    <row r="639" spans="1:9">
      <c r="A639"/>
      <c r="B639"/>
      <c r="C639"/>
      <c r="D639"/>
      <c r="I639" s="5"/>
    </row>
    <row r="640" spans="1:9">
      <c r="A640"/>
      <c r="B640"/>
      <c r="C640"/>
      <c r="D640"/>
      <c r="I640" s="5"/>
    </row>
    <row r="641" spans="1:9">
      <c r="A641"/>
      <c r="B641"/>
      <c r="C641"/>
      <c r="D641"/>
      <c r="I641" s="5"/>
    </row>
    <row r="642" spans="1:9">
      <c r="A642"/>
      <c r="B642"/>
      <c r="C642"/>
      <c r="D642"/>
      <c r="I642" s="5"/>
    </row>
    <row r="643" spans="1:9">
      <c r="A643"/>
      <c r="B643"/>
      <c r="C643"/>
      <c r="D643"/>
      <c r="I643" s="5"/>
    </row>
    <row r="644" spans="1:9">
      <c r="A644"/>
      <c r="B644"/>
      <c r="C644"/>
      <c r="D644"/>
      <c r="I644" s="5"/>
    </row>
    <row r="645" spans="1:9">
      <c r="A645"/>
      <c r="B645"/>
      <c r="C645"/>
      <c r="D645"/>
      <c r="I645" s="5"/>
    </row>
    <row r="646" spans="1:9">
      <c r="A646"/>
      <c r="B646"/>
      <c r="C646"/>
      <c r="D646"/>
      <c r="I646" s="5"/>
    </row>
    <row r="647" spans="1:9">
      <c r="A647"/>
      <c r="B647"/>
      <c r="C647"/>
      <c r="D647"/>
      <c r="I647" s="5"/>
    </row>
    <row r="648" spans="1:9">
      <c r="A648"/>
      <c r="B648"/>
      <c r="C648"/>
      <c r="D648"/>
      <c r="I648" s="5"/>
    </row>
    <row r="649" spans="1:9">
      <c r="A649"/>
      <c r="B649"/>
      <c r="C649"/>
      <c r="D649"/>
      <c r="I649" s="5"/>
    </row>
    <row r="650" spans="1:9">
      <c r="A650"/>
      <c r="B650"/>
      <c r="C650"/>
      <c r="D650"/>
      <c r="I650" s="5"/>
    </row>
    <row r="651" spans="1:9">
      <c r="A651"/>
      <c r="B651"/>
      <c r="C651"/>
      <c r="D651"/>
      <c r="I651" s="5"/>
    </row>
    <row r="652" spans="1:9">
      <c r="A652"/>
      <c r="B652"/>
      <c r="C652"/>
      <c r="D652"/>
      <c r="I652" s="5"/>
    </row>
    <row r="653" spans="1:9">
      <c r="A653"/>
      <c r="B653"/>
      <c r="C653"/>
      <c r="D653"/>
      <c r="I653" s="5"/>
    </row>
    <row r="654" spans="1:9">
      <c r="A654"/>
      <c r="B654"/>
      <c r="C654"/>
      <c r="D654"/>
      <c r="I654" s="5"/>
    </row>
    <row r="655" spans="1:9">
      <c r="A655"/>
      <c r="B655"/>
      <c r="C655"/>
      <c r="D655"/>
      <c r="I655" s="5"/>
    </row>
    <row r="656" spans="1:9">
      <c r="A656"/>
      <c r="B656"/>
      <c r="C656"/>
      <c r="D656"/>
      <c r="I656" s="5"/>
    </row>
    <row r="657" spans="1:9">
      <c r="A657"/>
      <c r="B657"/>
      <c r="C657"/>
      <c r="D657"/>
      <c r="I657" s="5"/>
    </row>
    <row r="658" spans="1:9">
      <c r="A658"/>
      <c r="B658"/>
      <c r="C658"/>
      <c r="D658"/>
      <c r="I658" s="5"/>
    </row>
    <row r="659" spans="1:9">
      <c r="A659"/>
      <c r="B659"/>
      <c r="C659"/>
      <c r="D659"/>
      <c r="I659" s="5"/>
    </row>
    <row r="660" spans="1:9">
      <c r="A660"/>
      <c r="B660"/>
      <c r="C660"/>
      <c r="D660"/>
      <c r="I660" s="5"/>
    </row>
    <row r="661" spans="1:9">
      <c r="A661"/>
      <c r="B661"/>
      <c r="C661"/>
      <c r="D661"/>
      <c r="I661" s="5"/>
    </row>
    <row r="662" spans="1:9">
      <c r="A662"/>
      <c r="B662"/>
      <c r="C662"/>
      <c r="D662"/>
      <c r="I662" s="5"/>
    </row>
    <row r="663" spans="1:9">
      <c r="A663"/>
      <c r="B663"/>
      <c r="C663"/>
      <c r="D663"/>
      <c r="I663" s="5"/>
    </row>
    <row r="664" spans="1:9">
      <c r="A664"/>
      <c r="B664"/>
      <c r="C664"/>
      <c r="D664"/>
      <c r="I664" s="5"/>
    </row>
    <row r="665" spans="1:9">
      <c r="A665"/>
      <c r="B665"/>
      <c r="C665"/>
      <c r="D665"/>
      <c r="I665" s="5"/>
    </row>
    <row r="666" spans="1:9">
      <c r="A666"/>
      <c r="B666"/>
      <c r="C666"/>
      <c r="D666"/>
      <c r="I666" s="5"/>
    </row>
    <row r="667" spans="1:9">
      <c r="A667"/>
      <c r="B667"/>
      <c r="C667"/>
      <c r="D667"/>
      <c r="I667" s="5"/>
    </row>
    <row r="668" spans="1:9">
      <c r="A668"/>
      <c r="B668"/>
      <c r="C668"/>
      <c r="D668"/>
      <c r="I668" s="5"/>
    </row>
    <row r="669" spans="1:9">
      <c r="A669"/>
      <c r="B669"/>
      <c r="C669"/>
      <c r="D669"/>
      <c r="I669" s="5"/>
    </row>
    <row r="670" spans="1:9">
      <c r="A670"/>
      <c r="B670"/>
      <c r="C670"/>
      <c r="D670"/>
      <c r="I670" s="5"/>
    </row>
    <row r="671" spans="1:9">
      <c r="A671"/>
      <c r="B671"/>
      <c r="C671"/>
      <c r="D671"/>
      <c r="I671" s="5"/>
    </row>
    <row r="672" spans="1:9">
      <c r="A672"/>
      <c r="B672"/>
      <c r="C672"/>
      <c r="D672"/>
      <c r="I672" s="5"/>
    </row>
    <row r="673" spans="1:9">
      <c r="A673"/>
      <c r="B673"/>
      <c r="C673"/>
      <c r="D673"/>
      <c r="I673" s="5"/>
    </row>
    <row r="674" spans="1:9">
      <c r="A674"/>
      <c r="B674"/>
      <c r="C674"/>
      <c r="D674"/>
      <c r="I674" s="5"/>
    </row>
    <row r="675" spans="1:9">
      <c r="A675"/>
      <c r="B675"/>
      <c r="C675"/>
      <c r="D675"/>
      <c r="I675" s="5"/>
    </row>
    <row r="676" spans="1:9">
      <c r="A676"/>
      <c r="B676"/>
      <c r="C676"/>
      <c r="D676"/>
      <c r="I676" s="5"/>
    </row>
    <row r="677" spans="1:9">
      <c r="A677"/>
      <c r="B677"/>
      <c r="C677"/>
      <c r="D677"/>
      <c r="I677" s="5"/>
    </row>
    <row r="678" spans="1:9">
      <c r="A678"/>
      <c r="B678"/>
      <c r="C678"/>
      <c r="D678"/>
      <c r="I678" s="5"/>
    </row>
    <row r="679" spans="1:9">
      <c r="A679"/>
      <c r="B679"/>
      <c r="C679"/>
      <c r="D679"/>
      <c r="I679" s="5"/>
    </row>
    <row r="680" spans="1:9">
      <c r="A680"/>
      <c r="B680"/>
      <c r="C680"/>
      <c r="D680"/>
      <c r="I680" s="5"/>
    </row>
    <row r="681" spans="1:9">
      <c r="A681"/>
      <c r="B681"/>
      <c r="C681"/>
      <c r="D681"/>
      <c r="I681" s="5"/>
    </row>
    <row r="682" spans="1:9">
      <c r="A682"/>
      <c r="B682"/>
      <c r="C682"/>
      <c r="D682"/>
      <c r="I682" s="5"/>
    </row>
    <row r="683" spans="1:9">
      <c r="A683"/>
      <c r="B683"/>
      <c r="C683"/>
      <c r="D683"/>
      <c r="I683" s="5"/>
    </row>
    <row r="684" spans="1:9">
      <c r="A684"/>
      <c r="B684"/>
      <c r="C684"/>
      <c r="D684"/>
      <c r="I684" s="5"/>
    </row>
    <row r="685" spans="1:9">
      <c r="A685"/>
      <c r="B685"/>
      <c r="C685"/>
      <c r="D685"/>
      <c r="I685" s="5"/>
    </row>
    <row r="686" spans="1:9">
      <c r="A686"/>
      <c r="B686"/>
      <c r="C686"/>
      <c r="D686"/>
      <c r="I686" s="5"/>
    </row>
    <row r="687" spans="1:9">
      <c r="A687"/>
      <c r="B687"/>
      <c r="C687"/>
      <c r="D687"/>
      <c r="I687" s="5"/>
    </row>
    <row r="688" spans="1:9">
      <c r="A688"/>
      <c r="B688"/>
      <c r="C688"/>
      <c r="D688"/>
      <c r="I688" s="5"/>
    </row>
    <row r="689" spans="1:9">
      <c r="A689"/>
      <c r="B689"/>
      <c r="C689"/>
      <c r="D689"/>
      <c r="I689" s="5"/>
    </row>
    <row r="690" spans="1:9">
      <c r="A690"/>
      <c r="B690"/>
      <c r="C690"/>
      <c r="D690"/>
      <c r="I690" s="5"/>
    </row>
    <row r="691" spans="1:9">
      <c r="A691"/>
      <c r="B691"/>
      <c r="C691"/>
      <c r="D691"/>
      <c r="I691" s="5"/>
    </row>
    <row r="692" spans="1:9">
      <c r="A692"/>
      <c r="B692"/>
      <c r="C692"/>
      <c r="D692"/>
      <c r="I692" s="5"/>
    </row>
    <row r="693" spans="1:9">
      <c r="A693"/>
      <c r="B693"/>
      <c r="C693"/>
      <c r="D693"/>
      <c r="I693" s="5"/>
    </row>
    <row r="694" spans="1:9">
      <c r="A694"/>
      <c r="B694"/>
      <c r="C694"/>
      <c r="D694"/>
      <c r="I694" s="5"/>
    </row>
    <row r="695" spans="1:9">
      <c r="A695"/>
      <c r="B695"/>
      <c r="C695"/>
      <c r="D695"/>
      <c r="I695" s="5"/>
    </row>
    <row r="696" spans="1:9">
      <c r="A696"/>
      <c r="B696"/>
      <c r="C696"/>
      <c r="D696"/>
      <c r="I696" s="5"/>
    </row>
    <row r="697" spans="1:9">
      <c r="A697"/>
      <c r="B697"/>
      <c r="C697"/>
      <c r="D697"/>
      <c r="I697" s="5"/>
    </row>
    <row r="698" spans="1:9">
      <c r="A698"/>
      <c r="B698"/>
      <c r="C698"/>
      <c r="D698"/>
      <c r="I698" s="5"/>
    </row>
    <row r="699" spans="1:9">
      <c r="A699"/>
      <c r="B699"/>
      <c r="C699"/>
      <c r="D699"/>
      <c r="I699" s="5"/>
    </row>
    <row r="700" spans="1:9">
      <c r="A700"/>
      <c r="B700"/>
      <c r="C700"/>
      <c r="D700"/>
      <c r="I700" s="5"/>
    </row>
    <row r="701" spans="1:9">
      <c r="A701"/>
      <c r="B701"/>
      <c r="C701"/>
      <c r="D701"/>
      <c r="I701" s="5"/>
    </row>
    <row r="702" spans="1:9">
      <c r="A702"/>
      <c r="B702"/>
      <c r="C702"/>
      <c r="D702"/>
      <c r="I702" s="5"/>
    </row>
    <row r="703" spans="1:9">
      <c r="A703"/>
      <c r="B703"/>
      <c r="C703"/>
      <c r="D703"/>
      <c r="I703" s="5"/>
    </row>
    <row r="704" spans="1:9">
      <c r="A704"/>
      <c r="B704"/>
      <c r="C704"/>
      <c r="D704"/>
      <c r="I704" s="5"/>
    </row>
    <row r="705" spans="1:9">
      <c r="A705"/>
      <c r="B705"/>
      <c r="C705"/>
      <c r="D705"/>
      <c r="I705" s="5"/>
    </row>
    <row r="706" spans="1:9">
      <c r="A706"/>
      <c r="B706"/>
      <c r="C706"/>
      <c r="D706"/>
      <c r="I706" s="5"/>
    </row>
    <row r="707" spans="1:9">
      <c r="A707"/>
      <c r="B707"/>
      <c r="C707"/>
      <c r="D707"/>
      <c r="I707" s="5"/>
    </row>
    <row r="708" spans="1:9">
      <c r="A708"/>
      <c r="B708"/>
      <c r="C708"/>
      <c r="D708"/>
      <c r="I708" s="5"/>
    </row>
    <row r="709" spans="1:9">
      <c r="A709"/>
      <c r="B709"/>
      <c r="C709"/>
      <c r="D709"/>
      <c r="I709" s="5"/>
    </row>
    <row r="710" spans="1:9">
      <c r="A710"/>
      <c r="B710"/>
      <c r="C710"/>
      <c r="D710"/>
      <c r="I710" s="5"/>
    </row>
    <row r="711" spans="1:9">
      <c r="A711"/>
      <c r="B711"/>
      <c r="C711"/>
      <c r="D711"/>
      <c r="I711" s="5"/>
    </row>
    <row r="712" spans="1:9">
      <c r="A712"/>
      <c r="B712"/>
      <c r="C712"/>
      <c r="D712"/>
      <c r="I712" s="5"/>
    </row>
    <row r="713" spans="1:9">
      <c r="A713"/>
      <c r="B713"/>
      <c r="C713"/>
      <c r="D713"/>
      <c r="I713" s="5"/>
    </row>
    <row r="714" spans="1:9">
      <c r="A714"/>
      <c r="B714"/>
      <c r="C714"/>
      <c r="D714"/>
      <c r="I714" s="5"/>
    </row>
    <row r="715" spans="1:9">
      <c r="A715"/>
      <c r="B715"/>
      <c r="C715"/>
      <c r="D715"/>
      <c r="I715" s="5"/>
    </row>
    <row r="716" spans="1:9">
      <c r="A716"/>
      <c r="B716"/>
      <c r="C716"/>
      <c r="D716"/>
      <c r="I716" s="5"/>
    </row>
    <row r="717" spans="1:9">
      <c r="A717"/>
      <c r="B717"/>
      <c r="C717"/>
      <c r="D717"/>
      <c r="I717" s="5"/>
    </row>
    <row r="718" spans="1:9">
      <c r="A718"/>
      <c r="B718"/>
      <c r="C718"/>
      <c r="D718"/>
      <c r="I718" s="5"/>
    </row>
    <row r="719" spans="1:9">
      <c r="A719"/>
      <c r="B719"/>
      <c r="C719"/>
      <c r="D719"/>
      <c r="I719" s="5"/>
    </row>
    <row r="720" spans="1:9">
      <c r="A720"/>
      <c r="B720"/>
      <c r="C720"/>
      <c r="D720"/>
      <c r="I720" s="5"/>
    </row>
    <row r="721" spans="1:9">
      <c r="A721"/>
      <c r="B721"/>
      <c r="C721"/>
      <c r="D721"/>
      <c r="I721" s="5"/>
    </row>
    <row r="722" spans="1:9">
      <c r="A722"/>
      <c r="B722"/>
      <c r="C722"/>
      <c r="D722"/>
      <c r="I722" s="5"/>
    </row>
    <row r="723" spans="1:9">
      <c r="A723"/>
      <c r="B723"/>
      <c r="C723"/>
      <c r="D723"/>
      <c r="I723" s="5"/>
    </row>
    <row r="724" spans="1:9">
      <c r="A724"/>
      <c r="B724"/>
      <c r="C724"/>
      <c r="D724"/>
      <c r="I724" s="5"/>
    </row>
    <row r="725" spans="1:9">
      <c r="A725"/>
      <c r="B725"/>
      <c r="C725"/>
      <c r="D725"/>
      <c r="I725" s="5"/>
    </row>
    <row r="726" spans="1:9">
      <c r="A726"/>
      <c r="B726"/>
      <c r="C726"/>
      <c r="D726"/>
      <c r="I726" s="5"/>
    </row>
    <row r="727" spans="1:9">
      <c r="A727"/>
      <c r="B727"/>
      <c r="C727"/>
      <c r="D727"/>
      <c r="I727" s="5"/>
    </row>
    <row r="728" spans="1:9">
      <c r="A728"/>
      <c r="B728"/>
      <c r="C728"/>
      <c r="D728"/>
      <c r="I728" s="5"/>
    </row>
    <row r="729" spans="1:9">
      <c r="A729"/>
      <c r="B729"/>
      <c r="C729"/>
      <c r="D729"/>
      <c r="I729" s="5"/>
    </row>
    <row r="730" spans="1:9">
      <c r="A730"/>
      <c r="B730"/>
      <c r="C730"/>
      <c r="D730"/>
      <c r="I730" s="5"/>
    </row>
    <row r="731" spans="1:9">
      <c r="A731"/>
      <c r="B731"/>
      <c r="C731"/>
      <c r="D731"/>
      <c r="I731" s="5"/>
    </row>
    <row r="732" spans="1:9">
      <c r="A732"/>
      <c r="B732"/>
      <c r="C732"/>
      <c r="D732"/>
      <c r="I732" s="5"/>
    </row>
    <row r="733" spans="1:9">
      <c r="A733"/>
      <c r="B733"/>
      <c r="C733"/>
      <c r="D733"/>
      <c r="I733" s="5"/>
    </row>
    <row r="734" spans="1:9">
      <c r="A734"/>
      <c r="B734"/>
      <c r="C734"/>
      <c r="D734"/>
      <c r="I734" s="5"/>
    </row>
    <row r="735" spans="1:9">
      <c r="A735"/>
      <c r="B735"/>
      <c r="C735"/>
      <c r="D735"/>
      <c r="I735" s="5"/>
    </row>
    <row r="736" spans="1:9">
      <c r="A736"/>
      <c r="B736"/>
      <c r="C736"/>
      <c r="D736"/>
      <c r="I736" s="5"/>
    </row>
    <row r="737" spans="1:9">
      <c r="A737"/>
      <c r="B737"/>
      <c r="C737"/>
      <c r="D737"/>
      <c r="I737" s="5"/>
    </row>
    <row r="738" spans="1:9">
      <c r="A738"/>
      <c r="B738"/>
      <c r="C738"/>
      <c r="D738"/>
      <c r="I738" s="5"/>
    </row>
    <row r="739" spans="1:9">
      <c r="A739"/>
      <c r="B739"/>
      <c r="C739"/>
      <c r="D739"/>
      <c r="I739" s="5"/>
    </row>
    <row r="740" spans="1:9">
      <c r="A740"/>
      <c r="B740"/>
      <c r="C740"/>
      <c r="D740"/>
      <c r="I740" s="5"/>
    </row>
    <row r="741" spans="1:9">
      <c r="A741"/>
      <c r="B741"/>
      <c r="C741"/>
      <c r="D741"/>
      <c r="I741" s="5"/>
    </row>
    <row r="742" spans="1:9">
      <c r="A742"/>
      <c r="B742"/>
      <c r="C742"/>
      <c r="D742"/>
      <c r="I742" s="5"/>
    </row>
    <row r="743" spans="1:9">
      <c r="A743"/>
      <c r="B743"/>
      <c r="C743"/>
      <c r="D743"/>
      <c r="I743" s="5"/>
    </row>
    <row r="744" spans="1:9">
      <c r="A744"/>
      <c r="B744"/>
      <c r="C744"/>
      <c r="D744"/>
      <c r="I744" s="5"/>
    </row>
    <row r="745" spans="1:9">
      <c r="A745"/>
      <c r="B745"/>
      <c r="C745"/>
      <c r="D745"/>
      <c r="I745" s="5"/>
    </row>
    <row r="746" spans="1:9">
      <c r="A746"/>
      <c r="B746"/>
      <c r="C746"/>
      <c r="D746"/>
      <c r="I746" s="5"/>
    </row>
    <row r="747" spans="1:9">
      <c r="A747"/>
      <c r="B747"/>
      <c r="C747"/>
      <c r="D747"/>
      <c r="I747" s="5"/>
    </row>
    <row r="748" spans="1:9">
      <c r="A748"/>
      <c r="B748"/>
      <c r="C748"/>
      <c r="D748"/>
      <c r="I748" s="5"/>
    </row>
    <row r="749" spans="1:9">
      <c r="A749"/>
      <c r="B749"/>
      <c r="C749"/>
      <c r="D749"/>
      <c r="I749" s="5"/>
    </row>
    <row r="750" spans="1:9">
      <c r="A750"/>
      <c r="B750"/>
      <c r="C750"/>
      <c r="D750"/>
      <c r="I750" s="5"/>
    </row>
    <row r="751" spans="1:9">
      <c r="A751"/>
      <c r="B751"/>
      <c r="C751"/>
      <c r="D751"/>
      <c r="I751" s="5"/>
    </row>
    <row r="752" spans="1:9">
      <c r="A752"/>
      <c r="B752"/>
      <c r="C752"/>
      <c r="D752"/>
      <c r="I752" s="5"/>
    </row>
    <row r="753" spans="1:9">
      <c r="A753"/>
      <c r="B753"/>
      <c r="C753"/>
      <c r="D753"/>
      <c r="I753" s="5"/>
    </row>
    <row r="754" spans="1:9">
      <c r="A754"/>
      <c r="B754"/>
      <c r="C754"/>
      <c r="D754"/>
      <c r="I754" s="5"/>
    </row>
    <row r="755" spans="1:9">
      <c r="A755"/>
      <c r="B755"/>
      <c r="C755"/>
      <c r="D755"/>
      <c r="I755" s="5"/>
    </row>
    <row r="756" spans="1:9">
      <c r="A756"/>
      <c r="B756"/>
      <c r="C756"/>
      <c r="D756"/>
      <c r="I756" s="5"/>
    </row>
    <row r="757" spans="1:9">
      <c r="A757"/>
      <c r="B757"/>
      <c r="C757"/>
      <c r="D757"/>
      <c r="I757" s="5"/>
    </row>
    <row r="758" spans="1:9">
      <c r="A758"/>
      <c r="B758"/>
      <c r="C758"/>
      <c r="D758"/>
      <c r="I758" s="5"/>
    </row>
    <row r="759" spans="1:9">
      <c r="A759"/>
      <c r="B759"/>
      <c r="C759"/>
      <c r="D759"/>
      <c r="I759" s="5"/>
    </row>
    <row r="760" spans="1:9">
      <c r="A760"/>
      <c r="B760"/>
      <c r="C760"/>
      <c r="D760"/>
      <c r="I760" s="5"/>
    </row>
    <row r="761" spans="1:9">
      <c r="A761"/>
      <c r="B761"/>
      <c r="C761"/>
      <c r="D761"/>
      <c r="I761" s="5"/>
    </row>
    <row r="762" spans="1:9">
      <c r="A762"/>
      <c r="B762"/>
      <c r="C762"/>
      <c r="D762"/>
      <c r="I762" s="5"/>
    </row>
    <row r="763" spans="1:9">
      <c r="A763"/>
      <c r="B763"/>
      <c r="C763"/>
      <c r="D763"/>
      <c r="I763" s="5"/>
    </row>
    <row r="764" spans="1:9">
      <c r="A764"/>
      <c r="B764"/>
      <c r="C764"/>
      <c r="D764"/>
      <c r="I764" s="5"/>
    </row>
    <row r="765" spans="1:9">
      <c r="A765"/>
      <c r="B765"/>
      <c r="C765"/>
      <c r="D765"/>
      <c r="I765" s="5"/>
    </row>
    <row r="766" spans="1:9">
      <c r="A766"/>
      <c r="B766"/>
      <c r="C766"/>
      <c r="D766"/>
      <c r="I766" s="5"/>
    </row>
    <row r="767" spans="1:9">
      <c r="A767"/>
      <c r="B767"/>
      <c r="C767"/>
      <c r="D767"/>
      <c r="I767" s="5"/>
    </row>
    <row r="768" spans="1:9">
      <c r="A768"/>
      <c r="B768"/>
      <c r="C768"/>
      <c r="D768"/>
      <c r="I768" s="5"/>
    </row>
    <row r="769" spans="1:9">
      <c r="A769"/>
      <c r="B769"/>
      <c r="C769"/>
      <c r="D769"/>
      <c r="I769" s="5"/>
    </row>
    <row r="770" spans="1:9">
      <c r="A770"/>
      <c r="B770"/>
      <c r="C770"/>
      <c r="D770"/>
      <c r="I770" s="5"/>
    </row>
    <row r="771" spans="1:9">
      <c r="A771"/>
      <c r="B771"/>
      <c r="C771"/>
      <c r="D771"/>
      <c r="I771" s="5"/>
    </row>
    <row r="772" spans="1:9">
      <c r="A772"/>
      <c r="B772"/>
      <c r="C772"/>
      <c r="D772"/>
      <c r="I772" s="5"/>
    </row>
    <row r="773" spans="1:9">
      <c r="A773"/>
      <c r="B773"/>
      <c r="C773"/>
      <c r="D773"/>
      <c r="I773" s="5"/>
    </row>
    <row r="774" spans="1:9">
      <c r="A774"/>
      <c r="B774"/>
      <c r="C774"/>
      <c r="D774"/>
      <c r="I774" s="5"/>
    </row>
    <row r="775" spans="1:9">
      <c r="A775"/>
      <c r="B775"/>
      <c r="C775"/>
      <c r="D775"/>
      <c r="I775" s="5"/>
    </row>
    <row r="776" spans="1:9">
      <c r="A776"/>
      <c r="B776"/>
      <c r="C776"/>
      <c r="D776"/>
      <c r="I776" s="5"/>
    </row>
    <row r="777" spans="1:9">
      <c r="A777"/>
      <c r="B777"/>
      <c r="C777"/>
      <c r="D777"/>
      <c r="I777" s="5"/>
    </row>
    <row r="778" spans="1:9">
      <c r="A778"/>
      <c r="B778"/>
      <c r="C778"/>
      <c r="D778"/>
      <c r="I778" s="5"/>
    </row>
    <row r="779" spans="1:9">
      <c r="A779"/>
      <c r="B779"/>
      <c r="C779"/>
      <c r="D779"/>
      <c r="I779" s="5"/>
    </row>
    <row r="780" spans="1:9">
      <c r="A780"/>
      <c r="B780"/>
      <c r="C780"/>
      <c r="D780"/>
      <c r="I780" s="5"/>
    </row>
    <row r="781" spans="1:9">
      <c r="A781"/>
      <c r="B781"/>
      <c r="C781"/>
      <c r="D781"/>
      <c r="I781" s="5"/>
    </row>
    <row r="782" spans="1:9">
      <c r="A782"/>
      <c r="B782"/>
      <c r="C782"/>
      <c r="D782"/>
      <c r="I782" s="5"/>
    </row>
    <row r="783" spans="1:9">
      <c r="A783"/>
      <c r="B783"/>
      <c r="C783"/>
      <c r="D783"/>
      <c r="I783" s="5"/>
    </row>
    <row r="784" spans="1:9">
      <c r="A784"/>
      <c r="B784"/>
      <c r="C784"/>
      <c r="D784"/>
      <c r="I784" s="5"/>
    </row>
    <row r="785" spans="1:9">
      <c r="A785"/>
      <c r="B785"/>
      <c r="C785"/>
      <c r="D785"/>
      <c r="I785" s="5"/>
    </row>
    <row r="786" spans="1:9">
      <c r="A786"/>
      <c r="B786"/>
      <c r="C786"/>
      <c r="D786"/>
      <c r="I786" s="5"/>
    </row>
    <row r="787" spans="1:9">
      <c r="A787"/>
      <c r="B787"/>
      <c r="C787"/>
      <c r="D787"/>
      <c r="I787" s="5"/>
    </row>
    <row r="788" spans="1:9">
      <c r="A788"/>
      <c r="B788"/>
      <c r="C788"/>
      <c r="D788"/>
      <c r="I788" s="5"/>
    </row>
    <row r="789" spans="1:9">
      <c r="A789"/>
      <c r="B789"/>
      <c r="C789"/>
      <c r="D789"/>
      <c r="I789" s="5"/>
    </row>
    <row r="790" spans="1:9">
      <c r="A790"/>
      <c r="B790"/>
      <c r="C790"/>
      <c r="D790"/>
      <c r="I790" s="5"/>
    </row>
    <row r="791" spans="1:9">
      <c r="A791"/>
      <c r="B791"/>
      <c r="C791"/>
      <c r="D791"/>
      <c r="I791" s="5"/>
    </row>
    <row r="792" spans="1:9">
      <c r="A792"/>
      <c r="B792"/>
      <c r="C792"/>
      <c r="D792"/>
      <c r="I792" s="5"/>
    </row>
    <row r="793" spans="1:9">
      <c r="A793"/>
      <c r="B793"/>
      <c r="C793"/>
      <c r="D793"/>
      <c r="I793" s="5"/>
    </row>
    <row r="794" spans="1:9">
      <c r="A794"/>
      <c r="B794"/>
      <c r="C794"/>
      <c r="D794"/>
      <c r="I794" s="5"/>
    </row>
    <row r="795" spans="1:9">
      <c r="A795"/>
      <c r="B795"/>
      <c r="C795"/>
      <c r="D795"/>
      <c r="I795" s="5"/>
    </row>
    <row r="796" spans="1:9">
      <c r="A796"/>
      <c r="B796"/>
      <c r="C796"/>
      <c r="D796"/>
      <c r="I796" s="5"/>
    </row>
    <row r="797" spans="1:9">
      <c r="A797"/>
      <c r="B797"/>
      <c r="C797"/>
      <c r="D797"/>
      <c r="I797" s="5"/>
    </row>
    <row r="798" spans="1:9">
      <c r="A798"/>
      <c r="B798"/>
      <c r="C798"/>
      <c r="D798"/>
      <c r="I798" s="5"/>
    </row>
    <row r="799" spans="1:9">
      <c r="A799"/>
      <c r="B799"/>
      <c r="C799"/>
      <c r="D799"/>
      <c r="I799" s="5"/>
    </row>
    <row r="800" spans="1:9">
      <c r="A800"/>
      <c r="B800"/>
      <c r="C800"/>
      <c r="D800"/>
      <c r="I800" s="5"/>
    </row>
    <row r="801" spans="1:9">
      <c r="A801"/>
      <c r="B801"/>
      <c r="C801"/>
      <c r="D801"/>
      <c r="I801" s="5"/>
    </row>
    <row r="802" spans="1:9">
      <c r="A802"/>
      <c r="B802"/>
      <c r="C802"/>
      <c r="D802"/>
      <c r="I802" s="5"/>
    </row>
    <row r="803" spans="1:9">
      <c r="A803"/>
      <c r="B803"/>
      <c r="C803"/>
      <c r="D803"/>
      <c r="I803" s="5"/>
    </row>
    <row r="804" spans="1:9">
      <c r="A804"/>
      <c r="B804"/>
      <c r="C804"/>
      <c r="D804"/>
      <c r="I804" s="5"/>
    </row>
    <row r="805" spans="1:9">
      <c r="A805"/>
      <c r="B805"/>
      <c r="C805"/>
      <c r="D805"/>
      <c r="I805" s="5"/>
    </row>
    <row r="806" spans="1:9">
      <c r="A806"/>
      <c r="B806"/>
      <c r="C806"/>
      <c r="D806"/>
      <c r="I806" s="5"/>
    </row>
    <row r="807" spans="1:9">
      <c r="A807"/>
      <c r="B807"/>
      <c r="C807"/>
      <c r="D807"/>
      <c r="I807" s="5"/>
    </row>
    <row r="808" spans="1:9">
      <c r="A808"/>
      <c r="B808"/>
      <c r="C808"/>
      <c r="D808"/>
      <c r="I808" s="5"/>
    </row>
    <row r="809" spans="1:9">
      <c r="A809"/>
      <c r="B809"/>
      <c r="C809"/>
      <c r="D809"/>
      <c r="I809" s="5"/>
    </row>
    <row r="810" spans="1:9">
      <c r="A810"/>
      <c r="B810"/>
      <c r="C810"/>
      <c r="D810"/>
      <c r="I810" s="5"/>
    </row>
    <row r="811" spans="1:9">
      <c r="A811"/>
      <c r="B811"/>
      <c r="C811"/>
      <c r="D811"/>
      <c r="I811" s="5"/>
    </row>
    <row r="812" spans="1:9">
      <c r="A812"/>
      <c r="B812"/>
      <c r="C812"/>
      <c r="D812"/>
      <c r="I812" s="5"/>
    </row>
    <row r="813" spans="1:9">
      <c r="A813"/>
      <c r="B813"/>
      <c r="C813"/>
      <c r="D813"/>
      <c r="I813" s="5"/>
    </row>
    <row r="814" spans="1:9">
      <c r="A814"/>
      <c r="B814"/>
      <c r="C814"/>
      <c r="D814"/>
      <c r="I814" s="5"/>
    </row>
    <row r="815" spans="1:9">
      <c r="A815"/>
      <c r="B815"/>
      <c r="C815"/>
      <c r="D815"/>
      <c r="I815" s="5"/>
    </row>
    <row r="816" spans="1:9">
      <c r="A816"/>
      <c r="B816"/>
      <c r="C816"/>
      <c r="D816"/>
      <c r="I816" s="5"/>
    </row>
    <row r="817" spans="1:9">
      <c r="A817"/>
      <c r="B817"/>
      <c r="C817"/>
      <c r="D817"/>
      <c r="I817" s="5"/>
    </row>
    <row r="818" spans="1:9">
      <c r="A818"/>
      <c r="B818"/>
      <c r="C818"/>
      <c r="D818"/>
      <c r="I818" s="5"/>
    </row>
    <row r="819" spans="1:9">
      <c r="A819"/>
      <c r="B819"/>
      <c r="C819"/>
      <c r="D819"/>
      <c r="I819" s="5"/>
    </row>
    <row r="820" spans="1:9">
      <c r="A820"/>
      <c r="B820"/>
      <c r="C820"/>
      <c r="D820"/>
      <c r="I820" s="5"/>
    </row>
    <row r="821" spans="1:9">
      <c r="A821"/>
      <c r="B821"/>
      <c r="C821"/>
      <c r="D821"/>
      <c r="I821" s="5"/>
    </row>
    <row r="822" spans="1:9">
      <c r="A822"/>
      <c r="B822"/>
      <c r="C822"/>
      <c r="D822"/>
      <c r="I822" s="5"/>
    </row>
    <row r="823" spans="1:9">
      <c r="A823"/>
      <c r="B823"/>
      <c r="C823"/>
      <c r="D823"/>
      <c r="I823" s="5"/>
    </row>
    <row r="824" spans="1:9">
      <c r="A824"/>
      <c r="B824"/>
      <c r="C824"/>
      <c r="D824"/>
      <c r="I824" s="5"/>
    </row>
    <row r="825" spans="1:9">
      <c r="A825"/>
      <c r="B825"/>
      <c r="C825"/>
      <c r="D825"/>
      <c r="I825" s="5"/>
    </row>
    <row r="826" spans="1:9">
      <c r="A826"/>
      <c r="B826"/>
      <c r="C826"/>
      <c r="D826"/>
      <c r="I826" s="5"/>
    </row>
    <row r="827" spans="1:9">
      <c r="A827"/>
      <c r="B827"/>
      <c r="C827"/>
      <c r="D827"/>
      <c r="I827" s="5"/>
    </row>
    <row r="828" spans="1:9">
      <c r="A828"/>
      <c r="B828"/>
      <c r="C828"/>
      <c r="D828"/>
      <c r="I828" s="5"/>
    </row>
    <row r="829" spans="1:9">
      <c r="A829"/>
      <c r="B829"/>
      <c r="C829"/>
      <c r="D829"/>
      <c r="I829" s="5"/>
    </row>
    <row r="830" spans="1:9">
      <c r="A830"/>
      <c r="B830"/>
      <c r="C830"/>
      <c r="D830"/>
      <c r="I830" s="5"/>
    </row>
    <row r="831" spans="1:9">
      <c r="A831"/>
      <c r="B831"/>
      <c r="C831"/>
      <c r="D831"/>
      <c r="I831" s="5"/>
    </row>
    <row r="832" spans="1:9">
      <c r="A832"/>
      <c r="B832"/>
      <c r="C832"/>
      <c r="D832"/>
      <c r="I832" s="5"/>
    </row>
    <row r="833" spans="1:9">
      <c r="A833"/>
      <c r="B833"/>
      <c r="C833"/>
      <c r="D833"/>
      <c r="I833" s="5"/>
    </row>
    <row r="834" spans="1:9">
      <c r="A834"/>
      <c r="B834"/>
      <c r="C834"/>
      <c r="D834"/>
      <c r="I834" s="5"/>
    </row>
    <row r="835" spans="1:9">
      <c r="A835"/>
      <c r="B835"/>
      <c r="C835"/>
      <c r="D835"/>
      <c r="I835" s="5"/>
    </row>
    <row r="836" spans="1:9">
      <c r="A836"/>
      <c r="B836"/>
      <c r="C836"/>
      <c r="D836"/>
      <c r="I836" s="5"/>
    </row>
    <row r="837" spans="1:9">
      <c r="A837"/>
      <c r="B837"/>
      <c r="C837"/>
      <c r="D837"/>
      <c r="I837" s="5"/>
    </row>
    <row r="838" spans="1:9">
      <c r="A838"/>
      <c r="B838"/>
      <c r="C838"/>
      <c r="D838"/>
      <c r="I838" s="5"/>
    </row>
    <row r="839" spans="1:9">
      <c r="A839"/>
      <c r="B839"/>
      <c r="C839"/>
      <c r="D839"/>
      <c r="I839" s="5"/>
    </row>
    <row r="840" spans="1:9">
      <c r="A840"/>
      <c r="B840"/>
      <c r="C840"/>
      <c r="D840"/>
      <c r="I840" s="5"/>
    </row>
    <row r="841" spans="1:9">
      <c r="A841"/>
      <c r="B841"/>
      <c r="C841"/>
      <c r="D841"/>
      <c r="I841" s="5"/>
    </row>
    <row r="842" spans="1:9">
      <c r="A842"/>
      <c r="B842"/>
      <c r="C842"/>
      <c r="D842"/>
      <c r="I842" s="5"/>
    </row>
    <row r="843" spans="1:9">
      <c r="A843"/>
      <c r="B843"/>
      <c r="C843"/>
      <c r="D843"/>
      <c r="I843" s="5"/>
    </row>
    <row r="844" spans="1:9">
      <c r="A844"/>
      <c r="B844"/>
      <c r="C844"/>
      <c r="D844"/>
      <c r="I844" s="5"/>
    </row>
    <row r="845" spans="1:9">
      <c r="A845"/>
      <c r="B845"/>
      <c r="C845"/>
      <c r="D845"/>
      <c r="I845" s="5"/>
    </row>
    <row r="846" spans="1:9">
      <c r="A846"/>
      <c r="B846"/>
      <c r="C846"/>
      <c r="D846"/>
      <c r="I846" s="5"/>
    </row>
    <row r="847" spans="1:9">
      <c r="A847"/>
      <c r="B847"/>
      <c r="C847"/>
      <c r="D847"/>
      <c r="I847" s="5"/>
    </row>
    <row r="848" spans="1:9">
      <c r="A848"/>
      <c r="B848"/>
      <c r="C848"/>
      <c r="D848"/>
      <c r="I848" s="5"/>
    </row>
    <row r="849" spans="1:9">
      <c r="A849"/>
      <c r="B849"/>
      <c r="C849"/>
      <c r="D849"/>
      <c r="I849" s="5"/>
    </row>
    <row r="850" spans="1:9">
      <c r="A850"/>
      <c r="B850"/>
      <c r="C850"/>
      <c r="D850"/>
      <c r="I850" s="5"/>
    </row>
    <row r="851" spans="1:9">
      <c r="A851"/>
      <c r="B851"/>
      <c r="C851"/>
      <c r="D851"/>
      <c r="I851" s="5"/>
    </row>
    <row r="852" spans="1:9">
      <c r="A852"/>
      <c r="B852"/>
      <c r="C852"/>
      <c r="D852"/>
      <c r="I852" s="5"/>
    </row>
    <row r="853" spans="1:9">
      <c r="A853"/>
      <c r="B853"/>
      <c r="C853"/>
      <c r="D853"/>
      <c r="I853" s="5"/>
    </row>
    <row r="854" spans="1:9">
      <c r="A854"/>
      <c r="B854"/>
      <c r="C854"/>
      <c r="D854"/>
      <c r="I854" s="5"/>
    </row>
    <row r="855" spans="1:9">
      <c r="A855"/>
      <c r="B855"/>
      <c r="C855"/>
      <c r="D855"/>
      <c r="I855" s="5"/>
    </row>
    <row r="856" spans="1:9">
      <c r="A856"/>
      <c r="B856"/>
      <c r="C856"/>
      <c r="D856"/>
      <c r="I856" s="5"/>
    </row>
    <row r="857" spans="1:9">
      <c r="A857"/>
      <c r="B857"/>
      <c r="C857"/>
      <c r="D857"/>
      <c r="I857" s="5"/>
    </row>
    <row r="858" spans="1:9">
      <c r="A858"/>
      <c r="B858"/>
      <c r="C858"/>
      <c r="D858"/>
      <c r="I858" s="5"/>
    </row>
    <row r="859" spans="1:9">
      <c r="A859"/>
      <c r="B859"/>
      <c r="C859"/>
      <c r="D859"/>
      <c r="I859" s="5"/>
    </row>
    <row r="860" spans="1:9">
      <c r="A860"/>
      <c r="B860"/>
      <c r="C860"/>
      <c r="D860"/>
      <c r="I860" s="5"/>
    </row>
    <row r="861" spans="1:9">
      <c r="A861"/>
      <c r="B861"/>
      <c r="C861"/>
      <c r="D861"/>
      <c r="I861" s="5"/>
    </row>
    <row r="862" spans="1:9">
      <c r="A862"/>
      <c r="B862"/>
      <c r="C862"/>
      <c r="D862"/>
      <c r="I862" s="5"/>
    </row>
    <row r="863" spans="1:9">
      <c r="A863"/>
      <c r="B863"/>
      <c r="C863"/>
      <c r="D863"/>
      <c r="I863" s="5"/>
    </row>
    <row r="864" spans="1:9">
      <c r="A864"/>
      <c r="B864"/>
      <c r="C864"/>
      <c r="D864"/>
      <c r="I864" s="5"/>
    </row>
    <row r="865" spans="1:9">
      <c r="A865"/>
      <c r="B865"/>
      <c r="C865"/>
      <c r="D865"/>
      <c r="I865" s="5"/>
    </row>
    <row r="866" spans="1:9">
      <c r="A866"/>
      <c r="B866"/>
      <c r="C866"/>
      <c r="D866"/>
      <c r="I866" s="5"/>
    </row>
    <row r="867" spans="1:9">
      <c r="A867"/>
      <c r="B867"/>
      <c r="C867"/>
      <c r="D867"/>
      <c r="I867" s="5"/>
    </row>
    <row r="868" spans="1:9">
      <c r="A868"/>
      <c r="B868"/>
      <c r="C868"/>
      <c r="D868"/>
      <c r="I868" s="5"/>
    </row>
    <row r="869" spans="1:9">
      <c r="A869"/>
      <c r="B869"/>
      <c r="C869"/>
      <c r="D869"/>
      <c r="I869" s="5"/>
    </row>
    <row r="870" spans="1:9">
      <c r="A870"/>
      <c r="B870"/>
      <c r="C870"/>
      <c r="D870"/>
      <c r="I870" s="5"/>
    </row>
    <row r="871" spans="1:9">
      <c r="A871"/>
      <c r="B871"/>
      <c r="C871"/>
      <c r="D871"/>
      <c r="I871" s="5"/>
    </row>
    <row r="872" spans="1:9">
      <c r="A872"/>
      <c r="B872"/>
      <c r="C872"/>
      <c r="D872"/>
      <c r="I872" s="5"/>
    </row>
    <row r="873" spans="1:9">
      <c r="A873"/>
      <c r="B873"/>
      <c r="C873"/>
      <c r="D873"/>
      <c r="I873" s="5"/>
    </row>
    <row r="874" spans="1:9">
      <c r="A874"/>
      <c r="B874"/>
      <c r="C874"/>
      <c r="D874"/>
      <c r="I874" s="5"/>
    </row>
    <row r="875" spans="1:9">
      <c r="A875"/>
      <c r="B875"/>
      <c r="C875"/>
      <c r="D875"/>
      <c r="I875" s="5"/>
    </row>
    <row r="876" spans="1:9">
      <c r="A876"/>
      <c r="B876"/>
      <c r="C876"/>
      <c r="D876"/>
      <c r="I876" s="5"/>
    </row>
    <row r="877" spans="1:9">
      <c r="A877"/>
      <c r="B877"/>
      <c r="C877"/>
      <c r="D877"/>
      <c r="I877" s="5"/>
    </row>
    <row r="878" spans="1:9">
      <c r="A878"/>
      <c r="B878"/>
      <c r="C878"/>
      <c r="D878"/>
      <c r="I878" s="5"/>
    </row>
    <row r="879" spans="1:9">
      <c r="A879"/>
      <c r="B879"/>
      <c r="C879"/>
      <c r="D879"/>
      <c r="I879" s="5"/>
    </row>
    <row r="880" spans="1:9">
      <c r="A880"/>
      <c r="B880"/>
      <c r="C880"/>
      <c r="D880"/>
      <c r="I880" s="5"/>
    </row>
    <row r="881" spans="1:9">
      <c r="A881"/>
      <c r="B881"/>
      <c r="C881"/>
      <c r="D881"/>
      <c r="I881" s="5"/>
    </row>
    <row r="882" spans="1:9">
      <c r="A882"/>
      <c r="B882"/>
      <c r="C882"/>
      <c r="D882"/>
      <c r="I882" s="5"/>
    </row>
    <row r="883" spans="1:9">
      <c r="A883"/>
      <c r="B883"/>
      <c r="C883"/>
      <c r="D883"/>
      <c r="I883" s="5"/>
    </row>
    <row r="884" spans="1:9">
      <c r="A884"/>
      <c r="B884"/>
      <c r="C884"/>
      <c r="D884"/>
      <c r="I884" s="5"/>
    </row>
    <row r="885" spans="1:9">
      <c r="A885"/>
      <c r="B885"/>
      <c r="C885"/>
      <c r="D885"/>
      <c r="I885" s="5"/>
    </row>
    <row r="886" spans="1:9">
      <c r="A886"/>
      <c r="B886"/>
      <c r="C886"/>
      <c r="D886"/>
      <c r="I886" s="5"/>
    </row>
    <row r="887" spans="1:9">
      <c r="A887"/>
      <c r="B887"/>
      <c r="C887"/>
      <c r="D887"/>
      <c r="I887" s="5"/>
    </row>
    <row r="888" spans="1:9">
      <c r="A888"/>
      <c r="B888"/>
      <c r="C888"/>
      <c r="D888"/>
      <c r="I888" s="5"/>
    </row>
    <row r="889" spans="1:9">
      <c r="A889"/>
      <c r="B889"/>
      <c r="C889"/>
      <c r="D889"/>
      <c r="I889" s="5"/>
    </row>
    <row r="890" spans="1:9">
      <c r="A890"/>
      <c r="B890"/>
      <c r="C890"/>
      <c r="D890"/>
      <c r="I890" s="5"/>
    </row>
    <row r="891" spans="1:9">
      <c r="A891"/>
      <c r="B891"/>
      <c r="C891"/>
      <c r="D891"/>
      <c r="I891" s="5"/>
    </row>
    <row r="892" spans="1:9">
      <c r="A892"/>
      <c r="B892"/>
      <c r="C892"/>
      <c r="D892"/>
      <c r="I892" s="5"/>
    </row>
    <row r="893" spans="1:9">
      <c r="A893"/>
      <c r="B893"/>
      <c r="C893"/>
      <c r="D893"/>
      <c r="I893" s="5"/>
    </row>
    <row r="894" spans="1:9">
      <c r="A894"/>
      <c r="B894"/>
      <c r="C894"/>
      <c r="D894"/>
      <c r="I894" s="5"/>
    </row>
    <row r="895" spans="1:9">
      <c r="A895"/>
      <c r="B895"/>
      <c r="C895"/>
      <c r="D895"/>
      <c r="I895" s="5"/>
    </row>
    <row r="896" spans="1:9">
      <c r="A896"/>
      <c r="B896"/>
      <c r="C896"/>
      <c r="D896"/>
      <c r="I896" s="5"/>
    </row>
    <row r="897" spans="1:9">
      <c r="A897"/>
      <c r="B897"/>
      <c r="C897"/>
      <c r="D897"/>
      <c r="I897" s="5"/>
    </row>
    <row r="898" spans="1:9">
      <c r="A898"/>
      <c r="B898"/>
      <c r="C898"/>
      <c r="D898"/>
      <c r="I898" s="5"/>
    </row>
    <row r="899" spans="1:9">
      <c r="A899"/>
      <c r="B899"/>
      <c r="C899"/>
      <c r="D899"/>
      <c r="I899" s="5"/>
    </row>
    <row r="900" spans="1:9">
      <c r="A900"/>
      <c r="B900"/>
      <c r="C900"/>
      <c r="D900"/>
      <c r="I900" s="5"/>
    </row>
    <row r="901" spans="1:9">
      <c r="A901"/>
      <c r="B901"/>
      <c r="C901"/>
      <c r="D901"/>
      <c r="I901" s="5"/>
    </row>
    <row r="902" spans="1:9">
      <c r="A902"/>
      <c r="B902"/>
      <c r="C902"/>
      <c r="D902"/>
      <c r="I902" s="5"/>
    </row>
  </sheetData>
  <mergeCells count="7">
    <mergeCell ref="I1:I2"/>
    <mergeCell ref="A1:A2"/>
    <mergeCell ref="B1:C1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02"/>
  <sheetViews>
    <sheetView topLeftCell="A880" workbookViewId="0">
      <selection activeCell="B3" sqref="B3:C90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6.90625" style="4" bestFit="1" customWidth="1"/>
    <col min="5" max="5" width="9.81640625" style="4" bestFit="1" customWidth="1"/>
    <col min="6" max="6" width="17.1796875" style="4" bestFit="1" customWidth="1"/>
    <col min="7" max="7" width="13" style="4" bestFit="1" customWidth="1"/>
    <col min="8" max="8" width="6.81640625" style="4" bestFit="1" customWidth="1"/>
    <col min="9" max="9" width="17.08984375" style="4" bestFit="1" customWidth="1"/>
  </cols>
  <sheetData>
    <row r="1" spans="1:9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36</v>
      </c>
      <c r="H1" s="42" t="s">
        <v>11</v>
      </c>
      <c r="I1" s="42" t="s">
        <v>12</v>
      </c>
    </row>
    <row r="2" spans="1:9">
      <c r="A2" s="43"/>
      <c r="B2" s="20" t="s">
        <v>6</v>
      </c>
      <c r="C2" s="20" t="s">
        <v>8</v>
      </c>
      <c r="D2" s="12" t="s">
        <v>14</v>
      </c>
      <c r="E2" s="43"/>
      <c r="F2" s="43"/>
      <c r="G2" s="43"/>
      <c r="H2" s="43"/>
      <c r="I2" s="43"/>
    </row>
    <row r="3" spans="1:9">
      <c r="A3">
        <v>1</v>
      </c>
      <c r="B3">
        <v>233</v>
      </c>
      <c r="C3">
        <v>0</v>
      </c>
      <c r="D3">
        <v>233</v>
      </c>
      <c r="E3" s="4">
        <f>IF(AND(C3&lt;=B3*1.2,C3&gt;=B3*0.8),1,0)</f>
        <v>0</v>
      </c>
      <c r="F3" s="4">
        <f>ABS(B3-C3)</f>
        <v>233</v>
      </c>
      <c r="G3" s="4">
        <f>POWER(ABS(B3-C3)/B3,2)</f>
        <v>1</v>
      </c>
      <c r="H3" s="4">
        <f>POWER(F3,2)</f>
        <v>54289</v>
      </c>
      <c r="I3" s="5">
        <f>SQRT(SUM('p-native-multi'!$C$3:C3)/COUNTIF($A$3:A3,"&lt;&gt;0"))</f>
        <v>0</v>
      </c>
    </row>
    <row r="4" spans="1:9">
      <c r="A4">
        <v>2</v>
      </c>
      <c r="B4">
        <v>233</v>
      </c>
      <c r="C4">
        <v>237</v>
      </c>
      <c r="D4">
        <v>233</v>
      </c>
      <c r="E4" s="4">
        <f t="shared" ref="E4:E67" si="0">IF(AND(C4&lt;=B4*1.2,C4&gt;=B4*0.8),1,0)</f>
        <v>1</v>
      </c>
      <c r="F4" s="4">
        <f t="shared" ref="F4:F67" si="1">ABS(B4-C4)</f>
        <v>4</v>
      </c>
      <c r="G4" s="4">
        <f t="shared" ref="G4:G67" si="2">POWER(ABS(B4-C4)/B4,2)</f>
        <v>2.94719003849767E-4</v>
      </c>
      <c r="H4" s="4">
        <f t="shared" ref="H4:H67" si="3">POWER(F4,2)</f>
        <v>16</v>
      </c>
      <c r="I4" s="5">
        <f>SQRT(SUM('p-native-multi'!$C$3:C4)/COUNTIF($A$3:A4,"&lt;&gt;0"))</f>
        <v>10.88577052853862</v>
      </c>
    </row>
    <row r="5" spans="1:9">
      <c r="A5">
        <v>3</v>
      </c>
      <c r="B5">
        <v>233</v>
      </c>
      <c r="C5">
        <v>233</v>
      </c>
      <c r="D5">
        <v>233</v>
      </c>
      <c r="E5" s="4">
        <f t="shared" si="0"/>
        <v>1</v>
      </c>
      <c r="F5" s="4">
        <f t="shared" si="1"/>
        <v>0</v>
      </c>
      <c r="G5" s="4">
        <f t="shared" si="2"/>
        <v>0</v>
      </c>
      <c r="H5" s="4">
        <f t="shared" si="3"/>
        <v>0</v>
      </c>
      <c r="I5" s="5">
        <f>SQRT(SUM('p-native-multi'!$C$3:C5)/COUNTIF($A$3:A5,"&lt;&gt;0"))</f>
        <v>12.516655570345725</v>
      </c>
    </row>
    <row r="6" spans="1:9">
      <c r="A6">
        <v>4</v>
      </c>
      <c r="B6">
        <v>233</v>
      </c>
      <c r="C6">
        <v>253</v>
      </c>
      <c r="D6">
        <v>233</v>
      </c>
      <c r="E6" s="4">
        <f t="shared" si="0"/>
        <v>1</v>
      </c>
      <c r="F6" s="4">
        <f t="shared" si="1"/>
        <v>20</v>
      </c>
      <c r="G6" s="4">
        <f t="shared" si="2"/>
        <v>7.3679750962441747E-3</v>
      </c>
      <c r="H6" s="4">
        <f t="shared" si="3"/>
        <v>400</v>
      </c>
      <c r="I6" s="5">
        <f>SQRT(SUM('p-native-multi'!$C$3:C6)/COUNTIF($A$3:A6,"&lt;&gt;0"))</f>
        <v>13.444329659748751</v>
      </c>
    </row>
    <row r="7" spans="1:9">
      <c r="A7">
        <v>5</v>
      </c>
      <c r="B7">
        <v>233</v>
      </c>
      <c r="C7">
        <v>206</v>
      </c>
      <c r="D7">
        <v>233</v>
      </c>
      <c r="E7" s="4">
        <f t="shared" si="0"/>
        <v>1</v>
      </c>
      <c r="F7" s="4">
        <f t="shared" si="1"/>
        <v>27</v>
      </c>
      <c r="G7" s="4">
        <f t="shared" si="2"/>
        <v>1.3428134612905008E-2</v>
      </c>
      <c r="H7" s="4">
        <f t="shared" si="3"/>
        <v>729</v>
      </c>
      <c r="I7" s="5">
        <f>SQRT(SUM('p-native-multi'!$C$3:C7)/COUNTIF($A$3:A7,"&lt;&gt;0"))</f>
        <v>13.63084736911099</v>
      </c>
    </row>
    <row r="8" spans="1:9">
      <c r="A8">
        <v>6</v>
      </c>
      <c r="B8">
        <v>233</v>
      </c>
      <c r="C8">
        <v>246</v>
      </c>
      <c r="D8">
        <v>233</v>
      </c>
      <c r="E8" s="4">
        <f t="shared" si="0"/>
        <v>1</v>
      </c>
      <c r="F8" s="4">
        <f t="shared" si="1"/>
        <v>13</v>
      </c>
      <c r="G8" s="4">
        <f t="shared" si="2"/>
        <v>3.1129694781631642E-3</v>
      </c>
      <c r="H8" s="4">
        <f t="shared" si="3"/>
        <v>169</v>
      </c>
      <c r="I8" s="5">
        <f>SQRT(SUM('p-native-multi'!$C$3:C8)/COUNTIF($A$3:A8,"&lt;&gt;0"))</f>
        <v>13.994046353122222</v>
      </c>
    </row>
    <row r="9" spans="1:9">
      <c r="A9">
        <v>7</v>
      </c>
      <c r="B9">
        <v>233</v>
      </c>
      <c r="C9">
        <v>246</v>
      </c>
      <c r="D9">
        <v>233</v>
      </c>
      <c r="E9" s="4">
        <f t="shared" si="0"/>
        <v>1</v>
      </c>
      <c r="F9" s="4">
        <f t="shared" si="1"/>
        <v>13</v>
      </c>
      <c r="G9" s="4">
        <f t="shared" si="2"/>
        <v>3.1129694781631642E-3</v>
      </c>
      <c r="H9" s="4">
        <f t="shared" si="3"/>
        <v>169</v>
      </c>
      <c r="I9" s="5">
        <f>SQRT(SUM('p-native-multi'!$C$3:C9)/COUNTIF($A$3:A9,"&lt;&gt;0"))</f>
        <v>14.247806848775006</v>
      </c>
    </row>
    <row r="10" spans="1:9">
      <c r="A10">
        <v>8</v>
      </c>
      <c r="B10">
        <v>233</v>
      </c>
      <c r="C10">
        <v>233</v>
      </c>
      <c r="D10">
        <v>233</v>
      </c>
      <c r="E10" s="4">
        <f t="shared" si="0"/>
        <v>1</v>
      </c>
      <c r="F10" s="4">
        <f t="shared" si="1"/>
        <v>0</v>
      </c>
      <c r="G10" s="4">
        <f t="shared" si="2"/>
        <v>0</v>
      </c>
      <c r="H10" s="4">
        <f t="shared" si="3"/>
        <v>0</v>
      </c>
      <c r="I10" s="5">
        <f>SQRT(SUM('p-native-multi'!$C$3:C10)/COUNTIF($A$3:A10,"&lt;&gt;0"))</f>
        <v>14.378803844548406</v>
      </c>
    </row>
    <row r="11" spans="1:9">
      <c r="A11">
        <v>9</v>
      </c>
      <c r="B11">
        <v>233</v>
      </c>
      <c r="C11">
        <v>266</v>
      </c>
      <c r="D11">
        <v>233</v>
      </c>
      <c r="E11" s="4">
        <f t="shared" si="0"/>
        <v>1</v>
      </c>
      <c r="F11" s="4">
        <f t="shared" si="1"/>
        <v>33</v>
      </c>
      <c r="G11" s="4">
        <f t="shared" si="2"/>
        <v>2.0059312199524768E-2</v>
      </c>
      <c r="H11" s="4">
        <f t="shared" si="3"/>
        <v>1089</v>
      </c>
      <c r="I11" s="5">
        <f>SQRT(SUM('p-native-multi'!$C$3:C11)/COUNTIF($A$3:A11,"&lt;&gt;0"))</f>
        <v>14.60593486680443</v>
      </c>
    </row>
    <row r="12" spans="1:9">
      <c r="A12">
        <v>10</v>
      </c>
      <c r="B12">
        <v>233</v>
      </c>
      <c r="C12">
        <v>246</v>
      </c>
      <c r="D12">
        <v>233</v>
      </c>
      <c r="E12" s="4">
        <f t="shared" si="0"/>
        <v>1</v>
      </c>
      <c r="F12" s="4">
        <f t="shared" si="1"/>
        <v>13</v>
      </c>
      <c r="G12" s="4">
        <f t="shared" si="2"/>
        <v>3.1129694781631642E-3</v>
      </c>
      <c r="H12" s="4">
        <f t="shared" si="3"/>
        <v>169</v>
      </c>
      <c r="I12" s="5">
        <f>SQRT(SUM('p-native-multi'!$C$3:C12)/COUNTIF($A$3:A12,"&lt;&gt;0"))</f>
        <v>14.717336715588184</v>
      </c>
    </row>
    <row r="13" spans="1:9">
      <c r="A13">
        <v>11</v>
      </c>
      <c r="B13">
        <v>233</v>
      </c>
      <c r="C13">
        <v>246</v>
      </c>
      <c r="D13">
        <v>233</v>
      </c>
      <c r="E13" s="4">
        <f t="shared" si="0"/>
        <v>1</v>
      </c>
      <c r="F13" s="4">
        <f t="shared" si="1"/>
        <v>13</v>
      </c>
      <c r="G13" s="4">
        <f t="shared" si="2"/>
        <v>3.1129694781631642E-3</v>
      </c>
      <c r="H13" s="4">
        <f t="shared" si="3"/>
        <v>169</v>
      </c>
      <c r="I13" s="5">
        <f>SQRT(SUM('p-native-multi'!$C$3:C13)/COUNTIF($A$3:A13,"&lt;&gt;0"))</f>
        <v>14.807860320543522</v>
      </c>
    </row>
    <row r="14" spans="1:9">
      <c r="A14">
        <v>12</v>
      </c>
      <c r="B14">
        <v>233</v>
      </c>
      <c r="C14">
        <v>206</v>
      </c>
      <c r="D14">
        <v>233</v>
      </c>
      <c r="E14" s="4">
        <f t="shared" si="0"/>
        <v>1</v>
      </c>
      <c r="F14" s="4">
        <f t="shared" si="1"/>
        <v>27</v>
      </c>
      <c r="G14" s="4">
        <f t="shared" si="2"/>
        <v>1.3428134612905008E-2</v>
      </c>
      <c r="H14" s="4">
        <f t="shared" si="3"/>
        <v>729</v>
      </c>
      <c r="I14" s="5">
        <f>SQRT(SUM('p-native-multi'!$C$3:C14)/COUNTIF($A$3:A14,"&lt;&gt;0"))</f>
        <v>14.770466027403018</v>
      </c>
    </row>
    <row r="15" spans="1:9">
      <c r="A15">
        <v>13</v>
      </c>
      <c r="B15">
        <v>233</v>
      </c>
      <c r="C15">
        <v>233</v>
      </c>
      <c r="D15">
        <v>233</v>
      </c>
      <c r="E15" s="4">
        <f t="shared" si="0"/>
        <v>1</v>
      </c>
      <c r="F15" s="4">
        <f t="shared" si="1"/>
        <v>0</v>
      </c>
      <c r="G15" s="4">
        <f t="shared" si="2"/>
        <v>0</v>
      </c>
      <c r="H15" s="4">
        <f t="shared" si="3"/>
        <v>0</v>
      </c>
      <c r="I15" s="5">
        <f>SQRT(SUM('p-native-multi'!$C$3:C15)/COUNTIF($A$3:A15,"&lt;&gt;0"))</f>
        <v>14.809040897630485</v>
      </c>
    </row>
    <row r="16" spans="1:9">
      <c r="A16">
        <v>14</v>
      </c>
      <c r="B16">
        <v>233</v>
      </c>
      <c r="C16">
        <v>266</v>
      </c>
      <c r="D16">
        <v>233</v>
      </c>
      <c r="E16" s="4">
        <f t="shared" si="0"/>
        <v>1</v>
      </c>
      <c r="F16" s="4">
        <f t="shared" si="1"/>
        <v>33</v>
      </c>
      <c r="G16" s="4">
        <f t="shared" si="2"/>
        <v>2.0059312199524768E-2</v>
      </c>
      <c r="H16" s="4">
        <f t="shared" si="3"/>
        <v>1089</v>
      </c>
      <c r="I16" s="5">
        <f>SQRT(SUM('p-native-multi'!$C$3:C16)/COUNTIF($A$3:A16,"&lt;&gt;0"))</f>
        <v>14.9212217040984</v>
      </c>
    </row>
    <row r="17" spans="1:9">
      <c r="A17">
        <v>15</v>
      </c>
      <c r="B17">
        <v>233</v>
      </c>
      <c r="C17">
        <v>246</v>
      </c>
      <c r="D17">
        <v>233</v>
      </c>
      <c r="E17" s="4">
        <f t="shared" si="0"/>
        <v>1</v>
      </c>
      <c r="F17" s="4">
        <f t="shared" si="1"/>
        <v>13</v>
      </c>
      <c r="G17" s="4">
        <f t="shared" si="2"/>
        <v>3.1129694781631642E-3</v>
      </c>
      <c r="H17" s="4">
        <f t="shared" si="3"/>
        <v>169</v>
      </c>
      <c r="I17" s="5">
        <f>SQRT(SUM('p-native-multi'!$C$3:C17)/COUNTIF($A$3:A17,"&lt;&gt;0"))</f>
        <v>14.973309587395834</v>
      </c>
    </row>
    <row r="18" spans="1:9">
      <c r="A18">
        <v>16</v>
      </c>
      <c r="B18">
        <v>233</v>
      </c>
      <c r="C18">
        <v>159</v>
      </c>
      <c r="D18">
        <v>233</v>
      </c>
      <c r="E18" s="4">
        <f t="shared" si="0"/>
        <v>0</v>
      </c>
      <c r="F18" s="4">
        <f t="shared" si="1"/>
        <v>74</v>
      </c>
      <c r="G18" s="4">
        <f t="shared" si="2"/>
        <v>0.10086757906758274</v>
      </c>
      <c r="H18" s="4">
        <f t="shared" si="3"/>
        <v>5476</v>
      </c>
      <c r="I18" s="5">
        <f>SQRT(SUM('p-native-multi'!$C$3:C18)/COUNTIF($A$3:A18,"&lt;&gt;0"))</f>
        <v>14.83661012495779</v>
      </c>
    </row>
    <row r="19" spans="1:9">
      <c r="A19">
        <v>17</v>
      </c>
      <c r="B19">
        <v>233</v>
      </c>
      <c r="C19">
        <v>246</v>
      </c>
      <c r="D19">
        <v>233</v>
      </c>
      <c r="E19" s="4">
        <f t="shared" si="0"/>
        <v>1</v>
      </c>
      <c r="F19" s="4">
        <f t="shared" si="1"/>
        <v>13</v>
      </c>
      <c r="G19" s="4">
        <f t="shared" si="2"/>
        <v>3.1129694781631642E-3</v>
      </c>
      <c r="H19" s="4">
        <f t="shared" si="3"/>
        <v>169</v>
      </c>
      <c r="I19" s="5">
        <f>SQRT(SUM('p-native-multi'!$C$3:C19)/COUNTIF($A$3:A19,"&lt;&gt;0"))</f>
        <v>14.887815784174972</v>
      </c>
    </row>
    <row r="20" spans="1:9">
      <c r="A20">
        <v>18</v>
      </c>
      <c r="B20">
        <v>233</v>
      </c>
      <c r="C20">
        <v>246</v>
      </c>
      <c r="D20">
        <v>233</v>
      </c>
      <c r="E20" s="4">
        <f t="shared" si="0"/>
        <v>1</v>
      </c>
      <c r="F20" s="4">
        <f t="shared" si="1"/>
        <v>13</v>
      </c>
      <c r="G20" s="4">
        <f t="shared" si="2"/>
        <v>3.1129694781631642E-3</v>
      </c>
      <c r="H20" s="4">
        <f t="shared" si="3"/>
        <v>169</v>
      </c>
      <c r="I20" s="5">
        <f>SQRT(SUM('p-native-multi'!$C$3:C20)/COUNTIF($A$3:A20,"&lt;&gt;0"))</f>
        <v>14.933184523068078</v>
      </c>
    </row>
    <row r="21" spans="1:9">
      <c r="A21">
        <v>19</v>
      </c>
      <c r="B21">
        <v>233</v>
      </c>
      <c r="C21">
        <v>206</v>
      </c>
      <c r="D21">
        <v>233</v>
      </c>
      <c r="E21" s="4">
        <f t="shared" si="0"/>
        <v>1</v>
      </c>
      <c r="F21" s="4">
        <f t="shared" si="1"/>
        <v>27</v>
      </c>
      <c r="G21" s="4">
        <f t="shared" si="2"/>
        <v>1.3428134612905008E-2</v>
      </c>
      <c r="H21" s="4">
        <f t="shared" si="3"/>
        <v>729</v>
      </c>
      <c r="I21" s="5">
        <f>SQRT(SUM('p-native-multi'!$C$3:C21)/COUNTIF($A$3:A21,"&lt;&gt;0"))</f>
        <v>14.903196407411892</v>
      </c>
    </row>
    <row r="22" spans="1:9">
      <c r="A22">
        <v>20</v>
      </c>
      <c r="B22">
        <v>233</v>
      </c>
      <c r="C22">
        <v>233</v>
      </c>
      <c r="D22">
        <v>233</v>
      </c>
      <c r="E22" s="4">
        <f t="shared" si="0"/>
        <v>1</v>
      </c>
      <c r="F22" s="4">
        <f t="shared" si="1"/>
        <v>0</v>
      </c>
      <c r="G22" s="4">
        <f t="shared" si="2"/>
        <v>0</v>
      </c>
      <c r="H22" s="4">
        <f t="shared" si="3"/>
        <v>0</v>
      </c>
      <c r="I22" s="5">
        <f>SQRT(SUM('p-native-multi'!$C$3:C22)/COUNTIF($A$3:A22,"&lt;&gt;0"))</f>
        <v>14.921461054467823</v>
      </c>
    </row>
    <row r="23" spans="1:9">
      <c r="A23">
        <v>21</v>
      </c>
      <c r="B23">
        <v>233</v>
      </c>
      <c r="C23">
        <v>266</v>
      </c>
      <c r="D23">
        <v>233</v>
      </c>
      <c r="E23" s="4">
        <f t="shared" si="0"/>
        <v>1</v>
      </c>
      <c r="F23" s="4">
        <f t="shared" si="1"/>
        <v>33</v>
      </c>
      <c r="G23" s="4">
        <f t="shared" si="2"/>
        <v>2.0059312199524768E-2</v>
      </c>
      <c r="H23" s="4">
        <f t="shared" si="3"/>
        <v>1089</v>
      </c>
      <c r="I23" s="5">
        <f>SQRT(SUM('p-native-multi'!$C$3:C23)/COUNTIF($A$3:A23,"&lt;&gt;0"))</f>
        <v>14.990473165123431</v>
      </c>
    </row>
    <row r="24" spans="1:9">
      <c r="A24">
        <v>22</v>
      </c>
      <c r="B24">
        <v>233</v>
      </c>
      <c r="C24">
        <v>246</v>
      </c>
      <c r="D24">
        <v>233</v>
      </c>
      <c r="E24" s="4">
        <f t="shared" si="0"/>
        <v>1</v>
      </c>
      <c r="F24" s="4">
        <f t="shared" si="1"/>
        <v>13</v>
      </c>
      <c r="G24" s="4">
        <f t="shared" si="2"/>
        <v>3.1129694781631642E-3</v>
      </c>
      <c r="H24" s="4">
        <f t="shared" si="3"/>
        <v>169</v>
      </c>
      <c r="I24" s="5">
        <f>SQRT(SUM('p-native-multi'!$C$3:C24)/COUNTIF($A$3:A24,"&lt;&gt;0"))</f>
        <v>15.022710081134434</v>
      </c>
    </row>
    <row r="25" spans="1:9">
      <c r="A25">
        <v>23</v>
      </c>
      <c r="B25">
        <v>233</v>
      </c>
      <c r="C25">
        <v>253</v>
      </c>
      <c r="D25">
        <v>233</v>
      </c>
      <c r="E25" s="4">
        <f t="shared" si="0"/>
        <v>1</v>
      </c>
      <c r="F25" s="4">
        <f t="shared" si="1"/>
        <v>20</v>
      </c>
      <c r="G25" s="4">
        <f t="shared" si="2"/>
        <v>7.3679750962441747E-3</v>
      </c>
      <c r="H25" s="4">
        <f t="shared" si="3"/>
        <v>400</v>
      </c>
      <c r="I25" s="5">
        <f>SQRT(SUM('p-native-multi'!$C$3:C25)/COUNTIF($A$3:A25,"&lt;&gt;0"))</f>
        <v>15.06218992103709</v>
      </c>
    </row>
    <row r="26" spans="1:9">
      <c r="A26">
        <v>24</v>
      </c>
      <c r="B26">
        <v>233</v>
      </c>
      <c r="C26">
        <v>233</v>
      </c>
      <c r="D26">
        <v>233</v>
      </c>
      <c r="E26" s="4">
        <f t="shared" si="0"/>
        <v>1</v>
      </c>
      <c r="F26" s="4">
        <f t="shared" si="1"/>
        <v>0</v>
      </c>
      <c r="G26" s="4">
        <f t="shared" si="2"/>
        <v>0</v>
      </c>
      <c r="H26" s="4">
        <f t="shared" si="3"/>
        <v>0</v>
      </c>
      <c r="I26" s="5">
        <f>SQRT(SUM('p-native-multi'!$C$3:C26)/COUNTIF($A$3:A26,"&lt;&gt;0"))</f>
        <v>15.070666873101535</v>
      </c>
    </row>
    <row r="27" spans="1:9">
      <c r="A27">
        <v>25</v>
      </c>
      <c r="B27">
        <v>233</v>
      </c>
      <c r="C27">
        <v>266</v>
      </c>
      <c r="D27">
        <v>233</v>
      </c>
      <c r="E27" s="4">
        <f t="shared" si="0"/>
        <v>1</v>
      </c>
      <c r="F27" s="4">
        <f t="shared" si="1"/>
        <v>33</v>
      </c>
      <c r="G27" s="4">
        <f t="shared" si="2"/>
        <v>2.0059312199524768E-2</v>
      </c>
      <c r="H27" s="4">
        <f t="shared" si="3"/>
        <v>1089</v>
      </c>
      <c r="I27" s="5">
        <f>SQRT(SUM('p-native-multi'!$C$3:C27)/COUNTIF($A$3:A27,"&lt;&gt;0"))</f>
        <v>15.122169156572744</v>
      </c>
    </row>
    <row r="28" spans="1:9">
      <c r="A28">
        <v>26</v>
      </c>
      <c r="B28">
        <v>233</v>
      </c>
      <c r="C28">
        <v>246</v>
      </c>
      <c r="D28">
        <v>233</v>
      </c>
      <c r="E28" s="4">
        <f t="shared" si="0"/>
        <v>1</v>
      </c>
      <c r="F28" s="4">
        <f t="shared" si="1"/>
        <v>13</v>
      </c>
      <c r="G28" s="4">
        <f t="shared" si="2"/>
        <v>3.1129694781631642E-3</v>
      </c>
      <c r="H28" s="4">
        <f t="shared" si="3"/>
        <v>169</v>
      </c>
      <c r="I28" s="5">
        <f>SQRT(SUM('p-native-multi'!$C$3:C28)/COUNTIF($A$3:A28,"&lt;&gt;0"))</f>
        <v>15.144178876589971</v>
      </c>
    </row>
    <row r="29" spans="1:9">
      <c r="A29">
        <v>27</v>
      </c>
      <c r="B29">
        <v>233</v>
      </c>
      <c r="C29">
        <v>159</v>
      </c>
      <c r="D29">
        <v>233</v>
      </c>
      <c r="E29" s="4">
        <f t="shared" si="0"/>
        <v>0</v>
      </c>
      <c r="F29" s="4">
        <f t="shared" si="1"/>
        <v>74</v>
      </c>
      <c r="G29" s="4">
        <f t="shared" si="2"/>
        <v>0.10086757906758274</v>
      </c>
      <c r="H29" s="4">
        <f t="shared" si="3"/>
        <v>5476</v>
      </c>
      <c r="I29" s="5">
        <f>SQRT(SUM('p-native-multi'!$C$3:C29)/COUNTIF($A$3:A29,"&lt;&gt;0"))</f>
        <v>15.057912894579406</v>
      </c>
    </row>
    <row r="30" spans="1:9">
      <c r="A30">
        <v>28</v>
      </c>
      <c r="B30">
        <v>233</v>
      </c>
      <c r="C30">
        <v>246</v>
      </c>
      <c r="D30">
        <v>233</v>
      </c>
      <c r="E30" s="4">
        <f t="shared" si="0"/>
        <v>1</v>
      </c>
      <c r="F30" s="4">
        <f t="shared" si="1"/>
        <v>13</v>
      </c>
      <c r="G30" s="4">
        <f t="shared" si="2"/>
        <v>3.1129694781631642E-3</v>
      </c>
      <c r="H30" s="4">
        <f t="shared" si="3"/>
        <v>169</v>
      </c>
      <c r="I30" s="5">
        <f>SQRT(SUM('p-native-multi'!$C$3:C30)/COUNTIF($A$3:A30,"&lt;&gt;0"))</f>
        <v>15.08073510902474</v>
      </c>
    </row>
    <row r="31" spans="1:9">
      <c r="A31">
        <v>29</v>
      </c>
      <c r="B31">
        <v>233</v>
      </c>
      <c r="C31">
        <v>233</v>
      </c>
      <c r="D31">
        <v>233</v>
      </c>
      <c r="E31" s="4">
        <f t="shared" si="0"/>
        <v>1</v>
      </c>
      <c r="F31" s="4">
        <f t="shared" si="1"/>
        <v>0</v>
      </c>
      <c r="G31" s="4">
        <f t="shared" si="2"/>
        <v>0</v>
      </c>
      <c r="H31" s="4">
        <f t="shared" si="3"/>
        <v>0</v>
      </c>
      <c r="I31" s="5">
        <f>SQRT(SUM('p-native-multi'!$C$3:C31)/COUNTIF($A$3:A31,"&lt;&gt;0"))</f>
        <v>15.087103421637051</v>
      </c>
    </row>
    <row r="32" spans="1:9">
      <c r="A32">
        <v>30</v>
      </c>
      <c r="B32">
        <v>233</v>
      </c>
      <c r="C32">
        <v>206</v>
      </c>
      <c r="D32">
        <v>233</v>
      </c>
      <c r="E32" s="4">
        <f t="shared" si="0"/>
        <v>1</v>
      </c>
      <c r="F32" s="4">
        <f t="shared" si="1"/>
        <v>27</v>
      </c>
      <c r="G32" s="4">
        <f t="shared" si="2"/>
        <v>1.3428134612905008E-2</v>
      </c>
      <c r="H32" s="4">
        <f t="shared" si="3"/>
        <v>729</v>
      </c>
      <c r="I32" s="5">
        <f>SQRT(SUM('p-native-multi'!$C$3:C32)/COUNTIF($A$3:A32,"&lt;&gt;0"))</f>
        <v>15.063200191194433</v>
      </c>
    </row>
    <row r="33" spans="1:9">
      <c r="A33">
        <v>31</v>
      </c>
      <c r="B33">
        <v>233</v>
      </c>
      <c r="C33">
        <v>206</v>
      </c>
      <c r="D33">
        <v>233</v>
      </c>
      <c r="E33" s="4">
        <f t="shared" si="0"/>
        <v>1</v>
      </c>
      <c r="F33" s="4">
        <f t="shared" si="1"/>
        <v>27</v>
      </c>
      <c r="G33" s="4">
        <f t="shared" si="2"/>
        <v>1.3428134612905008E-2</v>
      </c>
      <c r="H33" s="4">
        <f t="shared" si="3"/>
        <v>729</v>
      </c>
      <c r="I33" s="5">
        <f>SQRT(SUM('p-native-multi'!$C$3:C33)/COUNTIF($A$3:A33,"&lt;&gt;0"))</f>
        <v>15.040804714230315</v>
      </c>
    </row>
    <row r="34" spans="1:9">
      <c r="A34">
        <v>32</v>
      </c>
      <c r="B34">
        <v>233</v>
      </c>
      <c r="C34">
        <v>206</v>
      </c>
      <c r="D34">
        <v>233</v>
      </c>
      <c r="E34" s="4">
        <f t="shared" si="0"/>
        <v>1</v>
      </c>
      <c r="F34" s="4">
        <f t="shared" si="1"/>
        <v>27</v>
      </c>
      <c r="G34" s="4">
        <f t="shared" si="2"/>
        <v>1.3428134612905008E-2</v>
      </c>
      <c r="H34" s="4">
        <f t="shared" si="3"/>
        <v>729</v>
      </c>
      <c r="I34" s="5">
        <f>SQRT(SUM('p-native-multi'!$C$3:C34)/COUNTIF($A$3:A34,"&lt;&gt;0"))</f>
        <v>15.01977862686398</v>
      </c>
    </row>
    <row r="35" spans="1:9">
      <c r="A35">
        <v>33</v>
      </c>
      <c r="B35">
        <v>233</v>
      </c>
      <c r="C35">
        <v>233</v>
      </c>
      <c r="D35">
        <v>233</v>
      </c>
      <c r="E35" s="4">
        <f t="shared" si="0"/>
        <v>1</v>
      </c>
      <c r="F35" s="4">
        <f t="shared" si="1"/>
        <v>0</v>
      </c>
      <c r="G35" s="4">
        <f t="shared" si="2"/>
        <v>0</v>
      </c>
      <c r="H35" s="4">
        <f t="shared" si="3"/>
        <v>0</v>
      </c>
      <c r="I35" s="5">
        <f>SQRT(SUM('p-native-multi'!$C$3:C35)/COUNTIF($A$3:A35,"&lt;&gt;0"))</f>
        <v>15.027247978860993</v>
      </c>
    </row>
    <row r="36" spans="1:9">
      <c r="A36">
        <v>34</v>
      </c>
      <c r="B36">
        <v>233</v>
      </c>
      <c r="C36">
        <v>266</v>
      </c>
      <c r="D36">
        <v>233</v>
      </c>
      <c r="E36" s="4">
        <f t="shared" si="0"/>
        <v>1</v>
      </c>
      <c r="F36" s="4">
        <f t="shared" si="1"/>
        <v>33</v>
      </c>
      <c r="G36" s="4">
        <f t="shared" si="2"/>
        <v>2.0059312199524768E-2</v>
      </c>
      <c r="H36" s="4">
        <f t="shared" si="3"/>
        <v>1089</v>
      </c>
      <c r="I36" s="5">
        <f>SQRT(SUM('p-native-multi'!$C$3:C36)/COUNTIF($A$3:A36,"&lt;&gt;0"))</f>
        <v>15.066519173319364</v>
      </c>
    </row>
    <row r="37" spans="1:9">
      <c r="A37">
        <v>35</v>
      </c>
      <c r="B37">
        <v>233</v>
      </c>
      <c r="C37">
        <v>246</v>
      </c>
      <c r="D37">
        <v>233</v>
      </c>
      <c r="E37" s="4">
        <f t="shared" si="0"/>
        <v>1</v>
      </c>
      <c r="F37" s="4">
        <f t="shared" si="1"/>
        <v>13</v>
      </c>
      <c r="G37" s="4">
        <f t="shared" si="2"/>
        <v>3.1129694781631642E-3</v>
      </c>
      <c r="H37" s="4">
        <f t="shared" si="3"/>
        <v>169</v>
      </c>
      <c r="I37" s="5">
        <f>SQRT(SUM('p-native-multi'!$C$3:C37)/COUNTIF($A$3:A37,"&lt;&gt;0"))</f>
        <v>15.084523762547398</v>
      </c>
    </row>
    <row r="38" spans="1:9">
      <c r="A38">
        <v>36</v>
      </c>
      <c r="B38">
        <v>233</v>
      </c>
      <c r="C38">
        <v>206</v>
      </c>
      <c r="D38">
        <v>233</v>
      </c>
      <c r="E38" s="4">
        <f t="shared" si="0"/>
        <v>1</v>
      </c>
      <c r="F38" s="4">
        <f t="shared" si="1"/>
        <v>27</v>
      </c>
      <c r="G38" s="4">
        <f t="shared" si="2"/>
        <v>1.3428134612905008E-2</v>
      </c>
      <c r="H38" s="4">
        <f t="shared" si="3"/>
        <v>729</v>
      </c>
      <c r="I38" s="5">
        <f>SQRT(SUM('p-native-multi'!$C$3:C38)/COUNTIF($A$3:A38,"&lt;&gt;0"))</f>
        <v>15.064675384635557</v>
      </c>
    </row>
    <row r="39" spans="1:9">
      <c r="A39">
        <v>37</v>
      </c>
      <c r="B39">
        <v>233</v>
      </c>
      <c r="C39">
        <v>279</v>
      </c>
      <c r="D39">
        <v>233</v>
      </c>
      <c r="E39" s="4">
        <f t="shared" si="0"/>
        <v>1</v>
      </c>
      <c r="F39" s="4">
        <f t="shared" si="1"/>
        <v>46</v>
      </c>
      <c r="G39" s="4">
        <f t="shared" si="2"/>
        <v>3.8976588259131681E-2</v>
      </c>
      <c r="H39" s="4">
        <f t="shared" si="3"/>
        <v>2116</v>
      </c>
      <c r="I39" s="5">
        <f>SQRT(SUM('p-native-multi'!$C$3:C39)/COUNTIF($A$3:A39,"&lt;&gt;0"))</f>
        <v>15.111298797633225</v>
      </c>
    </row>
    <row r="40" spans="1:9">
      <c r="A40">
        <v>38</v>
      </c>
      <c r="B40">
        <v>233</v>
      </c>
      <c r="C40">
        <v>199</v>
      </c>
      <c r="D40">
        <v>233</v>
      </c>
      <c r="E40" s="4">
        <f t="shared" si="0"/>
        <v>1</v>
      </c>
      <c r="F40" s="4">
        <f t="shared" si="1"/>
        <v>34</v>
      </c>
      <c r="G40" s="4">
        <f t="shared" si="2"/>
        <v>2.1293448028145666E-2</v>
      </c>
      <c r="H40" s="4">
        <f t="shared" si="3"/>
        <v>1156</v>
      </c>
      <c r="I40" s="5">
        <f>SQRT(SUM('p-native-multi'!$C$3:C40)/COUNTIF($A$3:A40,"&lt;&gt;0"))</f>
        <v>15.085719981771538</v>
      </c>
    </row>
    <row r="41" spans="1:9">
      <c r="A41">
        <v>39</v>
      </c>
      <c r="B41">
        <v>233</v>
      </c>
      <c r="C41">
        <v>266</v>
      </c>
      <c r="D41">
        <v>233</v>
      </c>
      <c r="E41" s="4">
        <f t="shared" si="0"/>
        <v>1</v>
      </c>
      <c r="F41" s="4">
        <f t="shared" si="1"/>
        <v>33</v>
      </c>
      <c r="G41" s="4">
        <f t="shared" si="2"/>
        <v>2.0059312199524768E-2</v>
      </c>
      <c r="H41" s="4">
        <f t="shared" si="3"/>
        <v>1089</v>
      </c>
      <c r="I41" s="5">
        <f>SQRT(SUM('p-native-multi'!$C$3:C41)/COUNTIF($A$3:A41,"&lt;&gt;0"))</f>
        <v>15.118336633509077</v>
      </c>
    </row>
    <row r="42" spans="1:9">
      <c r="A42">
        <v>40</v>
      </c>
      <c r="B42">
        <v>233</v>
      </c>
      <c r="C42">
        <v>246</v>
      </c>
      <c r="D42">
        <v>233</v>
      </c>
      <c r="E42" s="4">
        <f t="shared" si="0"/>
        <v>1</v>
      </c>
      <c r="F42" s="4">
        <f t="shared" si="1"/>
        <v>13</v>
      </c>
      <c r="G42" s="4">
        <f t="shared" si="2"/>
        <v>3.1129694781631642E-3</v>
      </c>
      <c r="H42" s="4">
        <f t="shared" si="3"/>
        <v>169</v>
      </c>
      <c r="I42" s="5">
        <f>SQRT(SUM('p-native-multi'!$C$3:C42)/COUNTIF($A$3:A42,"&lt;&gt;0"))</f>
        <v>15.132745950421556</v>
      </c>
    </row>
    <row r="43" spans="1:9">
      <c r="A43">
        <v>41</v>
      </c>
      <c r="B43">
        <v>233</v>
      </c>
      <c r="C43">
        <v>246</v>
      </c>
      <c r="D43">
        <v>233</v>
      </c>
      <c r="E43" s="4">
        <f t="shared" si="0"/>
        <v>1</v>
      </c>
      <c r="F43" s="4">
        <f t="shared" si="1"/>
        <v>13</v>
      </c>
      <c r="G43" s="4">
        <f t="shared" si="2"/>
        <v>3.1129694781631642E-3</v>
      </c>
      <c r="H43" s="4">
        <f t="shared" si="3"/>
        <v>169</v>
      </c>
      <c r="I43" s="5">
        <f>SQRT(SUM('p-native-multi'!$C$3:C43)/COUNTIF($A$3:A43,"&lt;&gt;0"))</f>
        <v>15.146439652484061</v>
      </c>
    </row>
    <row r="44" spans="1:9">
      <c r="A44">
        <v>42</v>
      </c>
      <c r="B44">
        <v>233</v>
      </c>
      <c r="C44">
        <v>206</v>
      </c>
      <c r="D44">
        <v>233</v>
      </c>
      <c r="E44" s="4">
        <f t="shared" si="0"/>
        <v>1</v>
      </c>
      <c r="F44" s="4">
        <f t="shared" si="1"/>
        <v>27</v>
      </c>
      <c r="G44" s="4">
        <f t="shared" si="2"/>
        <v>1.3428134612905008E-2</v>
      </c>
      <c r="H44" s="4">
        <f t="shared" si="3"/>
        <v>729</v>
      </c>
      <c r="I44" s="5">
        <f>SQRT(SUM('p-native-multi'!$C$3:C44)/COUNTIF($A$3:A44,"&lt;&gt;0"))</f>
        <v>15.128025081190964</v>
      </c>
    </row>
    <row r="45" spans="1:9">
      <c r="A45">
        <v>43</v>
      </c>
      <c r="B45">
        <v>233</v>
      </c>
      <c r="C45">
        <v>233</v>
      </c>
      <c r="D45">
        <v>233</v>
      </c>
      <c r="E45" s="4">
        <f t="shared" si="0"/>
        <v>1</v>
      </c>
      <c r="F45" s="4">
        <f t="shared" si="1"/>
        <v>0</v>
      </c>
      <c r="G45" s="4">
        <f t="shared" si="2"/>
        <v>0</v>
      </c>
      <c r="H45" s="4">
        <f t="shared" si="3"/>
        <v>0</v>
      </c>
      <c r="I45" s="5">
        <f>SQRT(SUM('p-native-multi'!$C$3:C45)/COUNTIF($A$3:A45,"&lt;&gt;0"))</f>
        <v>15.13120908493743</v>
      </c>
    </row>
    <row r="46" spans="1:9">
      <c r="A46">
        <v>44</v>
      </c>
      <c r="B46">
        <v>233</v>
      </c>
      <c r="C46">
        <v>206</v>
      </c>
      <c r="D46">
        <v>233</v>
      </c>
      <c r="E46" s="4">
        <f t="shared" si="0"/>
        <v>1</v>
      </c>
      <c r="F46" s="4">
        <f t="shared" si="1"/>
        <v>27</v>
      </c>
      <c r="G46" s="4">
        <f t="shared" si="2"/>
        <v>1.3428134612905008E-2</v>
      </c>
      <c r="H46" s="4">
        <f t="shared" si="3"/>
        <v>729</v>
      </c>
      <c r="I46" s="5">
        <f>SQRT(SUM('p-native-multi'!$C$3:C46)/COUNTIF($A$3:A46,"&lt;&gt;0"))</f>
        <v>15.113961035473732</v>
      </c>
    </row>
    <row r="47" spans="1:9">
      <c r="A47">
        <v>45</v>
      </c>
      <c r="B47">
        <v>233</v>
      </c>
      <c r="C47">
        <v>266</v>
      </c>
      <c r="D47">
        <v>233</v>
      </c>
      <c r="E47" s="4">
        <f t="shared" si="0"/>
        <v>1</v>
      </c>
      <c r="F47" s="4">
        <f t="shared" si="1"/>
        <v>33</v>
      </c>
      <c r="G47" s="4">
        <f t="shared" si="2"/>
        <v>2.0059312199524768E-2</v>
      </c>
      <c r="H47" s="4">
        <f t="shared" si="3"/>
        <v>1089</v>
      </c>
      <c r="I47" s="5">
        <f>SQRT(SUM('p-native-multi'!$C$3:C47)/COUNTIF($A$3:A47,"&lt;&gt;0"))</f>
        <v>15.141554301546016</v>
      </c>
    </row>
    <row r="48" spans="1:9">
      <c r="A48">
        <v>46</v>
      </c>
      <c r="B48">
        <v>233</v>
      </c>
      <c r="C48">
        <v>253</v>
      </c>
      <c r="D48">
        <v>233</v>
      </c>
      <c r="E48" s="4">
        <f t="shared" si="0"/>
        <v>1</v>
      </c>
      <c r="F48" s="4">
        <f t="shared" si="1"/>
        <v>20</v>
      </c>
      <c r="G48" s="4">
        <f t="shared" si="2"/>
        <v>7.3679750962441747E-3</v>
      </c>
      <c r="H48" s="4">
        <f t="shared" si="3"/>
        <v>400</v>
      </c>
      <c r="I48" s="5">
        <f>SQRT(SUM('p-native-multi'!$C$3:C48)/COUNTIF($A$3:A48,"&lt;&gt;0"))</f>
        <v>15.158582014675785</v>
      </c>
    </row>
    <row r="49" spans="1:9">
      <c r="A49">
        <v>47</v>
      </c>
      <c r="B49">
        <v>233</v>
      </c>
      <c r="C49">
        <v>233</v>
      </c>
      <c r="D49">
        <v>233</v>
      </c>
      <c r="E49" s="4">
        <f t="shared" si="0"/>
        <v>1</v>
      </c>
      <c r="F49" s="4">
        <f t="shared" si="1"/>
        <v>0</v>
      </c>
      <c r="G49" s="4">
        <f t="shared" si="2"/>
        <v>0</v>
      </c>
      <c r="H49" s="4">
        <f t="shared" si="3"/>
        <v>0</v>
      </c>
      <c r="I49" s="5">
        <f>SQRT(SUM('p-native-multi'!$C$3:C49)/COUNTIF($A$3:A49,"&lt;&gt;0"))</f>
        <v>15.160839812813379</v>
      </c>
    </row>
    <row r="50" spans="1:9">
      <c r="A50">
        <v>48</v>
      </c>
      <c r="B50">
        <v>233</v>
      </c>
      <c r="C50">
        <v>206</v>
      </c>
      <c r="D50">
        <v>233</v>
      </c>
      <c r="E50" s="4">
        <f t="shared" si="0"/>
        <v>1</v>
      </c>
      <c r="F50" s="4">
        <f t="shared" si="1"/>
        <v>27</v>
      </c>
      <c r="G50" s="4">
        <f t="shared" si="2"/>
        <v>1.3428134612905008E-2</v>
      </c>
      <c r="H50" s="4">
        <f t="shared" si="3"/>
        <v>729</v>
      </c>
      <c r="I50" s="5">
        <f>SQRT(SUM('p-native-multi'!$C$3:C50)/COUNTIF($A$3:A50,"&lt;&gt;0"))</f>
        <v>15.14444342545036</v>
      </c>
    </row>
    <row r="51" spans="1:9">
      <c r="A51">
        <v>49</v>
      </c>
      <c r="B51">
        <v>233</v>
      </c>
      <c r="C51">
        <v>206</v>
      </c>
      <c r="D51">
        <v>233</v>
      </c>
      <c r="E51" s="4">
        <f t="shared" si="0"/>
        <v>1</v>
      </c>
      <c r="F51" s="4">
        <f t="shared" si="1"/>
        <v>27</v>
      </c>
      <c r="G51" s="4">
        <f t="shared" si="2"/>
        <v>1.3428134612905008E-2</v>
      </c>
      <c r="H51" s="4">
        <f t="shared" si="3"/>
        <v>729</v>
      </c>
      <c r="I51" s="5">
        <f>SQRT(SUM('p-native-multi'!$C$3:C51)/COUNTIF($A$3:A51,"&lt;&gt;0"))</f>
        <v>15.128699581272944</v>
      </c>
    </row>
    <row r="52" spans="1:9">
      <c r="A52">
        <v>50</v>
      </c>
      <c r="B52">
        <v>233</v>
      </c>
      <c r="C52">
        <v>186</v>
      </c>
      <c r="D52">
        <v>233</v>
      </c>
      <c r="E52" s="4">
        <f t="shared" si="0"/>
        <v>0</v>
      </c>
      <c r="F52" s="4">
        <f t="shared" si="1"/>
        <v>47</v>
      </c>
      <c r="G52" s="4">
        <f t="shared" si="2"/>
        <v>4.0689642469008455E-2</v>
      </c>
      <c r="H52" s="4">
        <f t="shared" si="3"/>
        <v>2209</v>
      </c>
      <c r="I52" s="5">
        <f>SQRT(SUM('p-native-multi'!$C$3:C52)/COUNTIF($A$3:A52,"&lt;&gt;0"))</f>
        <v>15.100331122197288</v>
      </c>
    </row>
    <row r="53" spans="1:9">
      <c r="A53">
        <v>51</v>
      </c>
      <c r="B53">
        <v>233</v>
      </c>
      <c r="C53">
        <v>206</v>
      </c>
      <c r="D53">
        <v>233</v>
      </c>
      <c r="E53" s="4">
        <f t="shared" si="0"/>
        <v>1</v>
      </c>
      <c r="F53" s="4">
        <f t="shared" si="1"/>
        <v>27</v>
      </c>
      <c r="G53" s="4">
        <f t="shared" si="2"/>
        <v>1.3428134612905008E-2</v>
      </c>
      <c r="H53" s="4">
        <f t="shared" si="3"/>
        <v>729</v>
      </c>
      <c r="I53" s="5">
        <f>SQRT(SUM('p-native-multi'!$C$3:C53)/COUNTIF($A$3:A53,"&lt;&gt;0"))</f>
        <v>15.086027816960886</v>
      </c>
    </row>
    <row r="54" spans="1:9">
      <c r="A54">
        <v>52</v>
      </c>
      <c r="B54">
        <v>233</v>
      </c>
      <c r="C54">
        <v>206</v>
      </c>
      <c r="D54">
        <v>233</v>
      </c>
      <c r="E54" s="4">
        <f t="shared" si="0"/>
        <v>1</v>
      </c>
      <c r="F54" s="4">
        <f t="shared" si="1"/>
        <v>27</v>
      </c>
      <c r="G54" s="4">
        <f t="shared" si="2"/>
        <v>1.3428134612905008E-2</v>
      </c>
      <c r="H54" s="4">
        <f t="shared" si="3"/>
        <v>729</v>
      </c>
      <c r="I54" s="5">
        <f>SQRT(SUM('p-native-multi'!$C$3:C54)/COUNTIF($A$3:A54,"&lt;&gt;0"))</f>
        <v>15.07226183832662</v>
      </c>
    </row>
    <row r="55" spans="1:9">
      <c r="A55">
        <v>53</v>
      </c>
      <c r="B55">
        <v>233</v>
      </c>
      <c r="C55">
        <v>233</v>
      </c>
      <c r="D55">
        <v>233</v>
      </c>
      <c r="E55" s="4">
        <f t="shared" si="0"/>
        <v>1</v>
      </c>
      <c r="F55" s="4">
        <f t="shared" si="1"/>
        <v>0</v>
      </c>
      <c r="G55" s="4">
        <f t="shared" si="2"/>
        <v>0</v>
      </c>
      <c r="H55" s="4">
        <f t="shared" si="3"/>
        <v>0</v>
      </c>
      <c r="I55" s="5">
        <f>SQRT(SUM('p-native-multi'!$C$3:C55)/COUNTIF($A$3:A55,"&lt;&gt;0"))</f>
        <v>15.07590855862175</v>
      </c>
    </row>
    <row r="56" spans="1:9">
      <c r="A56">
        <v>54</v>
      </c>
      <c r="B56">
        <v>233</v>
      </c>
      <c r="C56">
        <v>266</v>
      </c>
      <c r="D56">
        <v>233</v>
      </c>
      <c r="E56" s="4">
        <f t="shared" si="0"/>
        <v>1</v>
      </c>
      <c r="F56" s="4">
        <f t="shared" si="1"/>
        <v>33</v>
      </c>
      <c r="G56" s="4">
        <f t="shared" si="2"/>
        <v>2.0059312199524768E-2</v>
      </c>
      <c r="H56" s="4">
        <f t="shared" si="3"/>
        <v>1089</v>
      </c>
      <c r="I56" s="5">
        <f>SQRT(SUM('p-native-multi'!$C$3:C56)/COUNTIF($A$3:A56,"&lt;&gt;0"))</f>
        <v>15.0996688705415</v>
      </c>
    </row>
    <row r="57" spans="1:9">
      <c r="A57">
        <v>55</v>
      </c>
      <c r="B57">
        <v>233</v>
      </c>
      <c r="C57">
        <v>206</v>
      </c>
      <c r="D57">
        <v>233</v>
      </c>
      <c r="E57" s="4">
        <f t="shared" si="0"/>
        <v>1</v>
      </c>
      <c r="F57" s="4">
        <f t="shared" si="1"/>
        <v>27</v>
      </c>
      <c r="G57" s="4">
        <f t="shared" si="2"/>
        <v>1.3428134612905008E-2</v>
      </c>
      <c r="H57" s="4">
        <f t="shared" si="3"/>
        <v>729</v>
      </c>
      <c r="I57" s="5">
        <f>SQRT(SUM('p-native-multi'!$C$3:C57)/COUNTIF($A$3:A57,"&lt;&gt;0"))</f>
        <v>15.086417732516887</v>
      </c>
    </row>
    <row r="58" spans="1:9">
      <c r="A58">
        <v>56</v>
      </c>
      <c r="B58">
        <v>233</v>
      </c>
      <c r="C58">
        <v>233</v>
      </c>
      <c r="D58">
        <v>233</v>
      </c>
      <c r="E58" s="4">
        <f t="shared" si="0"/>
        <v>1</v>
      </c>
      <c r="F58" s="4">
        <f t="shared" si="1"/>
        <v>0</v>
      </c>
      <c r="G58" s="4">
        <f t="shared" si="2"/>
        <v>0</v>
      </c>
      <c r="H58" s="4">
        <f t="shared" si="3"/>
        <v>0</v>
      </c>
      <c r="I58" s="5">
        <f>SQRT(SUM('p-native-multi'!$C$3:C58)/COUNTIF($A$3:A58,"&lt;&gt;0"))</f>
        <v>15.089613267788826</v>
      </c>
    </row>
    <row r="59" spans="1:9">
      <c r="A59">
        <v>57</v>
      </c>
      <c r="B59">
        <v>233</v>
      </c>
      <c r="C59">
        <v>246</v>
      </c>
      <c r="D59">
        <v>233</v>
      </c>
      <c r="E59" s="4">
        <f t="shared" si="0"/>
        <v>1</v>
      </c>
      <c r="F59" s="4">
        <f t="shared" si="1"/>
        <v>13</v>
      </c>
      <c r="G59" s="4">
        <f t="shared" si="2"/>
        <v>3.1129694781631642E-3</v>
      </c>
      <c r="H59" s="4">
        <f t="shared" si="3"/>
        <v>169</v>
      </c>
      <c r="I59" s="5">
        <f>SQRT(SUM('p-native-multi'!$C$3:C59)/COUNTIF($A$3:A59,"&lt;&gt;0"))</f>
        <v>15.100249794610987</v>
      </c>
    </row>
    <row r="60" spans="1:9">
      <c r="A60">
        <v>58</v>
      </c>
      <c r="B60">
        <v>233</v>
      </c>
      <c r="C60">
        <v>206</v>
      </c>
      <c r="D60">
        <v>233</v>
      </c>
      <c r="E60" s="4">
        <f t="shared" si="0"/>
        <v>1</v>
      </c>
      <c r="F60" s="4">
        <f t="shared" si="1"/>
        <v>27</v>
      </c>
      <c r="G60" s="4">
        <f t="shared" si="2"/>
        <v>1.3428134612905008E-2</v>
      </c>
      <c r="H60" s="4">
        <f t="shared" si="3"/>
        <v>729</v>
      </c>
      <c r="I60" s="5">
        <f>SQRT(SUM('p-native-multi'!$C$3:C60)/COUNTIF($A$3:A60,"&lt;&gt;0"))</f>
        <v>15.087674805432504</v>
      </c>
    </row>
    <row r="61" spans="1:9">
      <c r="A61">
        <v>59</v>
      </c>
      <c r="B61">
        <v>233</v>
      </c>
      <c r="C61">
        <v>206</v>
      </c>
      <c r="D61">
        <v>233</v>
      </c>
      <c r="E61" s="4">
        <f t="shared" si="0"/>
        <v>1</v>
      </c>
      <c r="F61" s="4">
        <f t="shared" si="1"/>
        <v>27</v>
      </c>
      <c r="G61" s="4">
        <f t="shared" si="2"/>
        <v>1.3428134612905008E-2</v>
      </c>
      <c r="H61" s="4">
        <f t="shared" si="3"/>
        <v>729</v>
      </c>
      <c r="I61" s="5">
        <f>SQRT(SUM('p-native-multi'!$C$3:C61)/COUNTIF($A$3:A61,"&lt;&gt;0"))</f>
        <v>15.075516125183841</v>
      </c>
    </row>
    <row r="62" spans="1:9">
      <c r="A62">
        <v>60</v>
      </c>
      <c r="B62">
        <v>233</v>
      </c>
      <c r="C62">
        <v>206</v>
      </c>
      <c r="D62">
        <v>233</v>
      </c>
      <c r="E62" s="4">
        <f t="shared" si="0"/>
        <v>1</v>
      </c>
      <c r="F62" s="4">
        <f t="shared" si="1"/>
        <v>27</v>
      </c>
      <c r="G62" s="4">
        <f t="shared" si="2"/>
        <v>1.3428134612905008E-2</v>
      </c>
      <c r="H62" s="4">
        <f t="shared" si="3"/>
        <v>729</v>
      </c>
      <c r="I62" s="5">
        <f>SQRT(SUM('p-native-multi'!$C$3:C62)/COUNTIF($A$3:A62,"&lt;&gt;0"))</f>
        <v>15.063753405664428</v>
      </c>
    </row>
    <row r="63" spans="1:9">
      <c r="A63">
        <v>61</v>
      </c>
      <c r="B63">
        <v>233</v>
      </c>
      <c r="C63">
        <v>186</v>
      </c>
      <c r="D63">
        <v>233</v>
      </c>
      <c r="E63" s="4">
        <f t="shared" si="0"/>
        <v>0</v>
      </c>
      <c r="F63" s="4">
        <f t="shared" si="1"/>
        <v>47</v>
      </c>
      <c r="G63" s="4">
        <f t="shared" si="2"/>
        <v>4.0689642469008455E-2</v>
      </c>
      <c r="H63" s="4">
        <f t="shared" si="3"/>
        <v>2209</v>
      </c>
      <c r="I63" s="5">
        <f>SQRT(SUM('p-native-multi'!$C$3:C63)/COUNTIF($A$3:A63,"&lt;&gt;0"))</f>
        <v>15.041472721756479</v>
      </c>
    </row>
    <row r="64" spans="1:9">
      <c r="A64">
        <v>62</v>
      </c>
      <c r="B64">
        <v>233</v>
      </c>
      <c r="C64">
        <v>206</v>
      </c>
      <c r="D64">
        <v>233</v>
      </c>
      <c r="E64" s="4">
        <f t="shared" si="0"/>
        <v>1</v>
      </c>
      <c r="F64" s="4">
        <f t="shared" si="1"/>
        <v>27</v>
      </c>
      <c r="G64" s="4">
        <f t="shared" si="2"/>
        <v>1.3428134612905008E-2</v>
      </c>
      <c r="H64" s="4">
        <f t="shared" si="3"/>
        <v>729</v>
      </c>
      <c r="I64" s="5">
        <f>SQRT(SUM('p-native-multi'!$C$3:C64)/COUNTIF($A$3:A64,"&lt;&gt;0"))</f>
        <v>15.030613920885257</v>
      </c>
    </row>
    <row r="65" spans="1:9">
      <c r="A65">
        <v>63</v>
      </c>
      <c r="B65">
        <v>233</v>
      </c>
      <c r="C65">
        <v>206</v>
      </c>
      <c r="D65">
        <v>233</v>
      </c>
      <c r="E65" s="4">
        <f t="shared" si="0"/>
        <v>1</v>
      </c>
      <c r="F65" s="4">
        <f t="shared" si="1"/>
        <v>27</v>
      </c>
      <c r="G65" s="4">
        <f t="shared" si="2"/>
        <v>1.3428134612905008E-2</v>
      </c>
      <c r="H65" s="4">
        <f t="shared" si="3"/>
        <v>729</v>
      </c>
      <c r="I65" s="5">
        <f>SQRT(SUM('p-native-multi'!$C$3:C65)/COUNTIF($A$3:A65,"&lt;&gt;0"))</f>
        <v>15.020092363337005</v>
      </c>
    </row>
    <row r="66" spans="1:9">
      <c r="A66">
        <v>64</v>
      </c>
      <c r="B66">
        <v>233</v>
      </c>
      <c r="C66">
        <v>233</v>
      </c>
      <c r="D66">
        <v>233</v>
      </c>
      <c r="E66" s="4">
        <f t="shared" si="0"/>
        <v>1</v>
      </c>
      <c r="F66" s="4">
        <f t="shared" si="1"/>
        <v>0</v>
      </c>
      <c r="G66" s="4">
        <f t="shared" si="2"/>
        <v>0</v>
      </c>
      <c r="H66" s="4">
        <f t="shared" si="3"/>
        <v>0</v>
      </c>
      <c r="I66" s="5">
        <f>SQRT(SUM('p-native-multi'!$C$3:C66)/COUNTIF($A$3:A66,"&lt;&gt;0"))</f>
        <v>15.023939230441529</v>
      </c>
    </row>
    <row r="67" spans="1:9">
      <c r="A67">
        <v>65</v>
      </c>
      <c r="B67">
        <v>233</v>
      </c>
      <c r="C67">
        <v>266</v>
      </c>
      <c r="D67">
        <v>233</v>
      </c>
      <c r="E67" s="4">
        <f t="shared" si="0"/>
        <v>1</v>
      </c>
      <c r="F67" s="4">
        <f t="shared" si="1"/>
        <v>33</v>
      </c>
      <c r="G67" s="4">
        <f t="shared" si="2"/>
        <v>2.0059312199524768E-2</v>
      </c>
      <c r="H67" s="4">
        <f t="shared" si="3"/>
        <v>1089</v>
      </c>
      <c r="I67" s="5">
        <f>SQRT(SUM('p-native-multi'!$C$3:C67)/COUNTIF($A$3:A67,"&lt;&gt;0"))</f>
        <v>15.044549230151814</v>
      </c>
    </row>
    <row r="68" spans="1:9">
      <c r="A68">
        <v>66</v>
      </c>
      <c r="B68">
        <v>233</v>
      </c>
      <c r="C68">
        <v>246</v>
      </c>
      <c r="D68">
        <v>233</v>
      </c>
      <c r="E68" s="4">
        <f t="shared" ref="E68:E131" si="4">IF(AND(C68&lt;=B68*1.2,C68&gt;=B68*0.8),1,0)</f>
        <v>1</v>
      </c>
      <c r="F68" s="4">
        <f t="shared" ref="F68:F131" si="5">ABS(B68-C68)</f>
        <v>13</v>
      </c>
      <c r="G68" s="4">
        <f t="shared" ref="G68:G131" si="6">POWER(ABS(B68-C68)/B68,2)</f>
        <v>3.1129694781631642E-3</v>
      </c>
      <c r="H68" s="4">
        <f t="shared" ref="H68:H131" si="7">POWER(F68,2)</f>
        <v>169</v>
      </c>
      <c r="I68" s="5">
        <f>SQRT(SUM('p-native-multi'!$C$3:C68)/COUNTIF($A$3:A68,"&lt;&gt;0"))</f>
        <v>15.054446639991907</v>
      </c>
    </row>
    <row r="69" spans="1:9">
      <c r="A69">
        <v>67</v>
      </c>
      <c r="B69">
        <v>233</v>
      </c>
      <c r="C69">
        <v>246</v>
      </c>
      <c r="D69">
        <v>233</v>
      </c>
      <c r="E69" s="4">
        <f t="shared" si="4"/>
        <v>1</v>
      </c>
      <c r="F69" s="4">
        <f t="shared" si="5"/>
        <v>13</v>
      </c>
      <c r="G69" s="4">
        <f t="shared" si="6"/>
        <v>3.1129694781631642E-3</v>
      </c>
      <c r="H69" s="4">
        <f t="shared" si="7"/>
        <v>169</v>
      </c>
      <c r="I69" s="5">
        <f>SQRT(SUM('p-native-multi'!$C$3:C69)/COUNTIF($A$3:A69,"&lt;&gt;0"))</f>
        <v>15.064042390219445</v>
      </c>
    </row>
    <row r="70" spans="1:9">
      <c r="A70">
        <v>68</v>
      </c>
      <c r="B70">
        <v>233</v>
      </c>
      <c r="C70">
        <v>206</v>
      </c>
      <c r="D70">
        <v>233</v>
      </c>
      <c r="E70" s="4">
        <f t="shared" si="4"/>
        <v>1</v>
      </c>
      <c r="F70" s="4">
        <f t="shared" si="5"/>
        <v>27</v>
      </c>
      <c r="G70" s="4">
        <f t="shared" si="6"/>
        <v>1.3428134612905008E-2</v>
      </c>
      <c r="H70" s="4">
        <f t="shared" si="7"/>
        <v>729</v>
      </c>
      <c r="I70" s="5">
        <f>SQRT(SUM('p-native-multi'!$C$3:C70)/COUNTIF($A$3:A70,"&lt;&gt;0"))</f>
        <v>15.053824997615175</v>
      </c>
    </row>
    <row r="71" spans="1:9">
      <c r="A71">
        <v>69</v>
      </c>
      <c r="B71">
        <v>233</v>
      </c>
      <c r="C71">
        <v>233</v>
      </c>
      <c r="D71">
        <v>233</v>
      </c>
      <c r="E71" s="4">
        <f t="shared" si="4"/>
        <v>1</v>
      </c>
      <c r="F71" s="4">
        <f t="shared" si="5"/>
        <v>0</v>
      </c>
      <c r="G71" s="4">
        <f t="shared" si="6"/>
        <v>0</v>
      </c>
      <c r="H71" s="4">
        <f t="shared" si="7"/>
        <v>0</v>
      </c>
      <c r="I71" s="5">
        <f>SQRT(SUM('p-native-multi'!$C$3:C71)/COUNTIF($A$3:A71,"&lt;&gt;0"))</f>
        <v>15.056896922259122</v>
      </c>
    </row>
    <row r="72" spans="1:9">
      <c r="A72">
        <v>70</v>
      </c>
      <c r="B72">
        <v>233</v>
      </c>
      <c r="C72">
        <v>266</v>
      </c>
      <c r="D72">
        <v>233</v>
      </c>
      <c r="E72" s="4">
        <f t="shared" si="4"/>
        <v>1</v>
      </c>
      <c r="F72" s="4">
        <f t="shared" si="5"/>
        <v>33</v>
      </c>
      <c r="G72" s="4">
        <f t="shared" si="6"/>
        <v>2.0059312199524768E-2</v>
      </c>
      <c r="H72" s="4">
        <f t="shared" si="7"/>
        <v>1089</v>
      </c>
      <c r="I72" s="5">
        <f>SQRT(SUM('p-native-multi'!$C$3:C72)/COUNTIF($A$3:A72,"&lt;&gt;0"))</f>
        <v>15.075524155777423</v>
      </c>
    </row>
    <row r="73" spans="1:9">
      <c r="A73">
        <v>71</v>
      </c>
      <c r="B73">
        <v>233</v>
      </c>
      <c r="C73">
        <v>206</v>
      </c>
      <c r="D73">
        <v>233</v>
      </c>
      <c r="E73" s="4">
        <f t="shared" si="4"/>
        <v>1</v>
      </c>
      <c r="F73" s="4">
        <f t="shared" si="5"/>
        <v>27</v>
      </c>
      <c r="G73" s="4">
        <f t="shared" si="6"/>
        <v>1.3428134612905008E-2</v>
      </c>
      <c r="H73" s="4">
        <f t="shared" si="7"/>
        <v>729</v>
      </c>
      <c r="I73" s="5">
        <f>SQRT(SUM('p-native-multi'!$C$3:C73)/COUNTIF($A$3:A73,"&lt;&gt;0"))</f>
        <v>15.065584322750826</v>
      </c>
    </row>
    <row r="74" spans="1:9">
      <c r="A74">
        <v>72</v>
      </c>
      <c r="B74">
        <v>233</v>
      </c>
      <c r="C74">
        <v>139</v>
      </c>
      <c r="D74">
        <v>233</v>
      </c>
      <c r="E74" s="4">
        <f t="shared" si="4"/>
        <v>0</v>
      </c>
      <c r="F74" s="4">
        <f t="shared" si="5"/>
        <v>94</v>
      </c>
      <c r="G74" s="4">
        <f t="shared" si="6"/>
        <v>0.16275856987603382</v>
      </c>
      <c r="H74" s="4">
        <f t="shared" si="7"/>
        <v>8836</v>
      </c>
      <c r="I74" s="5">
        <f>SQRT(SUM('p-native-multi'!$C$3:C74)/COUNTIF($A$3:A74,"&lt;&gt;0"))</f>
        <v>15.02497920131672</v>
      </c>
    </row>
    <row r="75" spans="1:9">
      <c r="A75">
        <v>73</v>
      </c>
      <c r="B75">
        <v>233</v>
      </c>
      <c r="C75">
        <v>253</v>
      </c>
      <c r="D75">
        <v>233</v>
      </c>
      <c r="E75" s="4">
        <f t="shared" si="4"/>
        <v>1</v>
      </c>
      <c r="F75" s="4">
        <f t="shared" si="5"/>
        <v>20</v>
      </c>
      <c r="G75" s="4">
        <f t="shared" si="6"/>
        <v>7.3679750962441747E-3</v>
      </c>
      <c r="H75" s="4">
        <f t="shared" si="7"/>
        <v>400</v>
      </c>
      <c r="I75" s="5">
        <f>SQRT(SUM('p-native-multi'!$C$3:C75)/COUNTIF($A$3:A75,"&lt;&gt;0"))</f>
        <v>15.03739630625039</v>
      </c>
    </row>
    <row r="76" spans="1:9">
      <c r="A76">
        <v>74</v>
      </c>
      <c r="B76">
        <v>233</v>
      </c>
      <c r="C76">
        <v>246</v>
      </c>
      <c r="D76">
        <v>233</v>
      </c>
      <c r="E76" s="4">
        <f t="shared" si="4"/>
        <v>1</v>
      </c>
      <c r="F76" s="4">
        <f t="shared" si="5"/>
        <v>13</v>
      </c>
      <c r="G76" s="4">
        <f t="shared" si="6"/>
        <v>3.1129694781631642E-3</v>
      </c>
      <c r="H76" s="4">
        <f t="shared" si="7"/>
        <v>169</v>
      </c>
      <c r="I76" s="5">
        <f>SQRT(SUM('p-native-multi'!$C$3:C76)/COUNTIF($A$3:A76,"&lt;&gt;0"))</f>
        <v>15.046324863297745</v>
      </c>
    </row>
    <row r="77" spans="1:9">
      <c r="A77">
        <v>75</v>
      </c>
      <c r="B77">
        <v>233</v>
      </c>
      <c r="C77">
        <v>246</v>
      </c>
      <c r="D77">
        <v>233</v>
      </c>
      <c r="E77" s="4">
        <f t="shared" si="4"/>
        <v>1</v>
      </c>
      <c r="F77" s="4">
        <f t="shared" si="5"/>
        <v>13</v>
      </c>
      <c r="G77" s="4">
        <f t="shared" si="6"/>
        <v>3.1129694781631642E-3</v>
      </c>
      <c r="H77" s="4">
        <f t="shared" si="7"/>
        <v>169</v>
      </c>
      <c r="I77" s="5">
        <f>SQRT(SUM('p-native-multi'!$C$3:C77)/COUNTIF($A$3:A77,"&lt;&gt;0"))</f>
        <v>15.055010240226784</v>
      </c>
    </row>
    <row r="78" spans="1:9">
      <c r="A78">
        <v>76</v>
      </c>
      <c r="B78">
        <v>233</v>
      </c>
      <c r="C78">
        <v>253</v>
      </c>
      <c r="D78">
        <v>233</v>
      </c>
      <c r="E78" s="4">
        <f t="shared" si="4"/>
        <v>1</v>
      </c>
      <c r="F78" s="4">
        <f t="shared" si="5"/>
        <v>20</v>
      </c>
      <c r="G78" s="4">
        <f t="shared" si="6"/>
        <v>7.3679750962441747E-3</v>
      </c>
      <c r="H78" s="4">
        <f t="shared" si="7"/>
        <v>400</v>
      </c>
      <c r="I78" s="5">
        <f>SQRT(SUM('p-native-multi'!$C$3:C78)/COUNTIF($A$3:A78,"&lt;&gt;0"))</f>
        <v>15.066519173319364</v>
      </c>
    </row>
    <row r="79" spans="1:9">
      <c r="A79">
        <v>77</v>
      </c>
      <c r="B79">
        <v>233</v>
      </c>
      <c r="C79">
        <v>266</v>
      </c>
      <c r="D79">
        <v>233</v>
      </c>
      <c r="E79" s="4">
        <f t="shared" si="4"/>
        <v>1</v>
      </c>
      <c r="F79" s="4">
        <f t="shared" si="5"/>
        <v>33</v>
      </c>
      <c r="G79" s="4">
        <f t="shared" si="6"/>
        <v>2.0059312199524768E-2</v>
      </c>
      <c r="H79" s="4">
        <f t="shared" si="7"/>
        <v>1089</v>
      </c>
      <c r="I79" s="5">
        <f>SQRT(SUM('p-native-multi'!$C$3:C79)/COUNTIF($A$3:A79,"&lt;&gt;0"))</f>
        <v>15.083318385106558</v>
      </c>
    </row>
    <row r="80" spans="1:9">
      <c r="A80">
        <v>78</v>
      </c>
      <c r="B80">
        <v>233</v>
      </c>
      <c r="C80">
        <v>246</v>
      </c>
      <c r="D80">
        <v>233</v>
      </c>
      <c r="E80" s="4">
        <f t="shared" si="4"/>
        <v>1</v>
      </c>
      <c r="F80" s="4">
        <f t="shared" si="5"/>
        <v>13</v>
      </c>
      <c r="G80" s="4">
        <f t="shared" si="6"/>
        <v>3.1129694781631642E-3</v>
      </c>
      <c r="H80" s="4">
        <f t="shared" si="7"/>
        <v>169</v>
      </c>
      <c r="I80" s="5">
        <f>SQRT(SUM('p-native-multi'!$C$3:C80)/COUNTIF($A$3:A80,"&lt;&gt;0"))</f>
        <v>15.09117589002228</v>
      </c>
    </row>
    <row r="81" spans="1:9">
      <c r="A81">
        <v>79</v>
      </c>
      <c r="B81">
        <v>233</v>
      </c>
      <c r="C81">
        <v>279</v>
      </c>
      <c r="D81">
        <v>233</v>
      </c>
      <c r="E81" s="4">
        <f t="shared" si="4"/>
        <v>1</v>
      </c>
      <c r="F81" s="4">
        <f t="shared" si="5"/>
        <v>46</v>
      </c>
      <c r="G81" s="4">
        <f t="shared" si="6"/>
        <v>3.8976588259131681E-2</v>
      </c>
      <c r="H81" s="4">
        <f t="shared" si="7"/>
        <v>2116</v>
      </c>
      <c r="I81" s="5">
        <f>SQRT(SUM('p-native-multi'!$C$3:C81)/COUNTIF($A$3:A81,"&lt;&gt;0"))</f>
        <v>15.112657114594082</v>
      </c>
    </row>
    <row r="82" spans="1:9">
      <c r="A82">
        <v>80</v>
      </c>
      <c r="B82">
        <v>233</v>
      </c>
      <c r="C82">
        <v>273</v>
      </c>
      <c r="D82">
        <v>233</v>
      </c>
      <c r="E82" s="4">
        <f t="shared" si="4"/>
        <v>1</v>
      </c>
      <c r="F82" s="4">
        <f t="shared" si="5"/>
        <v>40</v>
      </c>
      <c r="G82" s="4">
        <f t="shared" si="6"/>
        <v>2.9471900384976699E-2</v>
      </c>
      <c r="H82" s="4">
        <f t="shared" si="7"/>
        <v>1600</v>
      </c>
      <c r="I82" s="5">
        <f>SQRT(SUM('p-native-multi'!$C$3:C82)/COUNTIF($A$3:A82,"&lt;&gt;0"))</f>
        <v>15.131093813733361</v>
      </c>
    </row>
    <row r="83" spans="1:9">
      <c r="A83">
        <v>81</v>
      </c>
      <c r="B83">
        <v>233</v>
      </c>
      <c r="C83">
        <v>253</v>
      </c>
      <c r="D83">
        <v>233</v>
      </c>
      <c r="E83" s="4">
        <f t="shared" si="4"/>
        <v>1</v>
      </c>
      <c r="F83" s="4">
        <f t="shared" si="5"/>
        <v>20</v>
      </c>
      <c r="G83" s="4">
        <f t="shared" si="6"/>
        <v>7.3679750962441747E-3</v>
      </c>
      <c r="H83" s="4">
        <f t="shared" si="7"/>
        <v>400</v>
      </c>
      <c r="I83" s="5">
        <f>SQRT(SUM('p-native-multi'!$C$3:C83)/COUNTIF($A$3:A83,"&lt;&gt;0"))</f>
        <v>15.140902006823996</v>
      </c>
    </row>
    <row r="84" spans="1:9">
      <c r="A84">
        <v>82</v>
      </c>
      <c r="B84">
        <v>233</v>
      </c>
      <c r="C84">
        <v>273</v>
      </c>
      <c r="D84">
        <v>233</v>
      </c>
      <c r="E84" s="4">
        <f t="shared" si="4"/>
        <v>1</v>
      </c>
      <c r="F84" s="4">
        <f t="shared" si="5"/>
        <v>40</v>
      </c>
      <c r="G84" s="4">
        <f t="shared" si="6"/>
        <v>2.9471900384976699E-2</v>
      </c>
      <c r="H84" s="4">
        <f t="shared" si="7"/>
        <v>1600</v>
      </c>
      <c r="I84" s="5">
        <f>SQRT(SUM('p-native-multi'!$C$3:C84)/COUNTIF($A$3:A84,"&lt;&gt;0"))</f>
        <v>15.158512057747556</v>
      </c>
    </row>
    <row r="85" spans="1:9">
      <c r="A85">
        <v>83</v>
      </c>
      <c r="B85">
        <v>233</v>
      </c>
      <c r="C85">
        <v>273</v>
      </c>
      <c r="D85">
        <v>233</v>
      </c>
      <c r="E85" s="4">
        <f t="shared" si="4"/>
        <v>1</v>
      </c>
      <c r="F85" s="4">
        <f t="shared" si="5"/>
        <v>40</v>
      </c>
      <c r="G85" s="4">
        <f t="shared" si="6"/>
        <v>2.9471900384976699E-2</v>
      </c>
      <c r="H85" s="4">
        <f t="shared" si="7"/>
        <v>1600</v>
      </c>
      <c r="I85" s="5">
        <f>SQRT(SUM('p-native-multi'!$C$3:C85)/COUNTIF($A$3:A85,"&lt;&gt;0"))</f>
        <v>15.175678067858355</v>
      </c>
    </row>
    <row r="86" spans="1:9">
      <c r="A86">
        <v>84</v>
      </c>
      <c r="B86">
        <v>233</v>
      </c>
      <c r="C86">
        <v>233</v>
      </c>
      <c r="D86">
        <v>233</v>
      </c>
      <c r="E86" s="4">
        <f t="shared" si="4"/>
        <v>1</v>
      </c>
      <c r="F86" s="4">
        <f t="shared" si="5"/>
        <v>0</v>
      </c>
      <c r="G86" s="4">
        <f t="shared" si="6"/>
        <v>0</v>
      </c>
      <c r="H86" s="4">
        <f t="shared" si="7"/>
        <v>0</v>
      </c>
      <c r="I86" s="5">
        <f>SQRT(SUM('p-native-multi'!$C$3:C86)/COUNTIF($A$3:A86,"&lt;&gt;0"))</f>
        <v>15.176736583776281</v>
      </c>
    </row>
    <row r="87" spans="1:9">
      <c r="A87">
        <v>85</v>
      </c>
      <c r="B87">
        <v>233</v>
      </c>
      <c r="C87">
        <v>253</v>
      </c>
      <c r="D87">
        <v>233</v>
      </c>
      <c r="E87" s="4">
        <f t="shared" si="4"/>
        <v>1</v>
      </c>
      <c r="F87" s="4">
        <f t="shared" si="5"/>
        <v>20</v>
      </c>
      <c r="G87" s="4">
        <f t="shared" si="6"/>
        <v>7.3679750962441747E-3</v>
      </c>
      <c r="H87" s="4">
        <f t="shared" si="7"/>
        <v>400</v>
      </c>
      <c r="I87" s="5">
        <f>SQRT(SUM('p-native-multi'!$C$3:C87)/COUNTIF($A$3:A87,"&lt;&gt;0"))</f>
        <v>15.185519418182572</v>
      </c>
    </row>
    <row r="88" spans="1:9">
      <c r="A88">
        <v>86</v>
      </c>
      <c r="B88">
        <v>233</v>
      </c>
      <c r="C88">
        <v>253</v>
      </c>
      <c r="D88">
        <v>233</v>
      </c>
      <c r="E88" s="4">
        <f t="shared" si="4"/>
        <v>1</v>
      </c>
      <c r="F88" s="4">
        <f t="shared" si="5"/>
        <v>20</v>
      </c>
      <c r="G88" s="4">
        <f t="shared" si="6"/>
        <v>7.3679750962441747E-3</v>
      </c>
      <c r="H88" s="4">
        <f t="shared" si="7"/>
        <v>400</v>
      </c>
      <c r="I88" s="5">
        <f>SQRT(SUM('p-native-multi'!$C$3:C88)/COUNTIF($A$3:A88,"&lt;&gt;0"))</f>
        <v>15.194093099500183</v>
      </c>
    </row>
    <row r="89" spans="1:9">
      <c r="A89">
        <v>87</v>
      </c>
      <c r="B89">
        <v>233</v>
      </c>
      <c r="C89">
        <v>233</v>
      </c>
      <c r="D89">
        <v>233</v>
      </c>
      <c r="E89" s="4">
        <f t="shared" si="4"/>
        <v>1</v>
      </c>
      <c r="F89" s="4">
        <f t="shared" si="5"/>
        <v>0</v>
      </c>
      <c r="G89" s="4">
        <f t="shared" si="6"/>
        <v>0</v>
      </c>
      <c r="H89" s="4">
        <f t="shared" si="7"/>
        <v>0</v>
      </c>
      <c r="I89" s="5">
        <f>SQRT(SUM('p-native-multi'!$C$3:C89)/COUNTIF($A$3:A89,"&lt;&gt;0"))</f>
        <v>15.19490235148829</v>
      </c>
    </row>
    <row r="90" spans="1:9">
      <c r="A90">
        <v>88</v>
      </c>
      <c r="B90">
        <v>233</v>
      </c>
      <c r="C90">
        <v>279</v>
      </c>
      <c r="D90">
        <v>233</v>
      </c>
      <c r="E90" s="4">
        <f t="shared" si="4"/>
        <v>1</v>
      </c>
      <c r="F90" s="4">
        <f t="shared" si="5"/>
        <v>46</v>
      </c>
      <c r="G90" s="4">
        <f t="shared" si="6"/>
        <v>3.8976588259131681E-2</v>
      </c>
      <c r="H90" s="4">
        <f t="shared" si="7"/>
        <v>2116</v>
      </c>
      <c r="I90" s="5">
        <f>SQRT(SUM('p-native-multi'!$C$3:C90)/COUNTIF($A$3:A90,"&lt;&gt;0"))</f>
        <v>15.212883296134832</v>
      </c>
    </row>
    <row r="91" spans="1:9">
      <c r="A91">
        <v>89</v>
      </c>
      <c r="B91">
        <v>233</v>
      </c>
      <c r="C91">
        <v>273</v>
      </c>
      <c r="D91">
        <v>233</v>
      </c>
      <c r="E91" s="4">
        <f t="shared" si="4"/>
        <v>1</v>
      </c>
      <c r="F91" s="4">
        <f t="shared" si="5"/>
        <v>40</v>
      </c>
      <c r="G91" s="4">
        <f t="shared" si="6"/>
        <v>2.9471900384976699E-2</v>
      </c>
      <c r="H91" s="4">
        <f t="shared" si="7"/>
        <v>1600</v>
      </c>
      <c r="I91" s="5">
        <f>SQRT(SUM('p-native-multi'!$C$3:C91)/COUNTIF($A$3:A91,"&lt;&gt;0"))</f>
        <v>15.228226305269251</v>
      </c>
    </row>
    <row r="92" spans="1:9">
      <c r="A92">
        <v>90</v>
      </c>
      <c r="B92">
        <v>233</v>
      </c>
      <c r="C92">
        <v>279</v>
      </c>
      <c r="D92">
        <v>233</v>
      </c>
      <c r="E92" s="4">
        <f t="shared" si="4"/>
        <v>1</v>
      </c>
      <c r="F92" s="4">
        <f t="shared" si="5"/>
        <v>46</v>
      </c>
      <c r="G92" s="4">
        <f t="shared" si="6"/>
        <v>3.8976588259131681E-2</v>
      </c>
      <c r="H92" s="4">
        <f t="shared" si="7"/>
        <v>2116</v>
      </c>
      <c r="I92" s="5">
        <f>SQRT(SUM('p-native-multi'!$C$3:C92)/COUNTIF($A$3:A92,"&lt;&gt;0"))</f>
        <v>15.245400034837466</v>
      </c>
    </row>
    <row r="93" spans="1:9">
      <c r="A93">
        <v>91</v>
      </c>
      <c r="B93">
        <v>233</v>
      </c>
      <c r="C93">
        <v>233</v>
      </c>
      <c r="D93">
        <v>233</v>
      </c>
      <c r="E93" s="4">
        <f t="shared" si="4"/>
        <v>1</v>
      </c>
      <c r="F93" s="4">
        <f t="shared" si="5"/>
        <v>0</v>
      </c>
      <c r="G93" s="4">
        <f t="shared" si="6"/>
        <v>0</v>
      </c>
      <c r="H93" s="4">
        <f t="shared" si="7"/>
        <v>0</v>
      </c>
      <c r="I93" s="5">
        <f>SQRT(SUM('p-native-multi'!$C$3:C93)/COUNTIF($A$3:A93,"&lt;&gt;0"))</f>
        <v>15.245608266926295</v>
      </c>
    </row>
    <row r="94" spans="1:9">
      <c r="A94">
        <v>92</v>
      </c>
      <c r="B94">
        <v>233</v>
      </c>
      <c r="C94">
        <v>246</v>
      </c>
      <c r="D94">
        <v>233</v>
      </c>
      <c r="E94" s="4">
        <f t="shared" si="4"/>
        <v>1</v>
      </c>
      <c r="F94" s="4">
        <f t="shared" si="5"/>
        <v>13</v>
      </c>
      <c r="G94" s="4">
        <f t="shared" si="6"/>
        <v>3.1129694781631642E-3</v>
      </c>
      <c r="H94" s="4">
        <f t="shared" si="7"/>
        <v>169</v>
      </c>
      <c r="I94" s="5">
        <f>SQRT(SUM('p-native-multi'!$C$3:C94)/COUNTIF($A$3:A94,"&lt;&gt;0"))</f>
        <v>15.250445467478048</v>
      </c>
    </row>
    <row r="95" spans="1:9">
      <c r="A95">
        <v>93</v>
      </c>
      <c r="B95">
        <v>233</v>
      </c>
      <c r="C95">
        <v>206</v>
      </c>
      <c r="D95">
        <v>233</v>
      </c>
      <c r="E95" s="4">
        <f t="shared" si="4"/>
        <v>1</v>
      </c>
      <c r="F95" s="4">
        <f t="shared" si="5"/>
        <v>27</v>
      </c>
      <c r="G95" s="4">
        <f t="shared" si="6"/>
        <v>1.3428134612905008E-2</v>
      </c>
      <c r="H95" s="4">
        <f t="shared" si="7"/>
        <v>729</v>
      </c>
      <c r="I95" s="5">
        <f>SQRT(SUM('p-native-multi'!$C$3:C95)/COUNTIF($A$3:A95,"&lt;&gt;0"))</f>
        <v>15.241073537669358</v>
      </c>
    </row>
    <row r="96" spans="1:9">
      <c r="A96">
        <v>94</v>
      </c>
      <c r="B96">
        <v>233</v>
      </c>
      <c r="C96">
        <v>246</v>
      </c>
      <c r="D96">
        <v>233</v>
      </c>
      <c r="E96" s="4">
        <f t="shared" si="4"/>
        <v>1</v>
      </c>
      <c r="F96" s="4">
        <f t="shared" si="5"/>
        <v>13</v>
      </c>
      <c r="G96" s="4">
        <f t="shared" si="6"/>
        <v>3.1129694781631642E-3</v>
      </c>
      <c r="H96" s="4">
        <f t="shared" si="7"/>
        <v>169</v>
      </c>
      <c r="I96" s="5">
        <f>SQRT(SUM('p-native-multi'!$C$3:C96)/COUNTIF($A$3:A96,"&lt;&gt;0"))</f>
        <v>15.245857477123613</v>
      </c>
    </row>
    <row r="97" spans="1:9">
      <c r="A97">
        <v>95</v>
      </c>
      <c r="B97">
        <v>233</v>
      </c>
      <c r="C97">
        <v>213</v>
      </c>
      <c r="D97">
        <v>233</v>
      </c>
      <c r="E97" s="4">
        <f t="shared" si="4"/>
        <v>1</v>
      </c>
      <c r="F97" s="4">
        <f t="shared" si="5"/>
        <v>20</v>
      </c>
      <c r="G97" s="4">
        <f t="shared" si="6"/>
        <v>7.3679750962441747E-3</v>
      </c>
      <c r="H97" s="4">
        <f t="shared" si="7"/>
        <v>400</v>
      </c>
      <c r="I97" s="5">
        <f>SQRT(SUM('p-native-multi'!$C$3:C97)/COUNTIF($A$3:A97,"&lt;&gt;0"))</f>
        <v>15.239146267011431</v>
      </c>
    </row>
    <row r="98" spans="1:9">
      <c r="A98">
        <v>96</v>
      </c>
      <c r="B98">
        <v>233</v>
      </c>
      <c r="C98">
        <v>273</v>
      </c>
      <c r="D98">
        <v>233</v>
      </c>
      <c r="E98" s="4">
        <f t="shared" si="4"/>
        <v>1</v>
      </c>
      <c r="F98" s="4">
        <f t="shared" si="5"/>
        <v>40</v>
      </c>
      <c r="G98" s="4">
        <f t="shared" si="6"/>
        <v>2.9471900384976699E-2</v>
      </c>
      <c r="H98" s="4">
        <f t="shared" si="7"/>
        <v>1600</v>
      </c>
      <c r="I98" s="5">
        <f>SQRT(SUM('p-native-multi'!$C$3:C98)/COUNTIF($A$3:A98,"&lt;&gt;0"))</f>
        <v>15.2530734607816</v>
      </c>
    </row>
    <row r="99" spans="1:9">
      <c r="A99">
        <v>97</v>
      </c>
      <c r="B99">
        <v>233</v>
      </c>
      <c r="C99">
        <v>273</v>
      </c>
      <c r="D99">
        <v>233</v>
      </c>
      <c r="E99" s="4">
        <f t="shared" si="4"/>
        <v>1</v>
      </c>
      <c r="F99" s="4">
        <f t="shared" si="5"/>
        <v>40</v>
      </c>
      <c r="G99" s="4">
        <f t="shared" si="6"/>
        <v>2.9471900384976699E-2</v>
      </c>
      <c r="H99" s="4">
        <f t="shared" si="7"/>
        <v>1600</v>
      </c>
      <c r="I99" s="5">
        <f>SQRT(SUM('p-native-multi'!$C$3:C99)/COUNTIF($A$3:A99,"&lt;&gt;0"))</f>
        <v>15.266701180951097</v>
      </c>
    </row>
    <row r="100" spans="1:9">
      <c r="A100">
        <v>98</v>
      </c>
      <c r="B100">
        <v>233</v>
      </c>
      <c r="C100">
        <v>246</v>
      </c>
      <c r="D100">
        <v>233</v>
      </c>
      <c r="E100" s="4">
        <f t="shared" si="4"/>
        <v>1</v>
      </c>
      <c r="F100" s="4">
        <f t="shared" si="5"/>
        <v>13</v>
      </c>
      <c r="G100" s="4">
        <f t="shared" si="6"/>
        <v>3.1129694781631642E-3</v>
      </c>
      <c r="H100" s="4">
        <f t="shared" si="7"/>
        <v>169</v>
      </c>
      <c r="I100" s="5">
        <f>SQRT(SUM('p-native-multi'!$C$3:C100)/COUNTIF($A$3:A100,"&lt;&gt;0"))</f>
        <v>15.271020975450629</v>
      </c>
    </row>
    <row r="101" spans="1:9">
      <c r="A101">
        <v>99</v>
      </c>
      <c r="B101">
        <v>233</v>
      </c>
      <c r="C101">
        <v>193</v>
      </c>
      <c r="D101">
        <v>233</v>
      </c>
      <c r="E101" s="4">
        <f t="shared" si="4"/>
        <v>1</v>
      </c>
      <c r="F101" s="4">
        <f t="shared" si="5"/>
        <v>40</v>
      </c>
      <c r="G101" s="4">
        <f t="shared" si="6"/>
        <v>2.9471900384976699E-2</v>
      </c>
      <c r="H101" s="4">
        <f t="shared" si="7"/>
        <v>1600</v>
      </c>
      <c r="I101" s="5">
        <f>SQRT(SUM('p-native-multi'!$C$3:C101)/COUNTIF($A$3:A101,"&lt;&gt;0"))</f>
        <v>15.257718695728395</v>
      </c>
    </row>
    <row r="102" spans="1:9">
      <c r="A102">
        <v>100</v>
      </c>
      <c r="B102">
        <v>233</v>
      </c>
      <c r="C102">
        <v>293</v>
      </c>
      <c r="D102">
        <v>233</v>
      </c>
      <c r="E102" s="4">
        <f t="shared" si="4"/>
        <v>0</v>
      </c>
      <c r="F102" s="4">
        <f t="shared" si="5"/>
        <v>60</v>
      </c>
      <c r="G102" s="4">
        <f t="shared" si="6"/>
        <v>6.6311775866197561E-2</v>
      </c>
      <c r="H102" s="4">
        <f t="shared" si="7"/>
        <v>3600</v>
      </c>
      <c r="I102" s="5">
        <f>SQRT(SUM('p-native-multi'!$C$3:C102)/COUNTIF($A$3:A102,"&lt;&gt;0"))</f>
        <v>15.277434339574169</v>
      </c>
    </row>
    <row r="103" spans="1:9">
      <c r="A103">
        <v>101</v>
      </c>
      <c r="B103">
        <v>233</v>
      </c>
      <c r="C103">
        <v>233</v>
      </c>
      <c r="D103">
        <v>233</v>
      </c>
      <c r="E103" s="4">
        <f t="shared" si="4"/>
        <v>1</v>
      </c>
      <c r="F103" s="4">
        <f t="shared" si="5"/>
        <v>0</v>
      </c>
      <c r="G103" s="4">
        <f t="shared" si="6"/>
        <v>0</v>
      </c>
      <c r="H103" s="4">
        <f t="shared" si="7"/>
        <v>0</v>
      </c>
      <c r="I103" s="5">
        <f>SQRT(SUM('p-native-multi'!$C$3:C103)/COUNTIF($A$3:A103,"&lt;&gt;0"))</f>
        <v>15.277304723149316</v>
      </c>
    </row>
    <row r="104" spans="1:9">
      <c r="A104">
        <v>102</v>
      </c>
      <c r="B104">
        <v>233</v>
      </c>
      <c r="C104">
        <v>273</v>
      </c>
      <c r="D104">
        <v>233</v>
      </c>
      <c r="E104" s="4">
        <f t="shared" si="4"/>
        <v>1</v>
      </c>
      <c r="F104" s="4">
        <f t="shared" si="5"/>
        <v>40</v>
      </c>
      <c r="G104" s="4">
        <f t="shared" si="6"/>
        <v>2.9471900384976699E-2</v>
      </c>
      <c r="H104" s="4">
        <f t="shared" si="7"/>
        <v>1600</v>
      </c>
      <c r="I104" s="5">
        <f>SQRT(SUM('p-native-multi'!$C$3:C104)/COUNTIF($A$3:A104,"&lt;&gt;0"))</f>
        <v>15.29000698905956</v>
      </c>
    </row>
    <row r="105" spans="1:9">
      <c r="A105">
        <v>103</v>
      </c>
      <c r="B105">
        <v>233</v>
      </c>
      <c r="C105">
        <v>293</v>
      </c>
      <c r="D105">
        <v>233</v>
      </c>
      <c r="E105" s="4">
        <f t="shared" si="4"/>
        <v>0</v>
      </c>
      <c r="F105" s="4">
        <f t="shared" si="5"/>
        <v>60</v>
      </c>
      <c r="G105" s="4">
        <f t="shared" si="6"/>
        <v>6.6311775866197561E-2</v>
      </c>
      <c r="H105" s="4">
        <f t="shared" si="7"/>
        <v>3600</v>
      </c>
      <c r="I105" s="5">
        <f>SQRT(SUM('p-native-multi'!$C$3:C105)/COUNTIF($A$3:A105,"&lt;&gt;0"))</f>
        <v>15.308795618890823</v>
      </c>
    </row>
    <row r="106" spans="1:9">
      <c r="A106">
        <v>104</v>
      </c>
      <c r="B106">
        <v>233</v>
      </c>
      <c r="C106">
        <v>233</v>
      </c>
      <c r="D106">
        <v>233</v>
      </c>
      <c r="E106" s="4">
        <f t="shared" si="4"/>
        <v>1</v>
      </c>
      <c r="F106" s="4">
        <f t="shared" si="5"/>
        <v>0</v>
      </c>
      <c r="G106" s="4">
        <f t="shared" si="6"/>
        <v>0</v>
      </c>
      <c r="H106" s="4">
        <f t="shared" si="7"/>
        <v>0</v>
      </c>
      <c r="I106" s="5">
        <f>SQRT(SUM('p-native-multi'!$C$3:C106)/COUNTIF($A$3:A106,"&lt;&gt;0"))</f>
        <v>15.308368751965503</v>
      </c>
    </row>
    <row r="107" spans="1:9">
      <c r="A107">
        <v>105</v>
      </c>
      <c r="B107">
        <v>233</v>
      </c>
      <c r="C107">
        <v>273</v>
      </c>
      <c r="D107">
        <v>233</v>
      </c>
      <c r="E107" s="4">
        <f t="shared" si="4"/>
        <v>1</v>
      </c>
      <c r="F107" s="4">
        <f t="shared" si="5"/>
        <v>40</v>
      </c>
      <c r="G107" s="4">
        <f t="shared" si="6"/>
        <v>2.9471900384976699E-2</v>
      </c>
      <c r="H107" s="4">
        <f t="shared" si="7"/>
        <v>1600</v>
      </c>
      <c r="I107" s="5">
        <f>SQRT(SUM('p-native-multi'!$C$3:C107)/COUNTIF($A$3:A107,"&lt;&gt;0"))</f>
        <v>15.320387910046067</v>
      </c>
    </row>
    <row r="108" spans="1:9">
      <c r="A108">
        <v>106</v>
      </c>
      <c r="B108">
        <v>233</v>
      </c>
      <c r="C108">
        <v>233</v>
      </c>
      <c r="D108">
        <v>233</v>
      </c>
      <c r="E108" s="4">
        <f t="shared" si="4"/>
        <v>1</v>
      </c>
      <c r="F108" s="4">
        <f t="shared" si="5"/>
        <v>0</v>
      </c>
      <c r="G108" s="4">
        <f t="shared" si="6"/>
        <v>0</v>
      </c>
      <c r="H108" s="4">
        <f t="shared" si="7"/>
        <v>0</v>
      </c>
      <c r="I108" s="5">
        <f>SQRT(SUM('p-native-multi'!$C$3:C108)/COUNTIF($A$3:A108,"&lt;&gt;0"))</f>
        <v>15.319860090991275</v>
      </c>
    </row>
    <row r="109" spans="1:9">
      <c r="A109">
        <v>107</v>
      </c>
      <c r="B109">
        <v>233</v>
      </c>
      <c r="C109">
        <v>273</v>
      </c>
      <c r="D109">
        <v>233</v>
      </c>
      <c r="E109" s="4">
        <f t="shared" si="4"/>
        <v>1</v>
      </c>
      <c r="F109" s="4">
        <f t="shared" si="5"/>
        <v>40</v>
      </c>
      <c r="G109" s="4">
        <f t="shared" si="6"/>
        <v>2.9471900384976699E-2</v>
      </c>
      <c r="H109" s="4">
        <f t="shared" si="7"/>
        <v>1600</v>
      </c>
      <c r="I109" s="5">
        <f>SQRT(SUM('p-native-multi'!$C$3:C109)/COUNTIF($A$3:A109,"&lt;&gt;0"))</f>
        <v>15.33153856487845</v>
      </c>
    </row>
    <row r="110" spans="1:9">
      <c r="A110">
        <v>108</v>
      </c>
      <c r="B110">
        <v>233</v>
      </c>
      <c r="C110">
        <v>233</v>
      </c>
      <c r="D110">
        <v>233</v>
      </c>
      <c r="E110" s="4">
        <f t="shared" si="4"/>
        <v>1</v>
      </c>
      <c r="F110" s="4">
        <f t="shared" si="5"/>
        <v>0</v>
      </c>
      <c r="G110" s="4">
        <f t="shared" si="6"/>
        <v>0</v>
      </c>
      <c r="H110" s="4">
        <f t="shared" si="7"/>
        <v>0</v>
      </c>
      <c r="I110" s="5">
        <f>SQRT(SUM('p-native-multi'!$C$3:C110)/COUNTIF($A$3:A110,"&lt;&gt;0"))</f>
        <v>15.330917684112618</v>
      </c>
    </row>
    <row r="111" spans="1:9">
      <c r="A111">
        <v>109</v>
      </c>
      <c r="B111">
        <v>233</v>
      </c>
      <c r="C111">
        <v>273</v>
      </c>
      <c r="D111">
        <v>233</v>
      </c>
      <c r="E111" s="4">
        <f t="shared" si="4"/>
        <v>1</v>
      </c>
      <c r="F111" s="4">
        <f t="shared" si="5"/>
        <v>40</v>
      </c>
      <c r="G111" s="4">
        <f t="shared" si="6"/>
        <v>2.9471900384976699E-2</v>
      </c>
      <c r="H111" s="4">
        <f t="shared" si="7"/>
        <v>1600</v>
      </c>
      <c r="I111" s="5">
        <f>SQRT(SUM('p-native-multi'!$C$3:C111)/COUNTIF($A$3:A111,"&lt;&gt;0"))</f>
        <v>15.342272357800113</v>
      </c>
    </row>
    <row r="112" spans="1:9">
      <c r="A112">
        <v>110</v>
      </c>
      <c r="B112">
        <v>233</v>
      </c>
      <c r="C112">
        <v>279</v>
      </c>
      <c r="D112">
        <v>233</v>
      </c>
      <c r="E112" s="4">
        <f t="shared" si="4"/>
        <v>1</v>
      </c>
      <c r="F112" s="4">
        <f t="shared" si="5"/>
        <v>46</v>
      </c>
      <c r="G112" s="4">
        <f t="shared" si="6"/>
        <v>3.8976588259131681E-2</v>
      </c>
      <c r="H112" s="4">
        <f t="shared" si="7"/>
        <v>2116</v>
      </c>
      <c r="I112" s="5">
        <f>SQRT(SUM('p-native-multi'!$C$3:C112)/COUNTIF($A$3:A112,"&lt;&gt;0"))</f>
        <v>15.355188640385315</v>
      </c>
    </row>
    <row r="113" spans="1:9">
      <c r="A113">
        <v>111</v>
      </c>
      <c r="B113">
        <v>233</v>
      </c>
      <c r="C113">
        <v>233</v>
      </c>
      <c r="D113">
        <v>233</v>
      </c>
      <c r="E113" s="4">
        <f t="shared" si="4"/>
        <v>1</v>
      </c>
      <c r="F113" s="4">
        <f t="shared" si="5"/>
        <v>0</v>
      </c>
      <c r="G113" s="4">
        <f t="shared" si="6"/>
        <v>0</v>
      </c>
      <c r="H113" s="4">
        <f t="shared" si="7"/>
        <v>0</v>
      </c>
      <c r="I113" s="5">
        <f>SQRT(SUM('p-native-multi'!$C$3:C113)/COUNTIF($A$3:A113,"&lt;&gt;0"))</f>
        <v>15.354372561480874</v>
      </c>
    </row>
    <row r="114" spans="1:9">
      <c r="A114">
        <v>112</v>
      </c>
      <c r="B114">
        <v>233</v>
      </c>
      <c r="C114">
        <v>279</v>
      </c>
      <c r="D114">
        <v>233</v>
      </c>
      <c r="E114" s="4">
        <f t="shared" si="4"/>
        <v>1</v>
      </c>
      <c r="F114" s="4">
        <f t="shared" si="5"/>
        <v>46</v>
      </c>
      <c r="G114" s="4">
        <f t="shared" si="6"/>
        <v>3.8976588259131681E-2</v>
      </c>
      <c r="H114" s="4">
        <f t="shared" si="7"/>
        <v>2116</v>
      </c>
      <c r="I114" s="5">
        <f>SQRT(SUM('p-native-multi'!$C$3:C114)/COUNTIF($A$3:A114,"&lt;&gt;0"))</f>
        <v>15.366940396281139</v>
      </c>
    </row>
    <row r="115" spans="1:9">
      <c r="A115">
        <v>113</v>
      </c>
      <c r="B115">
        <v>233</v>
      </c>
      <c r="C115">
        <v>279</v>
      </c>
      <c r="D115">
        <v>233</v>
      </c>
      <c r="E115" s="4">
        <f t="shared" si="4"/>
        <v>1</v>
      </c>
      <c r="F115" s="4">
        <f t="shared" si="5"/>
        <v>46</v>
      </c>
      <c r="G115" s="4">
        <f t="shared" si="6"/>
        <v>3.8976588259131681E-2</v>
      </c>
      <c r="H115" s="4">
        <f t="shared" si="7"/>
        <v>2116</v>
      </c>
      <c r="I115" s="5">
        <f>SQRT(SUM('p-native-multi'!$C$3:C115)/COUNTIF($A$3:A115,"&lt;&gt;0"))</f>
        <v>15.379275792240847</v>
      </c>
    </row>
    <row r="116" spans="1:9">
      <c r="A116">
        <v>114</v>
      </c>
      <c r="B116">
        <v>233</v>
      </c>
      <c r="C116">
        <v>233</v>
      </c>
      <c r="D116">
        <v>233</v>
      </c>
      <c r="E116" s="4">
        <f t="shared" si="4"/>
        <v>1</v>
      </c>
      <c r="F116" s="4">
        <f t="shared" si="5"/>
        <v>0</v>
      </c>
      <c r="G116" s="4">
        <f t="shared" si="6"/>
        <v>0</v>
      </c>
      <c r="H116" s="4">
        <f t="shared" si="7"/>
        <v>0</v>
      </c>
      <c r="I116" s="5">
        <f>SQRT(SUM('p-native-multi'!$C$3:C116)/COUNTIF($A$3:A116,"&lt;&gt;0"))</f>
        <v>15.378271296546158</v>
      </c>
    </row>
    <row r="117" spans="1:9">
      <c r="A117">
        <v>115</v>
      </c>
      <c r="B117">
        <v>233</v>
      </c>
      <c r="C117">
        <v>233</v>
      </c>
      <c r="D117">
        <v>233</v>
      </c>
      <c r="E117" s="4">
        <f t="shared" si="4"/>
        <v>1</v>
      </c>
      <c r="F117" s="4">
        <f t="shared" si="5"/>
        <v>0</v>
      </c>
      <c r="G117" s="4">
        <f t="shared" si="6"/>
        <v>0</v>
      </c>
      <c r="H117" s="4">
        <f t="shared" si="7"/>
        <v>0</v>
      </c>
      <c r="I117" s="5">
        <f>SQRT(SUM('p-native-multi'!$C$3:C117)/COUNTIF($A$3:A117,"&lt;&gt;0"))</f>
        <v>15.377284206426614</v>
      </c>
    </row>
    <row r="118" spans="1:9">
      <c r="A118">
        <v>116</v>
      </c>
      <c r="B118">
        <v>233</v>
      </c>
      <c r="C118">
        <v>253</v>
      </c>
      <c r="D118">
        <v>233</v>
      </c>
      <c r="E118" s="4">
        <f t="shared" si="4"/>
        <v>1</v>
      </c>
      <c r="F118" s="4">
        <f t="shared" si="5"/>
        <v>20</v>
      </c>
      <c r="G118" s="4">
        <f t="shared" si="6"/>
        <v>7.3679750962441747E-3</v>
      </c>
      <c r="H118" s="4">
        <f t="shared" si="7"/>
        <v>400</v>
      </c>
      <c r="I118" s="5">
        <f>SQRT(SUM('p-native-multi'!$C$3:C118)/COUNTIF($A$3:A118,"&lt;&gt;0"))</f>
        <v>15.381919525074302</v>
      </c>
    </row>
    <row r="119" spans="1:9">
      <c r="A119">
        <v>117</v>
      </c>
      <c r="B119">
        <v>233</v>
      </c>
      <c r="C119">
        <v>233</v>
      </c>
      <c r="D119">
        <v>233</v>
      </c>
      <c r="E119" s="4">
        <f t="shared" si="4"/>
        <v>1</v>
      </c>
      <c r="F119" s="4">
        <f t="shared" si="5"/>
        <v>0</v>
      </c>
      <c r="G119" s="4">
        <f t="shared" si="6"/>
        <v>0</v>
      </c>
      <c r="H119" s="4">
        <f t="shared" si="7"/>
        <v>0</v>
      </c>
      <c r="I119" s="5">
        <f>SQRT(SUM('p-native-multi'!$C$3:C119)/COUNTIF($A$3:A119,"&lt;&gt;0"))</f>
        <v>15.380918359208906</v>
      </c>
    </row>
    <row r="120" spans="1:9">
      <c r="A120">
        <v>118</v>
      </c>
      <c r="B120">
        <v>233</v>
      </c>
      <c r="C120">
        <v>273</v>
      </c>
      <c r="D120">
        <v>233</v>
      </c>
      <c r="E120" s="4">
        <f t="shared" si="4"/>
        <v>1</v>
      </c>
      <c r="F120" s="4">
        <f t="shared" si="5"/>
        <v>40</v>
      </c>
      <c r="G120" s="4">
        <f t="shared" si="6"/>
        <v>2.9471900384976699E-2</v>
      </c>
      <c r="H120" s="4">
        <f t="shared" si="7"/>
        <v>1600</v>
      </c>
      <c r="I120" s="5">
        <f>SQRT(SUM('p-native-multi'!$C$3:C120)/COUNTIF($A$3:A120,"&lt;&gt;0"))</f>
        <v>15.390950455777686</v>
      </c>
    </row>
    <row r="121" spans="1:9">
      <c r="A121">
        <v>119</v>
      </c>
      <c r="B121">
        <v>233</v>
      </c>
      <c r="C121">
        <v>253</v>
      </c>
      <c r="D121">
        <v>233</v>
      </c>
      <c r="E121" s="4">
        <f t="shared" si="4"/>
        <v>1</v>
      </c>
      <c r="F121" s="4">
        <f t="shared" si="5"/>
        <v>20</v>
      </c>
      <c r="G121" s="4">
        <f t="shared" si="6"/>
        <v>7.3679750962441747E-3</v>
      </c>
      <c r="H121" s="4">
        <f t="shared" si="7"/>
        <v>400</v>
      </c>
      <c r="I121" s="5">
        <f>SQRT(SUM('p-native-multi'!$C$3:C121)/COUNTIF($A$3:A121,"&lt;&gt;0"))</f>
        <v>15.395350165640568</v>
      </c>
    </row>
    <row r="122" spans="1:9">
      <c r="A122">
        <v>120</v>
      </c>
      <c r="B122">
        <v>233</v>
      </c>
      <c r="C122">
        <v>253</v>
      </c>
      <c r="D122">
        <v>233</v>
      </c>
      <c r="E122" s="4">
        <f t="shared" si="4"/>
        <v>1</v>
      </c>
      <c r="F122" s="4">
        <f t="shared" si="5"/>
        <v>20</v>
      </c>
      <c r="G122" s="4">
        <f t="shared" si="6"/>
        <v>7.3679750962441747E-3</v>
      </c>
      <c r="H122" s="4">
        <f t="shared" si="7"/>
        <v>400</v>
      </c>
      <c r="I122" s="5">
        <f>SQRT(SUM('p-native-multi'!$C$3:C122)/COUNTIF($A$3:A122,"&lt;&gt;0"))</f>
        <v>15.399675321252719</v>
      </c>
    </row>
    <row r="123" spans="1:9">
      <c r="A123">
        <v>121</v>
      </c>
      <c r="B123">
        <v>233</v>
      </c>
      <c r="C123">
        <v>233</v>
      </c>
      <c r="D123">
        <v>233</v>
      </c>
      <c r="E123" s="4">
        <f t="shared" si="4"/>
        <v>1</v>
      </c>
      <c r="F123" s="4">
        <f t="shared" si="5"/>
        <v>0</v>
      </c>
      <c r="G123" s="4">
        <f t="shared" si="6"/>
        <v>0</v>
      </c>
      <c r="H123" s="4">
        <f t="shared" si="7"/>
        <v>0</v>
      </c>
      <c r="I123" s="5">
        <f>SQRT(SUM('p-native-multi'!$C$3:C123)/COUNTIF($A$3:A123,"&lt;&gt;0"))</f>
        <v>15.398561701644049</v>
      </c>
    </row>
    <row r="124" spans="1:9">
      <c r="A124">
        <v>122</v>
      </c>
      <c r="B124">
        <v>233</v>
      </c>
      <c r="C124">
        <v>233</v>
      </c>
      <c r="D124">
        <v>233</v>
      </c>
      <c r="E124" s="4">
        <f t="shared" si="4"/>
        <v>1</v>
      </c>
      <c r="F124" s="4">
        <f t="shared" si="5"/>
        <v>0</v>
      </c>
      <c r="G124" s="4">
        <f t="shared" si="6"/>
        <v>0</v>
      </c>
      <c r="H124" s="4">
        <f t="shared" si="7"/>
        <v>0</v>
      </c>
      <c r="I124" s="5">
        <f>SQRT(SUM('p-native-multi'!$C$3:C124)/COUNTIF($A$3:A124,"&lt;&gt;0"))</f>
        <v>15.397466259521881</v>
      </c>
    </row>
    <row r="125" spans="1:9">
      <c r="A125">
        <v>123</v>
      </c>
      <c r="B125">
        <v>233</v>
      </c>
      <c r="C125">
        <v>233</v>
      </c>
      <c r="D125">
        <v>233</v>
      </c>
      <c r="E125" s="4">
        <f t="shared" si="4"/>
        <v>1</v>
      </c>
      <c r="F125" s="4">
        <f t="shared" si="5"/>
        <v>0</v>
      </c>
      <c r="G125" s="4">
        <f t="shared" si="6"/>
        <v>0</v>
      </c>
      <c r="H125" s="4">
        <f t="shared" si="7"/>
        <v>0</v>
      </c>
      <c r="I125" s="5">
        <f>SQRT(SUM('p-native-multi'!$C$3:C125)/COUNTIF($A$3:A125,"&lt;&gt;0"))</f>
        <v>15.396388553417482</v>
      </c>
    </row>
    <row r="126" spans="1:9">
      <c r="A126">
        <v>124</v>
      </c>
      <c r="B126">
        <v>233</v>
      </c>
      <c r="C126">
        <v>233</v>
      </c>
      <c r="D126">
        <v>233</v>
      </c>
      <c r="E126" s="4">
        <f t="shared" si="4"/>
        <v>1</v>
      </c>
      <c r="F126" s="4">
        <f t="shared" si="5"/>
        <v>0</v>
      </c>
      <c r="G126" s="4">
        <f t="shared" si="6"/>
        <v>0</v>
      </c>
      <c r="H126" s="4">
        <f t="shared" si="7"/>
        <v>0</v>
      </c>
      <c r="I126" s="5">
        <f>SQRT(SUM('p-native-multi'!$C$3:C126)/COUNTIF($A$3:A126,"&lt;&gt;0"))</f>
        <v>15.39532815604325</v>
      </c>
    </row>
    <row r="127" spans="1:9">
      <c r="A127">
        <v>125</v>
      </c>
      <c r="B127">
        <v>233</v>
      </c>
      <c r="C127">
        <v>273</v>
      </c>
      <c r="D127">
        <v>233</v>
      </c>
      <c r="E127" s="4">
        <f t="shared" si="4"/>
        <v>1</v>
      </c>
      <c r="F127" s="4">
        <f t="shared" si="5"/>
        <v>40</v>
      </c>
      <c r="G127" s="4">
        <f t="shared" si="6"/>
        <v>2.9471900384976699E-2</v>
      </c>
      <c r="H127" s="4">
        <f t="shared" si="7"/>
        <v>1600</v>
      </c>
      <c r="I127" s="5">
        <f>SQRT(SUM('p-native-multi'!$C$3:C127)/COUNTIF($A$3:A127,"&lt;&gt;0"))</f>
        <v>15.404674615193922</v>
      </c>
    </row>
    <row r="128" spans="1:9">
      <c r="A128">
        <v>126</v>
      </c>
      <c r="B128">
        <v>233</v>
      </c>
      <c r="C128">
        <v>279</v>
      </c>
      <c r="D128">
        <v>233</v>
      </c>
      <c r="E128" s="4">
        <f t="shared" si="4"/>
        <v>1</v>
      </c>
      <c r="F128" s="4">
        <f t="shared" si="5"/>
        <v>46</v>
      </c>
      <c r="G128" s="4">
        <f t="shared" si="6"/>
        <v>3.8976588259131681E-2</v>
      </c>
      <c r="H128" s="4">
        <f t="shared" si="7"/>
        <v>2116</v>
      </c>
      <c r="I128" s="5">
        <f>SQRT(SUM('p-native-multi'!$C$3:C128)/COUNTIF($A$3:A128,"&lt;&gt;0"))</f>
        <v>15.415411789339935</v>
      </c>
    </row>
    <row r="129" spans="1:9">
      <c r="A129">
        <v>127</v>
      </c>
      <c r="B129">
        <v>233</v>
      </c>
      <c r="C129">
        <v>273</v>
      </c>
      <c r="D129">
        <v>233</v>
      </c>
      <c r="E129" s="4">
        <f t="shared" si="4"/>
        <v>1</v>
      </c>
      <c r="F129" s="4">
        <f t="shared" si="5"/>
        <v>40</v>
      </c>
      <c r="G129" s="4">
        <f t="shared" si="6"/>
        <v>2.9471900384976699E-2</v>
      </c>
      <c r="H129" s="4">
        <f t="shared" si="7"/>
        <v>1600</v>
      </c>
      <c r="I129" s="5">
        <f>SQRT(SUM('p-native-multi'!$C$3:C129)/COUNTIF($A$3:A129,"&lt;&gt;0"))</f>
        <v>15.42444118361413</v>
      </c>
    </row>
    <row r="130" spans="1:9">
      <c r="A130">
        <v>128</v>
      </c>
      <c r="B130">
        <v>233</v>
      </c>
      <c r="C130">
        <v>279</v>
      </c>
      <c r="D130">
        <v>233</v>
      </c>
      <c r="E130" s="4">
        <f t="shared" si="4"/>
        <v>1</v>
      </c>
      <c r="F130" s="4">
        <f t="shared" si="5"/>
        <v>46</v>
      </c>
      <c r="G130" s="4">
        <f t="shared" si="6"/>
        <v>3.8976588259131681E-2</v>
      </c>
      <c r="H130" s="4">
        <f t="shared" si="7"/>
        <v>2116</v>
      </c>
      <c r="I130" s="5">
        <f>SQRT(SUM('p-native-multi'!$C$3:C130)/COUNTIF($A$3:A130,"&lt;&gt;0"))</f>
        <v>15.434842888737158</v>
      </c>
    </row>
    <row r="131" spans="1:9">
      <c r="A131">
        <v>129</v>
      </c>
      <c r="B131">
        <v>233</v>
      </c>
      <c r="C131">
        <v>253</v>
      </c>
      <c r="D131">
        <v>233</v>
      </c>
      <c r="E131" s="4">
        <f t="shared" si="4"/>
        <v>1</v>
      </c>
      <c r="F131" s="4">
        <f t="shared" si="5"/>
        <v>20</v>
      </c>
      <c r="G131" s="4">
        <f t="shared" si="6"/>
        <v>7.3679750962441747E-3</v>
      </c>
      <c r="H131" s="4">
        <f t="shared" si="7"/>
        <v>400</v>
      </c>
      <c r="I131" s="5">
        <f>SQRT(SUM('p-native-multi'!$C$3:C131)/COUNTIF($A$3:A131,"&lt;&gt;0"))</f>
        <v>15.438550359710018</v>
      </c>
    </row>
    <row r="132" spans="1:9">
      <c r="A132">
        <v>130</v>
      </c>
      <c r="B132">
        <v>233</v>
      </c>
      <c r="C132">
        <v>233</v>
      </c>
      <c r="D132">
        <v>233</v>
      </c>
      <c r="E132" s="4">
        <f t="shared" ref="E132:E195" si="8">IF(AND(C132&lt;=B132*1.2,C132&gt;=B132*0.8),1,0)</f>
        <v>1</v>
      </c>
      <c r="F132" s="4">
        <f t="shared" ref="F132:F195" si="9">ABS(B132-C132)</f>
        <v>0</v>
      </c>
      <c r="G132" s="4">
        <f t="shared" ref="G132:G195" si="10">POWER(ABS(B132-C132)/B132,2)</f>
        <v>0</v>
      </c>
      <c r="H132" s="4">
        <f t="shared" ref="H132:H195" si="11">POWER(F132,2)</f>
        <v>0</v>
      </c>
      <c r="I132" s="5">
        <f>SQRT(SUM('p-native-multi'!$C$3:C132)/COUNTIF($A$3:A132,"&lt;&gt;0"))</f>
        <v>15.437217764470782</v>
      </c>
    </row>
    <row r="133" spans="1:9">
      <c r="A133">
        <v>131</v>
      </c>
      <c r="B133">
        <v>233</v>
      </c>
      <c r="C133">
        <v>233</v>
      </c>
      <c r="D133">
        <v>233</v>
      </c>
      <c r="E133" s="4">
        <f t="shared" si="8"/>
        <v>1</v>
      </c>
      <c r="F133" s="4">
        <f t="shared" si="9"/>
        <v>0</v>
      </c>
      <c r="G133" s="4">
        <f t="shared" si="10"/>
        <v>0</v>
      </c>
      <c r="H133" s="4">
        <f t="shared" si="11"/>
        <v>0</v>
      </c>
      <c r="I133" s="5">
        <f>SQRT(SUM('p-native-multi'!$C$3:C133)/COUNTIF($A$3:A133,"&lt;&gt;0"))</f>
        <v>15.435905401774107</v>
      </c>
    </row>
    <row r="134" spans="1:9">
      <c r="A134">
        <v>132</v>
      </c>
      <c r="B134">
        <v>233</v>
      </c>
      <c r="C134">
        <v>233</v>
      </c>
      <c r="D134">
        <v>233</v>
      </c>
      <c r="E134" s="4">
        <f t="shared" si="8"/>
        <v>1</v>
      </c>
      <c r="F134" s="4">
        <f t="shared" si="9"/>
        <v>0</v>
      </c>
      <c r="G134" s="4">
        <f t="shared" si="10"/>
        <v>0</v>
      </c>
      <c r="H134" s="4">
        <f t="shared" si="11"/>
        <v>0</v>
      </c>
      <c r="I134" s="5">
        <f>SQRT(SUM('p-native-multi'!$C$3:C134)/COUNTIF($A$3:A134,"&lt;&gt;0"))</f>
        <v>15.434612814297374</v>
      </c>
    </row>
    <row r="135" spans="1:9">
      <c r="A135">
        <v>133</v>
      </c>
      <c r="B135">
        <v>233</v>
      </c>
      <c r="C135">
        <v>273</v>
      </c>
      <c r="D135">
        <v>233</v>
      </c>
      <c r="E135" s="4">
        <f t="shared" si="8"/>
        <v>1</v>
      </c>
      <c r="F135" s="4">
        <f t="shared" si="9"/>
        <v>40</v>
      </c>
      <c r="G135" s="4">
        <f t="shared" si="10"/>
        <v>2.9471900384976699E-2</v>
      </c>
      <c r="H135" s="4">
        <f t="shared" si="11"/>
        <v>1600</v>
      </c>
      <c r="I135" s="5">
        <f>SQRT(SUM('p-native-multi'!$C$3:C135)/COUNTIF($A$3:A135,"&lt;&gt;0"))</f>
        <v>15.443080062102613</v>
      </c>
    </row>
    <row r="136" spans="1:9">
      <c r="A136">
        <v>134</v>
      </c>
      <c r="B136">
        <v>233</v>
      </c>
      <c r="C136">
        <v>233</v>
      </c>
      <c r="D136">
        <v>233</v>
      </c>
      <c r="E136" s="4">
        <f t="shared" si="8"/>
        <v>1</v>
      </c>
      <c r="F136" s="4">
        <f t="shared" si="9"/>
        <v>0</v>
      </c>
      <c r="G136" s="4">
        <f t="shared" si="10"/>
        <v>0</v>
      </c>
      <c r="H136" s="4">
        <f t="shared" si="11"/>
        <v>0</v>
      </c>
      <c r="I136" s="5">
        <f>SQRT(SUM('p-native-multi'!$C$3:C136)/COUNTIF($A$3:A136,"&lt;&gt;0"))</f>
        <v>15.441753825068895</v>
      </c>
    </row>
    <row r="137" spans="1:9">
      <c r="A137">
        <v>135</v>
      </c>
      <c r="B137">
        <v>233</v>
      </c>
      <c r="C137">
        <v>233</v>
      </c>
      <c r="D137">
        <v>233</v>
      </c>
      <c r="E137" s="4">
        <f t="shared" si="8"/>
        <v>1</v>
      </c>
      <c r="F137" s="4">
        <f t="shared" si="9"/>
        <v>0</v>
      </c>
      <c r="G137" s="4">
        <f t="shared" si="10"/>
        <v>0</v>
      </c>
      <c r="H137" s="4">
        <f t="shared" si="11"/>
        <v>0</v>
      </c>
      <c r="I137" s="5">
        <f>SQRT(SUM('p-native-multi'!$C$3:C137)/COUNTIF($A$3:A137,"&lt;&gt;0"))</f>
        <v>15.440447124594787</v>
      </c>
    </row>
    <row r="138" spans="1:9">
      <c r="A138">
        <v>136</v>
      </c>
      <c r="B138">
        <v>233</v>
      </c>
      <c r="C138">
        <v>273</v>
      </c>
      <c r="D138">
        <v>233</v>
      </c>
      <c r="E138" s="4">
        <f t="shared" si="8"/>
        <v>1</v>
      </c>
      <c r="F138" s="4">
        <f t="shared" si="9"/>
        <v>40</v>
      </c>
      <c r="G138" s="4">
        <f t="shared" si="10"/>
        <v>2.9471900384976699E-2</v>
      </c>
      <c r="H138" s="4">
        <f t="shared" si="11"/>
        <v>1600</v>
      </c>
      <c r="I138" s="5">
        <f>SQRT(SUM('p-native-multi'!$C$3:C138)/COUNTIF($A$3:A138,"&lt;&gt;0"))</f>
        <v>15.448681649444472</v>
      </c>
    </row>
    <row r="139" spans="1:9">
      <c r="A139">
        <v>137</v>
      </c>
      <c r="B139">
        <v>233</v>
      </c>
      <c r="C139">
        <v>253</v>
      </c>
      <c r="D139">
        <v>233</v>
      </c>
      <c r="E139" s="4">
        <f t="shared" si="8"/>
        <v>1</v>
      </c>
      <c r="F139" s="4">
        <f t="shared" si="9"/>
        <v>20</v>
      </c>
      <c r="G139" s="4">
        <f t="shared" si="10"/>
        <v>7.3679750962441747E-3</v>
      </c>
      <c r="H139" s="4">
        <f t="shared" si="11"/>
        <v>400</v>
      </c>
      <c r="I139" s="5">
        <f>SQRT(SUM('p-native-multi'!$C$3:C139)/COUNTIF($A$3:A139,"&lt;&gt;0"))</f>
        <v>15.452068578596984</v>
      </c>
    </row>
    <row r="140" spans="1:9">
      <c r="A140">
        <v>138</v>
      </c>
      <c r="B140">
        <v>233</v>
      </c>
      <c r="C140">
        <v>253</v>
      </c>
      <c r="D140">
        <v>233</v>
      </c>
      <c r="E140" s="4">
        <f t="shared" si="8"/>
        <v>1</v>
      </c>
      <c r="F140" s="4">
        <f t="shared" si="9"/>
        <v>20</v>
      </c>
      <c r="G140" s="4">
        <f t="shared" si="10"/>
        <v>7.3679750962441747E-3</v>
      </c>
      <c r="H140" s="4">
        <f t="shared" si="11"/>
        <v>400</v>
      </c>
      <c r="I140" s="5">
        <f>SQRT(SUM('p-native-multi'!$C$3:C140)/COUNTIF($A$3:A140,"&lt;&gt;0"))</f>
        <v>15.455405695658438</v>
      </c>
    </row>
    <row r="141" spans="1:9">
      <c r="A141">
        <v>139</v>
      </c>
      <c r="B141">
        <v>233</v>
      </c>
      <c r="C141">
        <v>273</v>
      </c>
      <c r="D141">
        <v>233</v>
      </c>
      <c r="E141" s="4">
        <f t="shared" si="8"/>
        <v>1</v>
      </c>
      <c r="F141" s="4">
        <f t="shared" si="9"/>
        <v>40</v>
      </c>
      <c r="G141" s="4">
        <f t="shared" si="10"/>
        <v>2.9471900384976699E-2</v>
      </c>
      <c r="H141" s="4">
        <f t="shared" si="11"/>
        <v>1600</v>
      </c>
      <c r="I141" s="5">
        <f>SQRT(SUM('p-native-multi'!$C$3:C141)/COUNTIF($A$3:A141,"&lt;&gt;0"))</f>
        <v>15.463347241579653</v>
      </c>
    </row>
    <row r="142" spans="1:9">
      <c r="A142">
        <v>140</v>
      </c>
      <c r="B142">
        <v>233</v>
      </c>
      <c r="C142">
        <v>273</v>
      </c>
      <c r="D142">
        <v>233</v>
      </c>
      <c r="E142" s="4">
        <f t="shared" si="8"/>
        <v>1</v>
      </c>
      <c r="F142" s="4">
        <f t="shared" si="9"/>
        <v>40</v>
      </c>
      <c r="G142" s="4">
        <f t="shared" si="10"/>
        <v>2.9471900384976699E-2</v>
      </c>
      <c r="H142" s="4">
        <f t="shared" si="11"/>
        <v>1600</v>
      </c>
      <c r="I142" s="5">
        <f>SQRT(SUM('p-native-multi'!$C$3:C142)/COUNTIF($A$3:A142,"&lt;&gt;0"))</f>
        <v>15.471171347287925</v>
      </c>
    </row>
    <row r="143" spans="1:9">
      <c r="A143">
        <v>141</v>
      </c>
      <c r="B143">
        <v>233</v>
      </c>
      <c r="C143">
        <v>273</v>
      </c>
      <c r="D143">
        <v>233</v>
      </c>
      <c r="E143" s="4">
        <f t="shared" si="8"/>
        <v>1</v>
      </c>
      <c r="F143" s="4">
        <f t="shared" si="9"/>
        <v>40</v>
      </c>
      <c r="G143" s="4">
        <f t="shared" si="10"/>
        <v>2.9471900384976699E-2</v>
      </c>
      <c r="H143" s="4">
        <f t="shared" si="11"/>
        <v>1600</v>
      </c>
      <c r="I143" s="5">
        <f>SQRT(SUM('p-native-multi'!$C$3:C143)/COUNTIF($A$3:A143,"&lt;&gt;0"))</f>
        <v>15.478880601673076</v>
      </c>
    </row>
    <row r="144" spans="1:9">
      <c r="A144">
        <v>142</v>
      </c>
      <c r="B144">
        <v>233</v>
      </c>
      <c r="C144">
        <v>233</v>
      </c>
      <c r="D144">
        <v>233</v>
      </c>
      <c r="E144" s="4">
        <f t="shared" si="8"/>
        <v>1</v>
      </c>
      <c r="F144" s="4">
        <f t="shared" si="9"/>
        <v>0</v>
      </c>
      <c r="G144" s="4">
        <f t="shared" si="10"/>
        <v>0</v>
      </c>
      <c r="H144" s="4">
        <f t="shared" si="11"/>
        <v>0</v>
      </c>
      <c r="I144" s="5">
        <f>SQRT(SUM('p-native-multi'!$C$3:C144)/COUNTIF($A$3:A144,"&lt;&gt;0"))</f>
        <v>15.477380132782416</v>
      </c>
    </row>
    <row r="145" spans="1:9">
      <c r="A145">
        <v>143</v>
      </c>
      <c r="B145">
        <v>233</v>
      </c>
      <c r="C145">
        <v>233</v>
      </c>
      <c r="D145">
        <v>233</v>
      </c>
      <c r="E145" s="4">
        <f t="shared" si="8"/>
        <v>1</v>
      </c>
      <c r="F145" s="4">
        <f t="shared" si="9"/>
        <v>0</v>
      </c>
      <c r="G145" s="4">
        <f t="shared" si="10"/>
        <v>0</v>
      </c>
      <c r="H145" s="4">
        <f t="shared" si="11"/>
        <v>0</v>
      </c>
      <c r="I145" s="5">
        <f>SQRT(SUM('p-native-multi'!$C$3:C145)/COUNTIF($A$3:A145,"&lt;&gt;0"))</f>
        <v>15.475900507030165</v>
      </c>
    </row>
    <row r="146" spans="1:9">
      <c r="A146">
        <v>144</v>
      </c>
      <c r="B146">
        <v>233</v>
      </c>
      <c r="C146">
        <v>273</v>
      </c>
      <c r="D146">
        <v>233</v>
      </c>
      <c r="E146" s="4">
        <f t="shared" si="8"/>
        <v>1</v>
      </c>
      <c r="F146" s="4">
        <f t="shared" si="9"/>
        <v>40</v>
      </c>
      <c r="G146" s="4">
        <f t="shared" si="10"/>
        <v>2.9471900384976699E-2</v>
      </c>
      <c r="H146" s="4">
        <f t="shared" si="11"/>
        <v>1600</v>
      </c>
      <c r="I146" s="5">
        <f>SQRT(SUM('p-native-multi'!$C$3:C146)/COUNTIF($A$3:A146,"&lt;&gt;0"))</f>
        <v>15.483414065092722</v>
      </c>
    </row>
    <row r="147" spans="1:9">
      <c r="A147">
        <v>145</v>
      </c>
      <c r="B147">
        <v>233</v>
      </c>
      <c r="C147">
        <v>233</v>
      </c>
      <c r="D147">
        <v>233</v>
      </c>
      <c r="E147" s="4">
        <f t="shared" si="8"/>
        <v>1</v>
      </c>
      <c r="F147" s="4">
        <f t="shared" si="9"/>
        <v>0</v>
      </c>
      <c r="G147" s="4">
        <f t="shared" si="10"/>
        <v>0</v>
      </c>
      <c r="H147" s="4">
        <f t="shared" si="11"/>
        <v>0</v>
      </c>
      <c r="I147" s="5">
        <f>SQRT(SUM('p-native-multi'!$C$3:C147)/COUNTIF($A$3:A147,"&lt;&gt;0"))</f>
        <v>15.48191380845449</v>
      </c>
    </row>
    <row r="148" spans="1:9">
      <c r="A148">
        <v>146</v>
      </c>
      <c r="B148">
        <v>233</v>
      </c>
      <c r="C148">
        <v>279</v>
      </c>
      <c r="D148">
        <v>233</v>
      </c>
      <c r="E148" s="4">
        <f t="shared" si="8"/>
        <v>1</v>
      </c>
      <c r="F148" s="4">
        <f t="shared" si="9"/>
        <v>46</v>
      </c>
      <c r="G148" s="4">
        <f t="shared" si="10"/>
        <v>3.8976588259131681E-2</v>
      </c>
      <c r="H148" s="4">
        <f t="shared" si="11"/>
        <v>2116</v>
      </c>
      <c r="I148" s="5">
        <f>SQRT(SUM('p-native-multi'!$C$3:C148)/COUNTIF($A$3:A148,"&lt;&gt;0"))</f>
        <v>15.490606963885858</v>
      </c>
    </row>
    <row r="149" spans="1:9">
      <c r="A149">
        <v>147</v>
      </c>
      <c r="B149">
        <v>233</v>
      </c>
      <c r="C149">
        <v>279</v>
      </c>
      <c r="D149">
        <v>233</v>
      </c>
      <c r="E149" s="4">
        <f t="shared" si="8"/>
        <v>1</v>
      </c>
      <c r="F149" s="4">
        <f t="shared" si="9"/>
        <v>46</v>
      </c>
      <c r="G149" s="4">
        <f t="shared" si="10"/>
        <v>3.8976588259131681E-2</v>
      </c>
      <c r="H149" s="4">
        <f t="shared" si="11"/>
        <v>2116</v>
      </c>
      <c r="I149" s="5">
        <f>SQRT(SUM('p-native-multi'!$C$3:C149)/COUNTIF($A$3:A149,"&lt;&gt;0"))</f>
        <v>15.499177068345221</v>
      </c>
    </row>
    <row r="150" spans="1:9">
      <c r="A150">
        <v>148</v>
      </c>
      <c r="B150">
        <v>233</v>
      </c>
      <c r="C150">
        <v>253</v>
      </c>
      <c r="D150">
        <v>233</v>
      </c>
      <c r="E150" s="4">
        <f t="shared" si="8"/>
        <v>1</v>
      </c>
      <c r="F150" s="4">
        <f t="shared" si="9"/>
        <v>20</v>
      </c>
      <c r="G150" s="4">
        <f t="shared" si="10"/>
        <v>7.3679750962441747E-3</v>
      </c>
      <c r="H150" s="4">
        <f t="shared" si="11"/>
        <v>400</v>
      </c>
      <c r="I150" s="5">
        <f>SQRT(SUM('p-native-multi'!$C$3:C150)/COUNTIF($A$3:A150,"&lt;&gt;0"))</f>
        <v>15.501961514944192</v>
      </c>
    </row>
    <row r="151" spans="1:9">
      <c r="A151">
        <v>149</v>
      </c>
      <c r="B151">
        <v>233</v>
      </c>
      <c r="C151">
        <v>279</v>
      </c>
      <c r="D151">
        <v>233</v>
      </c>
      <c r="E151" s="4">
        <f t="shared" si="8"/>
        <v>1</v>
      </c>
      <c r="F151" s="4">
        <f t="shared" si="9"/>
        <v>46</v>
      </c>
      <c r="G151" s="4">
        <f t="shared" si="10"/>
        <v>3.8976588259131681E-2</v>
      </c>
      <c r="H151" s="4">
        <f t="shared" si="11"/>
        <v>2116</v>
      </c>
      <c r="I151" s="5">
        <f>SQRT(SUM('p-native-multi'!$C$3:C151)/COUNTIF($A$3:A151,"&lt;&gt;0"))</f>
        <v>15.510334290358081</v>
      </c>
    </row>
    <row r="152" spans="1:9">
      <c r="A152">
        <v>150</v>
      </c>
      <c r="B152">
        <v>233</v>
      </c>
      <c r="C152">
        <v>273</v>
      </c>
      <c r="D152">
        <v>233</v>
      </c>
      <c r="E152" s="4">
        <f t="shared" si="8"/>
        <v>1</v>
      </c>
      <c r="F152" s="4">
        <f t="shared" si="9"/>
        <v>40</v>
      </c>
      <c r="G152" s="4">
        <f t="shared" si="10"/>
        <v>2.9471900384976699E-2</v>
      </c>
      <c r="H152" s="4">
        <f t="shared" si="11"/>
        <v>1600</v>
      </c>
      <c r="I152" s="5">
        <f>SQRT(SUM('p-native-multi'!$C$3:C152)/COUNTIF($A$3:A152,"&lt;&gt;0"))</f>
        <v>15.517302171017572</v>
      </c>
    </row>
    <row r="153" spans="1:9">
      <c r="A153">
        <v>151</v>
      </c>
      <c r="B153">
        <v>498</v>
      </c>
      <c r="C153">
        <v>273</v>
      </c>
      <c r="D153">
        <v>233</v>
      </c>
      <c r="E153" s="4">
        <f t="shared" si="8"/>
        <v>0</v>
      </c>
      <c r="F153" s="4">
        <f t="shared" si="9"/>
        <v>225</v>
      </c>
      <c r="G153" s="4">
        <f t="shared" si="10"/>
        <v>0.20412977210045</v>
      </c>
      <c r="H153" s="4">
        <f t="shared" si="11"/>
        <v>50625</v>
      </c>
      <c r="I153" s="5">
        <f>SQRT(SUM('p-native-multi'!$C$3:C153)/COUNTIF($A$3:A153,"&lt;&gt;0"))</f>
        <v>15.524174696260024</v>
      </c>
    </row>
    <row r="154" spans="1:9">
      <c r="A154">
        <v>152</v>
      </c>
      <c r="B154">
        <v>498</v>
      </c>
      <c r="C154">
        <v>233</v>
      </c>
      <c r="D154">
        <v>233</v>
      </c>
      <c r="E154" s="4">
        <f t="shared" si="8"/>
        <v>0</v>
      </c>
      <c r="F154" s="4">
        <f t="shared" si="9"/>
        <v>265</v>
      </c>
      <c r="G154" s="4">
        <f t="shared" si="10"/>
        <v>0.2831607554716859</v>
      </c>
      <c r="H154" s="4">
        <f t="shared" si="11"/>
        <v>70225</v>
      </c>
      <c r="I154" s="5">
        <f>SQRT(SUM('p-native-multi'!$C$3:C154)/COUNTIF($A$3:A154,"&lt;&gt;0"))</f>
        <v>15.522479454682896</v>
      </c>
    </row>
    <row r="155" spans="1:9">
      <c r="A155">
        <v>153</v>
      </c>
      <c r="B155">
        <v>498</v>
      </c>
      <c r="C155">
        <v>233</v>
      </c>
      <c r="D155">
        <v>233</v>
      </c>
      <c r="E155" s="4">
        <f t="shared" si="8"/>
        <v>0</v>
      </c>
      <c r="F155" s="4">
        <f t="shared" si="9"/>
        <v>265</v>
      </c>
      <c r="G155" s="4">
        <f t="shared" si="10"/>
        <v>0.2831607554716859</v>
      </c>
      <c r="H155" s="4">
        <f t="shared" si="11"/>
        <v>70225</v>
      </c>
      <c r="I155" s="5">
        <f>SQRT(SUM('p-native-multi'!$C$3:C155)/COUNTIF($A$3:A155,"&lt;&gt;0"))</f>
        <v>15.520806191580427</v>
      </c>
    </row>
    <row r="156" spans="1:9">
      <c r="A156">
        <v>154</v>
      </c>
      <c r="B156">
        <v>498</v>
      </c>
      <c r="C156">
        <v>253</v>
      </c>
      <c r="D156">
        <v>233</v>
      </c>
      <c r="E156" s="4">
        <f t="shared" si="8"/>
        <v>0</v>
      </c>
      <c r="F156" s="4">
        <f t="shared" si="9"/>
        <v>245</v>
      </c>
      <c r="G156" s="4">
        <f t="shared" si="10"/>
        <v>0.24203238657441009</v>
      </c>
      <c r="H156" s="4">
        <f t="shared" si="11"/>
        <v>60025</v>
      </c>
      <c r="I156" s="5">
        <f>SQRT(SUM('p-native-multi'!$C$3:C156)/COUNTIF($A$3:A156,"&lt;&gt;0"))</f>
        <v>15.523338106671064</v>
      </c>
    </row>
    <row r="157" spans="1:9">
      <c r="A157">
        <v>155</v>
      </c>
      <c r="B157">
        <v>498</v>
      </c>
      <c r="C157">
        <v>233</v>
      </c>
      <c r="D157">
        <v>233</v>
      </c>
      <c r="E157" s="4">
        <f t="shared" si="8"/>
        <v>0</v>
      </c>
      <c r="F157" s="4">
        <f t="shared" si="9"/>
        <v>265</v>
      </c>
      <c r="G157" s="4">
        <f t="shared" si="10"/>
        <v>0.2831607554716859</v>
      </c>
      <c r="H157" s="4">
        <f t="shared" si="11"/>
        <v>70225</v>
      </c>
      <c r="I157" s="5">
        <f>SQRT(SUM('p-native-multi'!$C$3:C157)/COUNTIF($A$3:A157,"&lt;&gt;0"))</f>
        <v>15.521680986451219</v>
      </c>
    </row>
    <row r="158" spans="1:9">
      <c r="A158">
        <v>156</v>
      </c>
      <c r="B158">
        <v>498</v>
      </c>
      <c r="C158">
        <v>233</v>
      </c>
      <c r="D158">
        <v>233</v>
      </c>
      <c r="E158" s="4">
        <f t="shared" si="8"/>
        <v>0</v>
      </c>
      <c r="F158" s="4">
        <f t="shared" si="9"/>
        <v>265</v>
      </c>
      <c r="G158" s="4">
        <f t="shared" si="10"/>
        <v>0.2831607554716859</v>
      </c>
      <c r="H158" s="4">
        <f t="shared" si="11"/>
        <v>70225</v>
      </c>
      <c r="I158" s="5">
        <f>SQRT(SUM('p-native-multi'!$C$3:C158)/COUNTIF($A$3:A158,"&lt;&gt;0"))</f>
        <v>15.52004493781493</v>
      </c>
    </row>
    <row r="159" spans="1:9">
      <c r="A159">
        <v>157</v>
      </c>
      <c r="B159">
        <v>498</v>
      </c>
      <c r="C159">
        <v>279</v>
      </c>
      <c r="D159">
        <v>233</v>
      </c>
      <c r="E159" s="4">
        <f t="shared" si="8"/>
        <v>0</v>
      </c>
      <c r="F159" s="4">
        <f t="shared" si="9"/>
        <v>219</v>
      </c>
      <c r="G159" s="4">
        <f t="shared" si="10"/>
        <v>0.19338800987080851</v>
      </c>
      <c r="H159" s="4">
        <f t="shared" si="11"/>
        <v>47961</v>
      </c>
      <c r="I159" s="5">
        <f>SQRT(SUM('p-native-multi'!$C$3:C159)/COUNTIF($A$3:A159,"&lt;&gt;0"))</f>
        <v>15.527866874800566</v>
      </c>
    </row>
    <row r="160" spans="1:9">
      <c r="A160">
        <v>158</v>
      </c>
      <c r="B160">
        <v>498</v>
      </c>
      <c r="C160">
        <v>273</v>
      </c>
      <c r="D160">
        <v>233</v>
      </c>
      <c r="E160" s="4">
        <f t="shared" si="8"/>
        <v>0</v>
      </c>
      <c r="F160" s="4">
        <f t="shared" si="9"/>
        <v>225</v>
      </c>
      <c r="G160" s="4">
        <f t="shared" si="10"/>
        <v>0.20412977210045</v>
      </c>
      <c r="H160" s="4">
        <f t="shared" si="11"/>
        <v>50625</v>
      </c>
      <c r="I160" s="5">
        <f>SQRT(SUM('p-native-multi'!$C$3:C160)/COUNTIF($A$3:A160,"&lt;&gt;0"))</f>
        <v>15.5343637042591</v>
      </c>
    </row>
    <row r="161" spans="1:9">
      <c r="A161">
        <v>159</v>
      </c>
      <c r="B161">
        <v>498</v>
      </c>
      <c r="C161">
        <v>233</v>
      </c>
      <c r="D161">
        <v>233</v>
      </c>
      <c r="E161" s="4">
        <f t="shared" si="8"/>
        <v>0</v>
      </c>
      <c r="F161" s="4">
        <f t="shared" si="9"/>
        <v>265</v>
      </c>
      <c r="G161" s="4">
        <f t="shared" si="10"/>
        <v>0.2831607554716859</v>
      </c>
      <c r="H161" s="4">
        <f t="shared" si="11"/>
        <v>70225</v>
      </c>
      <c r="I161" s="5">
        <f>SQRT(SUM('p-native-multi'!$C$3:C161)/COUNTIF($A$3:A161,"&lt;&gt;0"))</f>
        <v>15.532680095315046</v>
      </c>
    </row>
    <row r="162" spans="1:9">
      <c r="A162">
        <v>160</v>
      </c>
      <c r="B162">
        <v>498</v>
      </c>
      <c r="C162">
        <v>233</v>
      </c>
      <c r="D162">
        <v>233</v>
      </c>
      <c r="E162" s="4">
        <f t="shared" si="8"/>
        <v>0</v>
      </c>
      <c r="F162" s="4">
        <f t="shared" si="9"/>
        <v>265</v>
      </c>
      <c r="G162" s="4">
        <f t="shared" si="10"/>
        <v>0.2831607554716859</v>
      </c>
      <c r="H162" s="4">
        <f t="shared" si="11"/>
        <v>70225</v>
      </c>
      <c r="I162" s="5">
        <f>SQRT(SUM('p-native-multi'!$C$3:C162)/COUNTIF($A$3:A162,"&lt;&gt;0"))</f>
        <v>15.531017352382296</v>
      </c>
    </row>
    <row r="163" spans="1:9">
      <c r="A163">
        <v>161</v>
      </c>
      <c r="B163">
        <v>498</v>
      </c>
      <c r="C163">
        <v>273</v>
      </c>
      <c r="D163">
        <v>233</v>
      </c>
      <c r="E163" s="4">
        <f t="shared" si="8"/>
        <v>0</v>
      </c>
      <c r="F163" s="4">
        <f t="shared" si="9"/>
        <v>225</v>
      </c>
      <c r="G163" s="4">
        <f t="shared" si="10"/>
        <v>0.20412977210045</v>
      </c>
      <c r="H163" s="4">
        <f t="shared" si="11"/>
        <v>50625</v>
      </c>
      <c r="I163" s="5">
        <f>SQRT(SUM('p-native-multi'!$C$3:C163)/COUNTIF($A$3:A163,"&lt;&gt;0"))</f>
        <v>15.537372296762369</v>
      </c>
    </row>
    <row r="164" spans="1:9">
      <c r="A164">
        <v>162</v>
      </c>
      <c r="B164">
        <v>498</v>
      </c>
      <c r="C164">
        <v>253</v>
      </c>
      <c r="D164">
        <v>233</v>
      </c>
      <c r="E164" s="4">
        <f t="shared" si="8"/>
        <v>0</v>
      </c>
      <c r="F164" s="4">
        <f t="shared" si="9"/>
        <v>245</v>
      </c>
      <c r="G164" s="4">
        <f t="shared" si="10"/>
        <v>0.24203238657441009</v>
      </c>
      <c r="H164" s="4">
        <f t="shared" si="11"/>
        <v>60025</v>
      </c>
      <c r="I164" s="5">
        <f>SQRT(SUM('p-native-multi'!$C$3:C164)/COUNTIF($A$3:A164,"&lt;&gt;0"))</f>
        <v>15.539674432930745</v>
      </c>
    </row>
    <row r="165" spans="1:9">
      <c r="A165">
        <v>163</v>
      </c>
      <c r="B165">
        <v>498</v>
      </c>
      <c r="C165">
        <v>233</v>
      </c>
      <c r="D165">
        <v>233</v>
      </c>
      <c r="E165" s="4">
        <f t="shared" si="8"/>
        <v>0</v>
      </c>
      <c r="F165" s="4">
        <f t="shared" si="9"/>
        <v>265</v>
      </c>
      <c r="G165" s="4">
        <f t="shared" si="10"/>
        <v>0.2831607554716859</v>
      </c>
      <c r="H165" s="4">
        <f t="shared" si="11"/>
        <v>70225</v>
      </c>
      <c r="I165" s="5">
        <f>SQRT(SUM('p-native-multi'!$C$3:C165)/COUNTIF($A$3:A165,"&lt;&gt;0"))</f>
        <v>15.538000123978657</v>
      </c>
    </row>
    <row r="166" spans="1:9">
      <c r="A166">
        <v>164</v>
      </c>
      <c r="B166">
        <v>498</v>
      </c>
      <c r="C166">
        <v>233</v>
      </c>
      <c r="D166">
        <v>233</v>
      </c>
      <c r="E166" s="4">
        <f t="shared" si="8"/>
        <v>0</v>
      </c>
      <c r="F166" s="4">
        <f t="shared" si="9"/>
        <v>265</v>
      </c>
      <c r="G166" s="4">
        <f t="shared" si="10"/>
        <v>0.2831607554716859</v>
      </c>
      <c r="H166" s="4">
        <f t="shared" si="11"/>
        <v>70225</v>
      </c>
      <c r="I166" s="5">
        <f>SQRT(SUM('p-native-multi'!$C$3:C166)/COUNTIF($A$3:A166,"&lt;&gt;0"))</f>
        <v>15.536346056280022</v>
      </c>
    </row>
    <row r="167" spans="1:9">
      <c r="A167">
        <v>165</v>
      </c>
      <c r="B167">
        <v>498</v>
      </c>
      <c r="C167">
        <v>233</v>
      </c>
      <c r="D167">
        <v>233</v>
      </c>
      <c r="E167" s="4">
        <f t="shared" si="8"/>
        <v>0</v>
      </c>
      <c r="F167" s="4">
        <f t="shared" si="9"/>
        <v>265</v>
      </c>
      <c r="G167" s="4">
        <f t="shared" si="10"/>
        <v>0.2831607554716859</v>
      </c>
      <c r="H167" s="4">
        <f t="shared" si="11"/>
        <v>70225</v>
      </c>
      <c r="I167" s="5">
        <f>SQRT(SUM('p-native-multi'!$C$3:C167)/COUNTIF($A$3:A167,"&lt;&gt;0"))</f>
        <v>15.534711864958188</v>
      </c>
    </row>
    <row r="168" spans="1:9">
      <c r="A168">
        <v>166</v>
      </c>
      <c r="B168">
        <v>498</v>
      </c>
      <c r="C168">
        <v>233</v>
      </c>
      <c r="D168">
        <v>233</v>
      </c>
      <c r="E168" s="4">
        <f t="shared" si="8"/>
        <v>0</v>
      </c>
      <c r="F168" s="4">
        <f t="shared" si="9"/>
        <v>265</v>
      </c>
      <c r="G168" s="4">
        <f t="shared" si="10"/>
        <v>0.2831607554716859</v>
      </c>
      <c r="H168" s="4">
        <f t="shared" si="11"/>
        <v>70225</v>
      </c>
      <c r="I168" s="5">
        <f>SQRT(SUM('p-native-multi'!$C$3:C168)/COUNTIF($A$3:A168,"&lt;&gt;0"))</f>
        <v>15.533097193854642</v>
      </c>
    </row>
    <row r="169" spans="1:9">
      <c r="A169">
        <v>167</v>
      </c>
      <c r="B169">
        <v>498</v>
      </c>
      <c r="C169">
        <v>273</v>
      </c>
      <c r="D169">
        <v>233</v>
      </c>
      <c r="E169" s="4">
        <f t="shared" si="8"/>
        <v>0</v>
      </c>
      <c r="F169" s="4">
        <f t="shared" si="9"/>
        <v>225</v>
      </c>
      <c r="G169" s="4">
        <f t="shared" si="10"/>
        <v>0.20412977210045</v>
      </c>
      <c r="H169" s="4">
        <f t="shared" si="11"/>
        <v>50625</v>
      </c>
      <c r="I169" s="5">
        <f>SQRT(SUM('p-native-multi'!$C$3:C169)/COUNTIF($A$3:A169,"&lt;&gt;0"))</f>
        <v>15.539210593471712</v>
      </c>
    </row>
    <row r="170" spans="1:9">
      <c r="A170">
        <v>168</v>
      </c>
      <c r="B170">
        <v>498</v>
      </c>
      <c r="C170">
        <v>273</v>
      </c>
      <c r="D170">
        <v>233</v>
      </c>
      <c r="E170" s="4">
        <f t="shared" si="8"/>
        <v>0</v>
      </c>
      <c r="F170" s="4">
        <f t="shared" si="9"/>
        <v>225</v>
      </c>
      <c r="G170" s="4">
        <f t="shared" si="10"/>
        <v>0.20412977210045</v>
      </c>
      <c r="H170" s="4">
        <f t="shared" si="11"/>
        <v>50625</v>
      </c>
      <c r="I170" s="5">
        <f>SQRT(SUM('p-native-multi'!$C$3:C170)/COUNTIF($A$3:A170,"&lt;&gt;0"))</f>
        <v>15.545248853098554</v>
      </c>
    </row>
    <row r="171" spans="1:9">
      <c r="A171">
        <v>169</v>
      </c>
      <c r="B171">
        <v>498</v>
      </c>
      <c r="C171">
        <v>273</v>
      </c>
      <c r="D171">
        <v>233</v>
      </c>
      <c r="E171" s="4">
        <f t="shared" si="8"/>
        <v>0</v>
      </c>
      <c r="F171" s="4">
        <f t="shared" si="9"/>
        <v>225</v>
      </c>
      <c r="G171" s="4">
        <f t="shared" si="10"/>
        <v>0.20412977210045</v>
      </c>
      <c r="H171" s="4">
        <f t="shared" si="11"/>
        <v>50625</v>
      </c>
      <c r="I171" s="5">
        <f>SQRT(SUM('p-native-multi'!$C$3:C171)/COUNTIF($A$3:A171,"&lt;&gt;0"))</f>
        <v>15.551213350937944</v>
      </c>
    </row>
    <row r="172" spans="1:9">
      <c r="A172">
        <v>170</v>
      </c>
      <c r="B172">
        <v>498</v>
      </c>
      <c r="C172">
        <v>253</v>
      </c>
      <c r="D172">
        <v>233</v>
      </c>
      <c r="E172" s="4">
        <f t="shared" si="8"/>
        <v>0</v>
      </c>
      <c r="F172" s="4">
        <f t="shared" si="9"/>
        <v>245</v>
      </c>
      <c r="G172" s="4">
        <f t="shared" si="10"/>
        <v>0.24203238657441009</v>
      </c>
      <c r="H172" s="4">
        <f t="shared" si="11"/>
        <v>60025</v>
      </c>
      <c r="I172" s="5">
        <f>SQRT(SUM('p-native-multi'!$C$3:C172)/COUNTIF($A$3:A172,"&lt;&gt;0"))</f>
        <v>15.553323836175379</v>
      </c>
    </row>
    <row r="173" spans="1:9">
      <c r="A173">
        <v>171</v>
      </c>
      <c r="B173">
        <v>498</v>
      </c>
      <c r="C173">
        <v>273</v>
      </c>
      <c r="D173">
        <v>233</v>
      </c>
      <c r="E173" s="4">
        <f t="shared" si="8"/>
        <v>0</v>
      </c>
      <c r="F173" s="4">
        <f t="shared" si="9"/>
        <v>225</v>
      </c>
      <c r="G173" s="4">
        <f t="shared" si="10"/>
        <v>0.20412977210045</v>
      </c>
      <c r="H173" s="4">
        <f t="shared" si="11"/>
        <v>50625</v>
      </c>
      <c r="I173" s="5">
        <f>SQRT(SUM('p-native-multi'!$C$3:C173)/COUNTIF($A$3:A173,"&lt;&gt;0"))</f>
        <v>15.559168335687021</v>
      </c>
    </row>
    <row r="174" spans="1:9">
      <c r="A174">
        <v>172</v>
      </c>
      <c r="B174">
        <v>498</v>
      </c>
      <c r="C174">
        <v>233</v>
      </c>
      <c r="D174">
        <v>233</v>
      </c>
      <c r="E174" s="4">
        <f t="shared" si="8"/>
        <v>0</v>
      </c>
      <c r="F174" s="4">
        <f t="shared" si="9"/>
        <v>265</v>
      </c>
      <c r="G174" s="4">
        <f t="shared" si="10"/>
        <v>0.2831607554716859</v>
      </c>
      <c r="H174" s="4">
        <f t="shared" si="11"/>
        <v>70225</v>
      </c>
      <c r="I174" s="5">
        <f>SQRT(SUM('p-native-multi'!$C$3:C174)/COUNTIF($A$3:A174,"&lt;&gt;0"))</f>
        <v>15.557470350957775</v>
      </c>
    </row>
    <row r="175" spans="1:9">
      <c r="A175">
        <v>173</v>
      </c>
      <c r="B175">
        <v>498</v>
      </c>
      <c r="C175">
        <v>233</v>
      </c>
      <c r="D175">
        <v>233</v>
      </c>
      <c r="E175" s="4">
        <f t="shared" si="8"/>
        <v>0</v>
      </c>
      <c r="F175" s="4">
        <f t="shared" si="9"/>
        <v>265</v>
      </c>
      <c r="G175" s="4">
        <f t="shared" si="10"/>
        <v>0.2831607554716859</v>
      </c>
      <c r="H175" s="4">
        <f t="shared" si="11"/>
        <v>70225</v>
      </c>
      <c r="I175" s="5">
        <f>SQRT(SUM('p-native-multi'!$C$3:C175)/COUNTIF($A$3:A175,"&lt;&gt;0"))</f>
        <v>15.555791813968762</v>
      </c>
    </row>
    <row r="176" spans="1:9">
      <c r="A176">
        <v>174</v>
      </c>
      <c r="B176">
        <v>498</v>
      </c>
      <c r="C176">
        <v>253</v>
      </c>
      <c r="D176">
        <v>233</v>
      </c>
      <c r="E176" s="4">
        <f t="shared" si="8"/>
        <v>0</v>
      </c>
      <c r="F176" s="4">
        <f t="shared" si="9"/>
        <v>245</v>
      </c>
      <c r="G176" s="4">
        <f t="shared" si="10"/>
        <v>0.24203238657441009</v>
      </c>
      <c r="H176" s="4">
        <f t="shared" si="11"/>
        <v>60025</v>
      </c>
      <c r="I176" s="5">
        <f>SQRT(SUM('p-native-multi'!$C$3:C176)/COUNTIF($A$3:A176,"&lt;&gt;0"))</f>
        <v>15.557826873040279</v>
      </c>
    </row>
    <row r="177" spans="1:9">
      <c r="A177">
        <v>175</v>
      </c>
      <c r="B177">
        <v>498</v>
      </c>
      <c r="C177">
        <v>233</v>
      </c>
      <c r="D177">
        <v>233</v>
      </c>
      <c r="E177" s="4">
        <f t="shared" si="8"/>
        <v>0</v>
      </c>
      <c r="F177" s="4">
        <f t="shared" si="9"/>
        <v>265</v>
      </c>
      <c r="G177" s="4">
        <f t="shared" si="10"/>
        <v>0.2831607554716859</v>
      </c>
      <c r="H177" s="4">
        <f t="shared" si="11"/>
        <v>70225</v>
      </c>
      <c r="I177" s="5">
        <f>SQRT(SUM('p-native-multi'!$C$3:C177)/COUNTIF($A$3:A177,"&lt;&gt;0"))</f>
        <v>15.556165520920819</v>
      </c>
    </row>
    <row r="178" spans="1:9">
      <c r="A178">
        <v>176</v>
      </c>
      <c r="B178">
        <v>498</v>
      </c>
      <c r="C178">
        <v>279</v>
      </c>
      <c r="D178">
        <v>233</v>
      </c>
      <c r="E178" s="4">
        <f t="shared" si="8"/>
        <v>0</v>
      </c>
      <c r="F178" s="4">
        <f t="shared" si="9"/>
        <v>219</v>
      </c>
      <c r="G178" s="4">
        <f t="shared" si="10"/>
        <v>0.19338800987080851</v>
      </c>
      <c r="H178" s="4">
        <f t="shared" si="11"/>
        <v>47961</v>
      </c>
      <c r="I178" s="5">
        <f>SQRT(SUM('p-native-multi'!$C$3:C178)/COUNTIF($A$3:A178,"&lt;&gt;0"))</f>
        <v>15.562922137392626</v>
      </c>
    </row>
    <row r="179" spans="1:9">
      <c r="A179">
        <v>177</v>
      </c>
      <c r="B179">
        <v>498</v>
      </c>
      <c r="C179">
        <v>233</v>
      </c>
      <c r="D179">
        <v>233</v>
      </c>
      <c r="E179" s="4">
        <f t="shared" si="8"/>
        <v>0</v>
      </c>
      <c r="F179" s="4">
        <f t="shared" si="9"/>
        <v>265</v>
      </c>
      <c r="G179" s="4">
        <f t="shared" si="10"/>
        <v>0.2831607554716859</v>
      </c>
      <c r="H179" s="4">
        <f t="shared" si="11"/>
        <v>70225</v>
      </c>
      <c r="I179" s="5">
        <f>SQRT(SUM('p-native-multi'!$C$3:C179)/COUNTIF($A$3:A179,"&lt;&gt;0"))</f>
        <v>15.561251311282179</v>
      </c>
    </row>
    <row r="180" spans="1:9">
      <c r="A180">
        <v>178</v>
      </c>
      <c r="B180">
        <v>498</v>
      </c>
      <c r="C180">
        <v>253</v>
      </c>
      <c r="D180">
        <v>233</v>
      </c>
      <c r="E180" s="4">
        <f t="shared" si="8"/>
        <v>0</v>
      </c>
      <c r="F180" s="4">
        <f t="shared" si="9"/>
        <v>245</v>
      </c>
      <c r="G180" s="4">
        <f t="shared" si="10"/>
        <v>0.24203238657441009</v>
      </c>
      <c r="H180" s="4">
        <f t="shared" si="11"/>
        <v>60025</v>
      </c>
      <c r="I180" s="5">
        <f>SQRT(SUM('p-native-multi'!$C$3:C180)/COUNTIF($A$3:A180,"&lt;&gt;0"))</f>
        <v>15.56320928170239</v>
      </c>
    </row>
    <row r="181" spans="1:9">
      <c r="A181">
        <v>179</v>
      </c>
      <c r="B181">
        <v>498</v>
      </c>
      <c r="C181">
        <v>233</v>
      </c>
      <c r="D181">
        <v>233</v>
      </c>
      <c r="E181" s="4">
        <f t="shared" si="8"/>
        <v>0</v>
      </c>
      <c r="F181" s="4">
        <f t="shared" si="9"/>
        <v>265</v>
      </c>
      <c r="G181" s="4">
        <f t="shared" si="10"/>
        <v>0.2831607554716859</v>
      </c>
      <c r="H181" s="4">
        <f t="shared" si="11"/>
        <v>70225</v>
      </c>
      <c r="I181" s="5">
        <f>SQRT(SUM('p-native-multi'!$C$3:C181)/COUNTIF($A$3:A181,"&lt;&gt;0"))</f>
        <v>15.56155555120324</v>
      </c>
    </row>
    <row r="182" spans="1:9">
      <c r="A182">
        <v>180</v>
      </c>
      <c r="B182">
        <v>498</v>
      </c>
      <c r="C182">
        <v>233</v>
      </c>
      <c r="D182">
        <v>233</v>
      </c>
      <c r="E182" s="4">
        <f t="shared" si="8"/>
        <v>0</v>
      </c>
      <c r="F182" s="4">
        <f t="shared" si="9"/>
        <v>265</v>
      </c>
      <c r="G182" s="4">
        <f t="shared" si="10"/>
        <v>0.2831607554716859</v>
      </c>
      <c r="H182" s="4">
        <f t="shared" si="11"/>
        <v>70225</v>
      </c>
      <c r="I182" s="5">
        <f>SQRT(SUM('p-native-multi'!$C$3:C182)/COUNTIF($A$3:A182,"&lt;&gt;0"))</f>
        <v>15.559920022645075</v>
      </c>
    </row>
    <row r="183" spans="1:9">
      <c r="A183">
        <v>181</v>
      </c>
      <c r="B183">
        <v>498</v>
      </c>
      <c r="C183">
        <v>233</v>
      </c>
      <c r="D183">
        <v>233</v>
      </c>
      <c r="E183" s="4">
        <f t="shared" si="8"/>
        <v>0</v>
      </c>
      <c r="F183" s="4">
        <f t="shared" si="9"/>
        <v>265</v>
      </c>
      <c r="G183" s="4">
        <f t="shared" si="10"/>
        <v>0.2831607554716859</v>
      </c>
      <c r="H183" s="4">
        <f t="shared" si="11"/>
        <v>70225</v>
      </c>
      <c r="I183" s="5">
        <f>SQRT(SUM('p-native-multi'!$C$3:C183)/COUNTIF($A$3:A183,"&lt;&gt;0"))</f>
        <v>15.558302397133916</v>
      </c>
    </row>
    <row r="184" spans="1:9">
      <c r="A184">
        <v>182</v>
      </c>
      <c r="B184">
        <v>498</v>
      </c>
      <c r="C184">
        <v>253</v>
      </c>
      <c r="D184">
        <v>233</v>
      </c>
      <c r="E184" s="4">
        <f t="shared" si="8"/>
        <v>0</v>
      </c>
      <c r="F184" s="4">
        <f t="shared" si="9"/>
        <v>245</v>
      </c>
      <c r="G184" s="4">
        <f t="shared" si="10"/>
        <v>0.24203238657441009</v>
      </c>
      <c r="H184" s="4">
        <f t="shared" si="11"/>
        <v>60025</v>
      </c>
      <c r="I184" s="5">
        <f>SQRT(SUM('p-native-multi'!$C$3:C184)/COUNTIF($A$3:A184,"&lt;&gt;0"))</f>
        <v>15.560233903154513</v>
      </c>
    </row>
    <row r="185" spans="1:9">
      <c r="A185">
        <v>183</v>
      </c>
      <c r="B185">
        <v>498</v>
      </c>
      <c r="C185">
        <v>253</v>
      </c>
      <c r="D185">
        <v>233</v>
      </c>
      <c r="E185" s="4">
        <f t="shared" si="8"/>
        <v>0</v>
      </c>
      <c r="F185" s="4">
        <f t="shared" si="9"/>
        <v>245</v>
      </c>
      <c r="G185" s="4">
        <f t="shared" si="10"/>
        <v>0.24203238657441009</v>
      </c>
      <c r="H185" s="4">
        <f t="shared" si="11"/>
        <v>60025</v>
      </c>
      <c r="I185" s="5">
        <f>SQRT(SUM('p-native-multi'!$C$3:C185)/COUNTIF($A$3:A185,"&lt;&gt;0"))</f>
        <v>15.562144064005206</v>
      </c>
    </row>
    <row r="186" spans="1:9">
      <c r="A186">
        <v>184</v>
      </c>
      <c r="B186">
        <v>498</v>
      </c>
      <c r="C186">
        <v>233</v>
      </c>
      <c r="D186">
        <v>233</v>
      </c>
      <c r="E186" s="4">
        <f t="shared" si="8"/>
        <v>0</v>
      </c>
      <c r="F186" s="4">
        <f t="shared" si="9"/>
        <v>265</v>
      </c>
      <c r="G186" s="4">
        <f t="shared" si="10"/>
        <v>0.2831607554716859</v>
      </c>
      <c r="H186" s="4">
        <f t="shared" si="11"/>
        <v>70225</v>
      </c>
      <c r="I186" s="5">
        <f>SQRT(SUM('p-native-multi'!$C$3:C186)/COUNTIF($A$3:A186,"&lt;&gt;0"))</f>
        <v>15.560540954048117</v>
      </c>
    </row>
    <row r="187" spans="1:9">
      <c r="A187">
        <v>185</v>
      </c>
      <c r="B187">
        <v>498</v>
      </c>
      <c r="C187">
        <v>279</v>
      </c>
      <c r="D187">
        <v>233</v>
      </c>
      <c r="E187" s="4">
        <f t="shared" si="8"/>
        <v>0</v>
      </c>
      <c r="F187" s="4">
        <f t="shared" si="9"/>
        <v>219</v>
      </c>
      <c r="G187" s="4">
        <f t="shared" si="10"/>
        <v>0.19338800987080851</v>
      </c>
      <c r="H187" s="4">
        <f t="shared" si="11"/>
        <v>47961</v>
      </c>
      <c r="I187" s="5">
        <f>SQRT(SUM('p-native-multi'!$C$3:C187)/COUNTIF($A$3:A187,"&lt;&gt;0"))</f>
        <v>15.566943493497037</v>
      </c>
    </row>
    <row r="188" spans="1:9">
      <c r="A188">
        <v>186</v>
      </c>
      <c r="B188">
        <v>498</v>
      </c>
      <c r="C188">
        <v>273</v>
      </c>
      <c r="D188">
        <v>233</v>
      </c>
      <c r="E188" s="4">
        <f t="shared" si="8"/>
        <v>0</v>
      </c>
      <c r="F188" s="4">
        <f t="shared" si="9"/>
        <v>225</v>
      </c>
      <c r="G188" s="4">
        <f t="shared" si="10"/>
        <v>0.20412977210045</v>
      </c>
      <c r="H188" s="4">
        <f t="shared" si="11"/>
        <v>50625</v>
      </c>
      <c r="I188" s="5">
        <f>SQRT(SUM('p-native-multi'!$C$3:C188)/COUNTIF($A$3:A188,"&lt;&gt;0"))</f>
        <v>15.572238877435511</v>
      </c>
    </row>
    <row r="189" spans="1:9">
      <c r="A189">
        <v>187</v>
      </c>
      <c r="B189">
        <v>498</v>
      </c>
      <c r="C189">
        <v>253</v>
      </c>
      <c r="D189">
        <v>233</v>
      </c>
      <c r="E189" s="4">
        <f t="shared" si="8"/>
        <v>0</v>
      </c>
      <c r="F189" s="4">
        <f t="shared" si="9"/>
        <v>245</v>
      </c>
      <c r="G189" s="4">
        <f t="shared" si="10"/>
        <v>0.24203238657441009</v>
      </c>
      <c r="H189" s="4">
        <f t="shared" si="11"/>
        <v>60025</v>
      </c>
      <c r="I189" s="5">
        <f>SQRT(SUM('p-native-multi'!$C$3:C189)/COUNTIF($A$3:A189,"&lt;&gt;0"))</f>
        <v>15.57404257535716</v>
      </c>
    </row>
    <row r="190" spans="1:9">
      <c r="A190">
        <v>188</v>
      </c>
      <c r="B190">
        <v>498</v>
      </c>
      <c r="C190">
        <v>233</v>
      </c>
      <c r="D190">
        <v>233</v>
      </c>
      <c r="E190" s="4">
        <f t="shared" si="8"/>
        <v>0</v>
      </c>
      <c r="F190" s="4">
        <f t="shared" si="9"/>
        <v>265</v>
      </c>
      <c r="G190" s="4">
        <f t="shared" si="10"/>
        <v>0.2831607554716859</v>
      </c>
      <c r="H190" s="4">
        <f t="shared" si="11"/>
        <v>70225</v>
      </c>
      <c r="I190" s="5">
        <f>SQRT(SUM('p-native-multi'!$C$3:C190)/COUNTIF($A$3:A190,"&lt;&gt;0"))</f>
        <v>15.572411502397436</v>
      </c>
    </row>
    <row r="191" spans="1:9">
      <c r="A191">
        <v>189</v>
      </c>
      <c r="B191">
        <v>498</v>
      </c>
      <c r="C191">
        <v>273</v>
      </c>
      <c r="D191">
        <v>233</v>
      </c>
      <c r="E191" s="4">
        <f t="shared" si="8"/>
        <v>0</v>
      </c>
      <c r="F191" s="4">
        <f t="shared" si="9"/>
        <v>225</v>
      </c>
      <c r="G191" s="4">
        <f t="shared" si="10"/>
        <v>0.20412977210045</v>
      </c>
      <c r="H191" s="4">
        <f t="shared" si="11"/>
        <v>50625</v>
      </c>
      <c r="I191" s="5">
        <f>SQRT(SUM('p-native-multi'!$C$3:C191)/COUNTIF($A$3:A191,"&lt;&gt;0"))</f>
        <v>15.577592100879253</v>
      </c>
    </row>
    <row r="192" spans="1:9">
      <c r="A192">
        <v>190</v>
      </c>
      <c r="B192">
        <v>498</v>
      </c>
      <c r="C192">
        <v>253</v>
      </c>
      <c r="D192">
        <v>233</v>
      </c>
      <c r="E192" s="4">
        <f t="shared" si="8"/>
        <v>0</v>
      </c>
      <c r="F192" s="4">
        <f t="shared" si="9"/>
        <v>245</v>
      </c>
      <c r="G192" s="4">
        <f t="shared" si="10"/>
        <v>0.24203238657441009</v>
      </c>
      <c r="H192" s="4">
        <f t="shared" si="11"/>
        <v>60025</v>
      </c>
      <c r="I192" s="5">
        <f>SQRT(SUM('p-native-multi'!$C$3:C192)/COUNTIF($A$3:A192,"&lt;&gt;0"))</f>
        <v>15.579338544164326</v>
      </c>
    </row>
    <row r="193" spans="1:9">
      <c r="A193">
        <v>191</v>
      </c>
      <c r="B193">
        <v>498</v>
      </c>
      <c r="C193">
        <v>279</v>
      </c>
      <c r="D193">
        <v>233</v>
      </c>
      <c r="E193" s="4">
        <f t="shared" si="8"/>
        <v>0</v>
      </c>
      <c r="F193" s="4">
        <f t="shared" si="9"/>
        <v>219</v>
      </c>
      <c r="G193" s="4">
        <f t="shared" si="10"/>
        <v>0.19338800987080851</v>
      </c>
      <c r="H193" s="4">
        <f t="shared" si="11"/>
        <v>47961</v>
      </c>
      <c r="I193" s="5">
        <f>SQRT(SUM('p-native-multi'!$C$3:C193)/COUNTIF($A$3:A193,"&lt;&gt;0"))</f>
        <v>15.585434198709502</v>
      </c>
    </row>
    <row r="194" spans="1:9">
      <c r="A194">
        <v>192</v>
      </c>
      <c r="B194">
        <v>498</v>
      </c>
      <c r="C194">
        <v>233</v>
      </c>
      <c r="D194">
        <v>233</v>
      </c>
      <c r="E194" s="4">
        <f t="shared" si="8"/>
        <v>0</v>
      </c>
      <c r="F194" s="4">
        <f t="shared" si="9"/>
        <v>265</v>
      </c>
      <c r="G194" s="4">
        <f t="shared" si="10"/>
        <v>0.2831607554716859</v>
      </c>
      <c r="H194" s="4">
        <f t="shared" si="11"/>
        <v>70225</v>
      </c>
      <c r="I194" s="5">
        <f>SQRT(SUM('p-native-multi'!$C$3:C194)/COUNTIF($A$3:A194,"&lt;&gt;0"))</f>
        <v>15.583778959760263</v>
      </c>
    </row>
    <row r="195" spans="1:9">
      <c r="A195">
        <v>193</v>
      </c>
      <c r="B195">
        <v>498</v>
      </c>
      <c r="C195">
        <v>273</v>
      </c>
      <c r="D195">
        <v>233</v>
      </c>
      <c r="E195" s="4">
        <f t="shared" si="8"/>
        <v>0</v>
      </c>
      <c r="F195" s="4">
        <f t="shared" si="9"/>
        <v>225</v>
      </c>
      <c r="G195" s="4">
        <f t="shared" si="10"/>
        <v>0.20412977210045</v>
      </c>
      <c r="H195" s="4">
        <f t="shared" si="11"/>
        <v>50625</v>
      </c>
      <c r="I195" s="5">
        <f>SQRT(SUM('p-native-multi'!$C$3:C195)/COUNTIF($A$3:A195,"&lt;&gt;0"))</f>
        <v>15.588789648151023</v>
      </c>
    </row>
    <row r="196" spans="1:9">
      <c r="A196">
        <v>194</v>
      </c>
      <c r="B196">
        <v>498</v>
      </c>
      <c r="C196">
        <v>253</v>
      </c>
      <c r="D196">
        <v>233</v>
      </c>
      <c r="E196" s="4">
        <f t="shared" ref="E196:E259" si="12">IF(AND(C196&lt;=B196*1.2,C196&gt;=B196*0.8),1,0)</f>
        <v>0</v>
      </c>
      <c r="F196" s="4">
        <f t="shared" ref="F196:F259" si="13">ABS(B196-C196)</f>
        <v>245</v>
      </c>
      <c r="G196" s="4">
        <f t="shared" ref="G196:G259" si="14">POWER(ABS(B196-C196)/B196,2)</f>
        <v>0.24203238657441009</v>
      </c>
      <c r="H196" s="4">
        <f t="shared" ref="H196:H259" si="15">POWER(F196,2)</f>
        <v>60025</v>
      </c>
      <c r="I196" s="5">
        <f>SQRT(SUM('p-native-multi'!$C$3:C196)/COUNTIF($A$3:A196,"&lt;&gt;0"))</f>
        <v>15.590441163421357</v>
      </c>
    </row>
    <row r="197" spans="1:9">
      <c r="A197">
        <v>195</v>
      </c>
      <c r="B197">
        <v>498</v>
      </c>
      <c r="C197">
        <v>279</v>
      </c>
      <c r="D197">
        <v>233</v>
      </c>
      <c r="E197" s="4">
        <f t="shared" si="12"/>
        <v>0</v>
      </c>
      <c r="F197" s="4">
        <f t="shared" si="13"/>
        <v>219</v>
      </c>
      <c r="G197" s="4">
        <f t="shared" si="14"/>
        <v>0.19338800987080851</v>
      </c>
      <c r="H197" s="4">
        <f t="shared" si="15"/>
        <v>47961</v>
      </c>
      <c r="I197" s="5">
        <f>SQRT(SUM('p-native-multi'!$C$3:C197)/COUNTIF($A$3:A197,"&lt;&gt;0"))</f>
        <v>15.596350657963351</v>
      </c>
    </row>
    <row r="198" spans="1:9">
      <c r="A198">
        <v>196</v>
      </c>
      <c r="B198">
        <v>498</v>
      </c>
      <c r="C198">
        <v>233</v>
      </c>
      <c r="D198">
        <v>233</v>
      </c>
      <c r="E198" s="4">
        <f t="shared" si="12"/>
        <v>0</v>
      </c>
      <c r="F198" s="4">
        <f t="shared" si="13"/>
        <v>265</v>
      </c>
      <c r="G198" s="4">
        <f t="shared" si="14"/>
        <v>0.2831607554716859</v>
      </c>
      <c r="H198" s="4">
        <f t="shared" si="15"/>
        <v>70225</v>
      </c>
      <c r="I198" s="5">
        <f>SQRT(SUM('p-native-multi'!$C$3:C198)/COUNTIF($A$3:A198,"&lt;&gt;0"))</f>
        <v>15.594674653580318</v>
      </c>
    </row>
    <row r="199" spans="1:9">
      <c r="A199">
        <v>197</v>
      </c>
      <c r="B199">
        <v>498</v>
      </c>
      <c r="C199">
        <v>253</v>
      </c>
      <c r="D199">
        <v>233</v>
      </c>
      <c r="E199" s="4">
        <f t="shared" si="12"/>
        <v>0</v>
      </c>
      <c r="F199" s="4">
        <f t="shared" si="13"/>
        <v>245</v>
      </c>
      <c r="G199" s="4">
        <f t="shared" si="14"/>
        <v>0.24203238657441009</v>
      </c>
      <c r="H199" s="4">
        <f t="shared" si="15"/>
        <v>60025</v>
      </c>
      <c r="I199" s="5">
        <f>SQRT(SUM('p-native-multi'!$C$3:C199)/COUNTIF($A$3:A199,"&lt;&gt;0"))</f>
        <v>15.596270542098679</v>
      </c>
    </row>
    <row r="200" spans="1:9">
      <c r="A200">
        <v>198</v>
      </c>
      <c r="B200">
        <v>498</v>
      </c>
      <c r="C200">
        <v>233</v>
      </c>
      <c r="D200">
        <v>233</v>
      </c>
      <c r="E200" s="4">
        <f t="shared" si="12"/>
        <v>0</v>
      </c>
      <c r="F200" s="4">
        <f t="shared" si="13"/>
        <v>265</v>
      </c>
      <c r="G200" s="4">
        <f t="shared" si="14"/>
        <v>0.2831607554716859</v>
      </c>
      <c r="H200" s="4">
        <f t="shared" si="15"/>
        <v>70225</v>
      </c>
      <c r="I200" s="5">
        <f>SQRT(SUM('p-native-multi'!$C$3:C200)/COUNTIF($A$3:A200,"&lt;&gt;0"))</f>
        <v>15.594611864099702</v>
      </c>
    </row>
    <row r="201" spans="1:9">
      <c r="A201">
        <v>199</v>
      </c>
      <c r="B201">
        <v>498</v>
      </c>
      <c r="C201">
        <v>233</v>
      </c>
      <c r="D201">
        <v>233</v>
      </c>
      <c r="E201" s="4">
        <f t="shared" si="12"/>
        <v>0</v>
      </c>
      <c r="F201" s="4">
        <f t="shared" si="13"/>
        <v>265</v>
      </c>
      <c r="G201" s="4">
        <f t="shared" si="14"/>
        <v>0.2831607554716859</v>
      </c>
      <c r="H201" s="4">
        <f t="shared" si="15"/>
        <v>70225</v>
      </c>
      <c r="I201" s="5">
        <f>SQRT(SUM('p-native-multi'!$C$3:C201)/COUNTIF($A$3:A201,"&lt;&gt;0"))</f>
        <v>15.592969682443044</v>
      </c>
    </row>
    <row r="202" spans="1:9">
      <c r="A202">
        <v>200</v>
      </c>
      <c r="B202">
        <v>498</v>
      </c>
      <c r="C202">
        <v>233</v>
      </c>
      <c r="D202">
        <v>233</v>
      </c>
      <c r="E202" s="4">
        <f t="shared" si="12"/>
        <v>0</v>
      </c>
      <c r="F202" s="4">
        <f t="shared" si="13"/>
        <v>265</v>
      </c>
      <c r="G202" s="4">
        <f t="shared" si="14"/>
        <v>0.2831607554716859</v>
      </c>
      <c r="H202" s="4">
        <f t="shared" si="15"/>
        <v>70225</v>
      </c>
      <c r="I202" s="5">
        <f>SQRT(SUM('p-native-multi'!$C$3:C202)/COUNTIF($A$3:A202,"&lt;&gt;0"))</f>
        <v>15.591343752223539</v>
      </c>
    </row>
    <row r="203" spans="1:9">
      <c r="A203">
        <v>201</v>
      </c>
      <c r="B203">
        <v>498</v>
      </c>
      <c r="C203">
        <v>233</v>
      </c>
      <c r="D203">
        <v>233</v>
      </c>
      <c r="E203" s="4">
        <f t="shared" si="12"/>
        <v>0</v>
      </c>
      <c r="F203" s="4">
        <f t="shared" si="13"/>
        <v>265</v>
      </c>
      <c r="G203" s="4">
        <f t="shared" si="14"/>
        <v>0.2831607554716859</v>
      </c>
      <c r="H203" s="4">
        <f t="shared" si="15"/>
        <v>70225</v>
      </c>
      <c r="I203" s="5">
        <f>SQRT(SUM('p-native-multi'!$C$3:C203)/COUNTIF($A$3:A203,"&lt;&gt;0"))</f>
        <v>15.589733833360494</v>
      </c>
    </row>
    <row r="204" spans="1:9">
      <c r="A204">
        <v>202</v>
      </c>
      <c r="B204">
        <v>498</v>
      </c>
      <c r="C204">
        <v>273</v>
      </c>
      <c r="D204">
        <v>233</v>
      </c>
      <c r="E204" s="4">
        <f t="shared" si="12"/>
        <v>0</v>
      </c>
      <c r="F204" s="4">
        <f t="shared" si="13"/>
        <v>225</v>
      </c>
      <c r="G204" s="4">
        <f t="shared" si="14"/>
        <v>0.20412977210045</v>
      </c>
      <c r="H204" s="4">
        <f t="shared" si="15"/>
        <v>50625</v>
      </c>
      <c r="I204" s="5">
        <f>SQRT(SUM('p-native-multi'!$C$3:C204)/COUNTIF($A$3:A204,"&lt;&gt;0"))</f>
        <v>15.594490014485283</v>
      </c>
    </row>
    <row r="205" spans="1:9">
      <c r="A205">
        <v>203</v>
      </c>
      <c r="B205">
        <v>498</v>
      </c>
      <c r="C205">
        <v>279</v>
      </c>
      <c r="D205">
        <v>233</v>
      </c>
      <c r="E205" s="4">
        <f t="shared" si="12"/>
        <v>0</v>
      </c>
      <c r="F205" s="4">
        <f t="shared" si="13"/>
        <v>219</v>
      </c>
      <c r="G205" s="4">
        <f t="shared" si="14"/>
        <v>0.19338800987080851</v>
      </c>
      <c r="H205" s="4">
        <f t="shared" si="15"/>
        <v>47961</v>
      </c>
      <c r="I205" s="5">
        <f>SQRT(SUM('p-native-multi'!$C$3:C205)/COUNTIF($A$3:A205,"&lt;&gt;0"))</f>
        <v>15.600145256365545</v>
      </c>
    </row>
    <row r="206" spans="1:9">
      <c r="A206">
        <v>204</v>
      </c>
      <c r="B206">
        <v>498</v>
      </c>
      <c r="C206">
        <v>233</v>
      </c>
      <c r="D206">
        <v>233</v>
      </c>
      <c r="E206" s="4">
        <f t="shared" si="12"/>
        <v>0</v>
      </c>
      <c r="F206" s="4">
        <f t="shared" si="13"/>
        <v>265</v>
      </c>
      <c r="G206" s="4">
        <f t="shared" si="14"/>
        <v>0.2831607554716859</v>
      </c>
      <c r="H206" s="4">
        <f t="shared" si="15"/>
        <v>70225</v>
      </c>
      <c r="I206" s="5">
        <f>SQRT(SUM('p-native-multi'!$C$3:C206)/COUNTIF($A$3:A206,"&lt;&gt;0"))</f>
        <v>15.598516772122792</v>
      </c>
    </row>
    <row r="207" spans="1:9">
      <c r="A207">
        <v>205</v>
      </c>
      <c r="B207">
        <v>498</v>
      </c>
      <c r="C207">
        <v>253</v>
      </c>
      <c r="D207">
        <v>233</v>
      </c>
      <c r="E207" s="4">
        <f t="shared" si="12"/>
        <v>0</v>
      </c>
      <c r="F207" s="4">
        <f t="shared" si="13"/>
        <v>245</v>
      </c>
      <c r="G207" s="4">
        <f t="shared" si="14"/>
        <v>0.24203238657441009</v>
      </c>
      <c r="H207" s="4">
        <f t="shared" si="15"/>
        <v>60025</v>
      </c>
      <c r="I207" s="5">
        <f>SQRT(SUM('p-native-multi'!$C$3:C207)/COUNTIF($A$3:A207,"&lt;&gt;0"))</f>
        <v>15.600031269512126</v>
      </c>
    </row>
    <row r="208" spans="1:9">
      <c r="A208">
        <v>206</v>
      </c>
      <c r="B208">
        <v>498</v>
      </c>
      <c r="C208">
        <v>273</v>
      </c>
      <c r="D208">
        <v>233</v>
      </c>
      <c r="E208" s="4">
        <f t="shared" si="12"/>
        <v>0</v>
      </c>
      <c r="F208" s="4">
        <f t="shared" si="13"/>
        <v>225</v>
      </c>
      <c r="G208" s="4">
        <f t="shared" si="14"/>
        <v>0.20412977210045</v>
      </c>
      <c r="H208" s="4">
        <f t="shared" si="15"/>
        <v>50625</v>
      </c>
      <c r="I208" s="5">
        <f>SQRT(SUM('p-native-multi'!$C$3:C208)/COUNTIF($A$3:A208,"&lt;&gt;0"))</f>
        <v>15.604642077565638</v>
      </c>
    </row>
    <row r="209" spans="1:9">
      <c r="A209">
        <v>207</v>
      </c>
      <c r="B209">
        <v>498</v>
      </c>
      <c r="C209">
        <v>279</v>
      </c>
      <c r="D209">
        <v>233</v>
      </c>
      <c r="E209" s="4">
        <f t="shared" si="12"/>
        <v>0</v>
      </c>
      <c r="F209" s="4">
        <f t="shared" si="13"/>
        <v>219</v>
      </c>
      <c r="G209" s="4">
        <f t="shared" si="14"/>
        <v>0.19338800987080851</v>
      </c>
      <c r="H209" s="4">
        <f t="shared" si="15"/>
        <v>47961</v>
      </c>
      <c r="I209" s="5">
        <f>SQRT(SUM('p-native-multi'!$C$3:C209)/COUNTIF($A$3:A209,"&lt;&gt;0"))</f>
        <v>15.610135441514128</v>
      </c>
    </row>
    <row r="210" spans="1:9">
      <c r="A210">
        <v>208</v>
      </c>
      <c r="B210">
        <v>498</v>
      </c>
      <c r="C210">
        <v>279</v>
      </c>
      <c r="D210">
        <v>233</v>
      </c>
      <c r="E210" s="4">
        <f t="shared" si="12"/>
        <v>0</v>
      </c>
      <c r="F210" s="4">
        <f t="shared" si="13"/>
        <v>219</v>
      </c>
      <c r="G210" s="4">
        <f t="shared" si="14"/>
        <v>0.19338800987080851</v>
      </c>
      <c r="H210" s="4">
        <f t="shared" si="15"/>
        <v>47961</v>
      </c>
      <c r="I210" s="5">
        <f>SQRT(SUM('p-native-multi'!$C$3:C210)/COUNTIF($A$3:A210,"&lt;&gt;0"))</f>
        <v>15.615574079941917</v>
      </c>
    </row>
    <row r="211" spans="1:9">
      <c r="A211">
        <v>209</v>
      </c>
      <c r="B211">
        <v>498</v>
      </c>
      <c r="C211">
        <v>279</v>
      </c>
      <c r="D211">
        <v>233</v>
      </c>
      <c r="E211" s="4">
        <f t="shared" si="12"/>
        <v>0</v>
      </c>
      <c r="F211" s="4">
        <f t="shared" si="13"/>
        <v>219</v>
      </c>
      <c r="G211" s="4">
        <f t="shared" si="14"/>
        <v>0.19338800987080851</v>
      </c>
      <c r="H211" s="4">
        <f t="shared" si="15"/>
        <v>47961</v>
      </c>
      <c r="I211" s="5">
        <f>SQRT(SUM('p-native-multi'!$C$3:C211)/COUNTIF($A$3:A211,"&lt;&gt;0"))</f>
        <v>15.620958807543973</v>
      </c>
    </row>
    <row r="212" spans="1:9">
      <c r="A212">
        <v>210</v>
      </c>
      <c r="B212">
        <v>498</v>
      </c>
      <c r="C212">
        <v>253</v>
      </c>
      <c r="D212">
        <v>233</v>
      </c>
      <c r="E212" s="4">
        <f t="shared" si="12"/>
        <v>0</v>
      </c>
      <c r="F212" s="4">
        <f t="shared" si="13"/>
        <v>245</v>
      </c>
      <c r="G212" s="4">
        <f t="shared" si="14"/>
        <v>0.24203238657441009</v>
      </c>
      <c r="H212" s="4">
        <f t="shared" si="15"/>
        <v>60025</v>
      </c>
      <c r="I212" s="5">
        <f>SQRT(SUM('p-native-multi'!$C$3:C212)/COUNTIF($A$3:A212,"&lt;&gt;0"))</f>
        <v>15.62232834302054</v>
      </c>
    </row>
    <row r="213" spans="1:9">
      <c r="A213">
        <v>211</v>
      </c>
      <c r="B213">
        <v>498</v>
      </c>
      <c r="C213">
        <v>273</v>
      </c>
      <c r="D213">
        <v>233</v>
      </c>
      <c r="E213" s="4">
        <f t="shared" si="12"/>
        <v>0</v>
      </c>
      <c r="F213" s="4">
        <f t="shared" si="13"/>
        <v>225</v>
      </c>
      <c r="G213" s="4">
        <f t="shared" si="14"/>
        <v>0.20412977210045</v>
      </c>
      <c r="H213" s="4">
        <f t="shared" si="15"/>
        <v>50625</v>
      </c>
      <c r="I213" s="5">
        <f>SQRT(SUM('p-native-multi'!$C$3:C213)/COUNTIF($A$3:A213,"&lt;&gt;0"))</f>
        <v>15.626717915039245</v>
      </c>
    </row>
    <row r="214" spans="1:9">
      <c r="A214">
        <v>212</v>
      </c>
      <c r="B214">
        <v>498</v>
      </c>
      <c r="C214">
        <v>233</v>
      </c>
      <c r="D214">
        <v>233</v>
      </c>
      <c r="E214" s="4">
        <f t="shared" si="12"/>
        <v>0</v>
      </c>
      <c r="F214" s="4">
        <f t="shared" si="13"/>
        <v>265</v>
      </c>
      <c r="G214" s="4">
        <f t="shared" si="14"/>
        <v>0.2831607554716859</v>
      </c>
      <c r="H214" s="4">
        <f t="shared" si="15"/>
        <v>70225</v>
      </c>
      <c r="I214" s="5">
        <f>SQRT(SUM('p-native-multi'!$C$3:C214)/COUNTIF($A$3:A214,"&lt;&gt;0"))</f>
        <v>15.62502830186116</v>
      </c>
    </row>
    <row r="215" spans="1:9">
      <c r="A215">
        <v>213</v>
      </c>
      <c r="B215">
        <v>498</v>
      </c>
      <c r="C215">
        <v>233</v>
      </c>
      <c r="D215">
        <v>233</v>
      </c>
      <c r="E215" s="4">
        <f t="shared" si="12"/>
        <v>0</v>
      </c>
      <c r="F215" s="4">
        <f t="shared" si="13"/>
        <v>265</v>
      </c>
      <c r="G215" s="4">
        <f t="shared" si="14"/>
        <v>0.2831607554716859</v>
      </c>
      <c r="H215" s="4">
        <f t="shared" si="15"/>
        <v>70225</v>
      </c>
      <c r="I215" s="5">
        <f>SQRT(SUM('p-native-multi'!$C$3:C215)/COUNTIF($A$3:A215,"&lt;&gt;0"))</f>
        <v>15.62335437343512</v>
      </c>
    </row>
    <row r="216" spans="1:9">
      <c r="A216">
        <v>214</v>
      </c>
      <c r="B216">
        <v>498</v>
      </c>
      <c r="C216">
        <v>233</v>
      </c>
      <c r="D216">
        <v>233</v>
      </c>
      <c r="E216" s="4">
        <f t="shared" si="12"/>
        <v>0</v>
      </c>
      <c r="F216" s="4">
        <f t="shared" si="13"/>
        <v>265</v>
      </c>
      <c r="G216" s="4">
        <f t="shared" si="14"/>
        <v>0.2831607554716859</v>
      </c>
      <c r="H216" s="4">
        <f t="shared" si="15"/>
        <v>70225</v>
      </c>
      <c r="I216" s="5">
        <f>SQRT(SUM('p-native-multi'!$C$3:C216)/COUNTIF($A$3:A216,"&lt;&gt;0"))</f>
        <v>15.621695912338394</v>
      </c>
    </row>
    <row r="217" spans="1:9">
      <c r="A217">
        <v>215</v>
      </c>
      <c r="B217">
        <v>498</v>
      </c>
      <c r="C217">
        <v>233</v>
      </c>
      <c r="D217">
        <v>233</v>
      </c>
      <c r="E217" s="4">
        <f t="shared" si="12"/>
        <v>0</v>
      </c>
      <c r="F217" s="4">
        <f t="shared" si="13"/>
        <v>265</v>
      </c>
      <c r="G217" s="4">
        <f t="shared" si="14"/>
        <v>0.2831607554716859</v>
      </c>
      <c r="H217" s="4">
        <f t="shared" si="15"/>
        <v>70225</v>
      </c>
      <c r="I217" s="5">
        <f>SQRT(SUM('p-native-multi'!$C$3:C217)/COUNTIF($A$3:A217,"&lt;&gt;0"))</f>
        <v>15.620052705148851</v>
      </c>
    </row>
    <row r="218" spans="1:9">
      <c r="A218">
        <v>216</v>
      </c>
      <c r="B218">
        <v>498</v>
      </c>
      <c r="C218">
        <v>273</v>
      </c>
      <c r="D218">
        <v>233</v>
      </c>
      <c r="E218" s="4">
        <f t="shared" si="12"/>
        <v>0</v>
      </c>
      <c r="F218" s="4">
        <f t="shared" si="13"/>
        <v>225</v>
      </c>
      <c r="G218" s="4">
        <f t="shared" si="14"/>
        <v>0.20412977210045</v>
      </c>
      <c r="H218" s="4">
        <f t="shared" si="15"/>
        <v>50625</v>
      </c>
      <c r="I218" s="5">
        <f>SQRT(SUM('p-native-multi'!$C$3:C218)/COUNTIF($A$3:A218,"&lt;&gt;0"))</f>
        <v>15.624351838408222</v>
      </c>
    </row>
    <row r="219" spans="1:9">
      <c r="A219">
        <v>217</v>
      </c>
      <c r="B219">
        <v>498</v>
      </c>
      <c r="C219">
        <v>253</v>
      </c>
      <c r="D219">
        <v>233</v>
      </c>
      <c r="E219" s="4">
        <f t="shared" si="12"/>
        <v>0</v>
      </c>
      <c r="F219" s="4">
        <f t="shared" si="13"/>
        <v>245</v>
      </c>
      <c r="G219" s="4">
        <f t="shared" si="14"/>
        <v>0.24203238657441009</v>
      </c>
      <c r="H219" s="4">
        <f t="shared" si="15"/>
        <v>60025</v>
      </c>
      <c r="I219" s="5">
        <f>SQRT(SUM('p-native-multi'!$C$3:C219)/COUNTIF($A$3:A219,"&lt;&gt;0"))</f>
        <v>15.625661276329415</v>
      </c>
    </row>
    <row r="220" spans="1:9">
      <c r="A220">
        <v>218</v>
      </c>
      <c r="B220">
        <v>498</v>
      </c>
      <c r="C220">
        <v>233</v>
      </c>
      <c r="D220">
        <v>233</v>
      </c>
      <c r="E220" s="4">
        <f t="shared" si="12"/>
        <v>0</v>
      </c>
      <c r="F220" s="4">
        <f t="shared" si="13"/>
        <v>265</v>
      </c>
      <c r="G220" s="4">
        <f t="shared" si="14"/>
        <v>0.2831607554716859</v>
      </c>
      <c r="H220" s="4">
        <f t="shared" si="15"/>
        <v>70225</v>
      </c>
      <c r="I220" s="5">
        <f>SQRT(SUM('p-native-multi'!$C$3:C220)/COUNTIF($A$3:A220,"&lt;&gt;0"))</f>
        <v>15.624022905228962</v>
      </c>
    </row>
    <row r="221" spans="1:9">
      <c r="A221">
        <v>219</v>
      </c>
      <c r="B221">
        <v>498</v>
      </c>
      <c r="C221">
        <v>233</v>
      </c>
      <c r="D221">
        <v>233</v>
      </c>
      <c r="E221" s="4">
        <f t="shared" si="12"/>
        <v>0</v>
      </c>
      <c r="F221" s="4">
        <f t="shared" si="13"/>
        <v>265</v>
      </c>
      <c r="G221" s="4">
        <f t="shared" si="14"/>
        <v>0.2831607554716859</v>
      </c>
      <c r="H221" s="4">
        <f t="shared" si="15"/>
        <v>70225</v>
      </c>
      <c r="I221" s="5">
        <f>SQRT(SUM('p-native-multi'!$C$3:C221)/COUNTIF($A$3:A221,"&lt;&gt;0"))</f>
        <v>15.622399326946985</v>
      </c>
    </row>
    <row r="222" spans="1:9">
      <c r="A222">
        <v>220</v>
      </c>
      <c r="B222">
        <v>498</v>
      </c>
      <c r="C222">
        <v>253</v>
      </c>
      <c r="D222">
        <v>233</v>
      </c>
      <c r="E222" s="4">
        <f t="shared" si="12"/>
        <v>0</v>
      </c>
      <c r="F222" s="4">
        <f t="shared" si="13"/>
        <v>245</v>
      </c>
      <c r="G222" s="4">
        <f t="shared" si="14"/>
        <v>0.24203238657441009</v>
      </c>
      <c r="H222" s="4">
        <f t="shared" si="15"/>
        <v>60025</v>
      </c>
      <c r="I222" s="5">
        <f>SQRT(SUM('p-native-multi'!$C$3:C222)/COUNTIF($A$3:A222,"&lt;&gt;0"))</f>
        <v>15.623699945915499</v>
      </c>
    </row>
    <row r="223" spans="1:9">
      <c r="A223">
        <v>221</v>
      </c>
      <c r="B223">
        <v>498</v>
      </c>
      <c r="C223">
        <v>253</v>
      </c>
      <c r="D223">
        <v>233</v>
      </c>
      <c r="E223" s="4">
        <f t="shared" si="12"/>
        <v>0</v>
      </c>
      <c r="F223" s="4">
        <f t="shared" si="13"/>
        <v>245</v>
      </c>
      <c r="G223" s="4">
        <f t="shared" si="14"/>
        <v>0.24203238657441009</v>
      </c>
      <c r="H223" s="4">
        <f t="shared" si="15"/>
        <v>60025</v>
      </c>
      <c r="I223" s="5">
        <f>SQRT(SUM('p-native-multi'!$C$3:C223)/COUNTIF($A$3:A223,"&lt;&gt;0"))</f>
        <v>15.624988687778711</v>
      </c>
    </row>
    <row r="224" spans="1:9">
      <c r="A224">
        <v>222</v>
      </c>
      <c r="B224">
        <v>498</v>
      </c>
      <c r="C224">
        <v>233</v>
      </c>
      <c r="D224">
        <v>233</v>
      </c>
      <c r="E224" s="4">
        <f t="shared" si="12"/>
        <v>0</v>
      </c>
      <c r="F224" s="4">
        <f t="shared" si="13"/>
        <v>265</v>
      </c>
      <c r="G224" s="4">
        <f t="shared" si="14"/>
        <v>0.2831607554716859</v>
      </c>
      <c r="H224" s="4">
        <f t="shared" si="15"/>
        <v>70225</v>
      </c>
      <c r="I224" s="5">
        <f>SQRT(SUM('p-native-multi'!$C$3:C224)/COUNTIF($A$3:A224,"&lt;&gt;0"))</f>
        <v>15.623382799192052</v>
      </c>
    </row>
    <row r="225" spans="1:9">
      <c r="A225">
        <v>223</v>
      </c>
      <c r="B225">
        <v>498</v>
      </c>
      <c r="C225">
        <v>233</v>
      </c>
      <c r="D225">
        <v>233</v>
      </c>
      <c r="E225" s="4">
        <f t="shared" si="12"/>
        <v>0</v>
      </c>
      <c r="F225" s="4">
        <f t="shared" si="13"/>
        <v>265</v>
      </c>
      <c r="G225" s="4">
        <f t="shared" si="14"/>
        <v>0.2831607554716859</v>
      </c>
      <c r="H225" s="4">
        <f t="shared" si="15"/>
        <v>70225</v>
      </c>
      <c r="I225" s="5">
        <f>SQRT(SUM('p-native-multi'!$C$3:C225)/COUNTIF($A$3:A225,"&lt;&gt;0"))</f>
        <v>15.621791150325707</v>
      </c>
    </row>
    <row r="226" spans="1:9">
      <c r="A226">
        <v>224</v>
      </c>
      <c r="B226">
        <v>498</v>
      </c>
      <c r="C226">
        <v>233</v>
      </c>
      <c r="D226">
        <v>233</v>
      </c>
      <c r="E226" s="4">
        <f t="shared" si="12"/>
        <v>0</v>
      </c>
      <c r="F226" s="4">
        <f t="shared" si="13"/>
        <v>265</v>
      </c>
      <c r="G226" s="4">
        <f t="shared" si="14"/>
        <v>0.2831607554716859</v>
      </c>
      <c r="H226" s="4">
        <f t="shared" si="15"/>
        <v>70225</v>
      </c>
      <c r="I226" s="5">
        <f>SQRT(SUM('p-native-multi'!$C$3:C226)/COUNTIF($A$3:A226,"&lt;&gt;0"))</f>
        <v>15.620213552591764</v>
      </c>
    </row>
    <row r="227" spans="1:9">
      <c r="A227">
        <v>225</v>
      </c>
      <c r="B227">
        <v>498</v>
      </c>
      <c r="C227">
        <v>273</v>
      </c>
      <c r="D227">
        <v>233</v>
      </c>
      <c r="E227" s="4">
        <f t="shared" si="12"/>
        <v>0</v>
      </c>
      <c r="F227" s="4">
        <f t="shared" si="13"/>
        <v>225</v>
      </c>
      <c r="G227" s="4">
        <f t="shared" si="14"/>
        <v>0.20412977210045</v>
      </c>
      <c r="H227" s="4">
        <f t="shared" si="15"/>
        <v>50625</v>
      </c>
      <c r="I227" s="5">
        <f>SQRT(SUM('p-native-multi'!$C$3:C227)/COUNTIF($A$3:A227,"&lt;&gt;0"))</f>
        <v>15.624339986060212</v>
      </c>
    </row>
    <row r="228" spans="1:9">
      <c r="A228">
        <v>226</v>
      </c>
      <c r="B228">
        <v>498</v>
      </c>
      <c r="C228">
        <v>279</v>
      </c>
      <c r="D228">
        <v>233</v>
      </c>
      <c r="E228" s="4">
        <f t="shared" si="12"/>
        <v>0</v>
      </c>
      <c r="F228" s="4">
        <f t="shared" si="13"/>
        <v>219</v>
      </c>
      <c r="G228" s="4">
        <f t="shared" si="14"/>
        <v>0.19338800987080851</v>
      </c>
      <c r="H228" s="4">
        <f t="shared" si="15"/>
        <v>47961</v>
      </c>
      <c r="I228" s="5">
        <f>SQRT(SUM('p-native-multi'!$C$3:C228)/COUNTIF($A$3:A228,"&lt;&gt;0"))</f>
        <v>15.629278175372843</v>
      </c>
    </row>
    <row r="229" spans="1:9">
      <c r="A229">
        <v>227</v>
      </c>
      <c r="B229">
        <v>498</v>
      </c>
      <c r="C229">
        <v>273</v>
      </c>
      <c r="D229">
        <v>233</v>
      </c>
      <c r="E229" s="4">
        <f t="shared" si="12"/>
        <v>0</v>
      </c>
      <c r="F229" s="4">
        <f t="shared" si="13"/>
        <v>225</v>
      </c>
      <c r="G229" s="4">
        <f t="shared" si="14"/>
        <v>0.20412977210045</v>
      </c>
      <c r="H229" s="4">
        <f t="shared" si="15"/>
        <v>50625</v>
      </c>
      <c r="I229" s="5">
        <f>SQRT(SUM('p-native-multi'!$C$3:C229)/COUNTIF($A$3:A229,"&lt;&gt;0"))</f>
        <v>15.633325975532804</v>
      </c>
    </row>
    <row r="230" spans="1:9">
      <c r="A230">
        <v>228</v>
      </c>
      <c r="B230">
        <v>498</v>
      </c>
      <c r="C230">
        <v>253</v>
      </c>
      <c r="D230">
        <v>233</v>
      </c>
      <c r="E230" s="4">
        <f t="shared" si="12"/>
        <v>0</v>
      </c>
      <c r="F230" s="4">
        <f t="shared" si="13"/>
        <v>245</v>
      </c>
      <c r="G230" s="4">
        <f t="shared" si="14"/>
        <v>0.24203238657441009</v>
      </c>
      <c r="H230" s="4">
        <f t="shared" si="15"/>
        <v>60025</v>
      </c>
      <c r="I230" s="5">
        <f>SQRT(SUM('p-native-multi'!$C$3:C230)/COUNTIF($A$3:A230,"&lt;&gt;0"))</f>
        <v>15.634532180120647</v>
      </c>
    </row>
    <row r="231" spans="1:9">
      <c r="A231">
        <v>229</v>
      </c>
      <c r="B231">
        <v>498</v>
      </c>
      <c r="C231">
        <v>279</v>
      </c>
      <c r="D231">
        <v>233</v>
      </c>
      <c r="E231" s="4">
        <f t="shared" si="12"/>
        <v>0</v>
      </c>
      <c r="F231" s="4">
        <f t="shared" si="13"/>
        <v>219</v>
      </c>
      <c r="G231" s="4">
        <f t="shared" si="14"/>
        <v>0.19338800987080851</v>
      </c>
      <c r="H231" s="4">
        <f t="shared" si="15"/>
        <v>47961</v>
      </c>
      <c r="I231" s="5">
        <f>SQRT(SUM('p-native-multi'!$C$3:C231)/COUNTIF($A$3:A231,"&lt;&gt;0"))</f>
        <v>15.639358031922379</v>
      </c>
    </row>
    <row r="232" spans="1:9">
      <c r="A232">
        <v>230</v>
      </c>
      <c r="B232">
        <v>498</v>
      </c>
      <c r="C232">
        <v>273</v>
      </c>
      <c r="D232">
        <v>233</v>
      </c>
      <c r="E232" s="4">
        <f t="shared" si="12"/>
        <v>0</v>
      </c>
      <c r="F232" s="4">
        <f t="shared" si="13"/>
        <v>225</v>
      </c>
      <c r="G232" s="4">
        <f t="shared" si="14"/>
        <v>0.20412977210045</v>
      </c>
      <c r="H232" s="4">
        <f t="shared" si="15"/>
        <v>50625</v>
      </c>
      <c r="I232" s="5">
        <f>SQRT(SUM('p-native-multi'!$C$3:C232)/COUNTIF($A$3:A232,"&lt;&gt;0"))</f>
        <v>15.643306667014517</v>
      </c>
    </row>
    <row r="233" spans="1:9">
      <c r="A233">
        <v>231</v>
      </c>
      <c r="B233">
        <v>498</v>
      </c>
      <c r="C233">
        <v>253</v>
      </c>
      <c r="D233">
        <v>233</v>
      </c>
      <c r="E233" s="4">
        <f t="shared" si="12"/>
        <v>0</v>
      </c>
      <c r="F233" s="4">
        <f t="shared" si="13"/>
        <v>245</v>
      </c>
      <c r="G233" s="4">
        <f t="shared" si="14"/>
        <v>0.24203238657441009</v>
      </c>
      <c r="H233" s="4">
        <f t="shared" si="15"/>
        <v>60025</v>
      </c>
      <c r="I233" s="5">
        <f>SQRT(SUM('p-native-multi'!$C$3:C233)/COUNTIF($A$3:A233,"&lt;&gt;0"))</f>
        <v>15.644453258229184</v>
      </c>
    </row>
    <row r="234" spans="1:9">
      <c r="A234">
        <v>232</v>
      </c>
      <c r="B234">
        <v>498</v>
      </c>
      <c r="C234">
        <v>233</v>
      </c>
      <c r="D234">
        <v>233</v>
      </c>
      <c r="E234" s="4">
        <f t="shared" si="12"/>
        <v>0</v>
      </c>
      <c r="F234" s="4">
        <f t="shared" si="13"/>
        <v>265</v>
      </c>
      <c r="G234" s="4">
        <f t="shared" si="14"/>
        <v>0.2831607554716859</v>
      </c>
      <c r="H234" s="4">
        <f t="shared" si="15"/>
        <v>70225</v>
      </c>
      <c r="I234" s="5">
        <f>SQRT(SUM('p-native-multi'!$C$3:C234)/COUNTIF($A$3:A234,"&lt;&gt;0"))</f>
        <v>15.642834649195425</v>
      </c>
    </row>
    <row r="235" spans="1:9">
      <c r="A235">
        <v>233</v>
      </c>
      <c r="B235">
        <v>498</v>
      </c>
      <c r="C235">
        <v>279</v>
      </c>
      <c r="D235">
        <v>233</v>
      </c>
      <c r="E235" s="4">
        <f t="shared" si="12"/>
        <v>0</v>
      </c>
      <c r="F235" s="4">
        <f t="shared" si="13"/>
        <v>219</v>
      </c>
      <c r="G235" s="4">
        <f t="shared" si="14"/>
        <v>0.19338800987080851</v>
      </c>
      <c r="H235" s="4">
        <f t="shared" si="15"/>
        <v>47961</v>
      </c>
      <c r="I235" s="5">
        <f>SQRT(SUM('p-native-multi'!$C$3:C235)/COUNTIF($A$3:A235,"&lt;&gt;0"))</f>
        <v>15.647539537008102</v>
      </c>
    </row>
    <row r="236" spans="1:9">
      <c r="A236">
        <v>234</v>
      </c>
      <c r="B236">
        <v>498</v>
      </c>
      <c r="C236">
        <v>273</v>
      </c>
      <c r="D236">
        <v>233</v>
      </c>
      <c r="E236" s="4">
        <f t="shared" si="12"/>
        <v>0</v>
      </c>
      <c r="F236" s="4">
        <f t="shared" si="13"/>
        <v>225</v>
      </c>
      <c r="G236" s="4">
        <f t="shared" si="14"/>
        <v>0.20412977210045</v>
      </c>
      <c r="H236" s="4">
        <f t="shared" si="15"/>
        <v>50625</v>
      </c>
      <c r="I236" s="5">
        <f>SQRT(SUM('p-native-multi'!$C$3:C236)/COUNTIF($A$3:A236,"&lt;&gt;0"))</f>
        <v>15.65138370770495</v>
      </c>
    </row>
    <row r="237" spans="1:9">
      <c r="A237">
        <v>235</v>
      </c>
      <c r="B237">
        <v>498</v>
      </c>
      <c r="C237">
        <v>233</v>
      </c>
      <c r="D237">
        <v>233</v>
      </c>
      <c r="E237" s="4">
        <f t="shared" si="12"/>
        <v>0</v>
      </c>
      <c r="F237" s="4">
        <f t="shared" si="13"/>
        <v>265</v>
      </c>
      <c r="G237" s="4">
        <f t="shared" si="14"/>
        <v>0.2831607554716859</v>
      </c>
      <c r="H237" s="4">
        <f t="shared" si="15"/>
        <v>70225</v>
      </c>
      <c r="I237" s="5">
        <f>SQRT(SUM('p-native-multi'!$C$3:C237)/COUNTIF($A$3:A237,"&lt;&gt;0"))</f>
        <v>15.649756982682552</v>
      </c>
    </row>
    <row r="238" spans="1:9">
      <c r="A238">
        <v>236</v>
      </c>
      <c r="B238">
        <v>498</v>
      </c>
      <c r="C238">
        <v>233</v>
      </c>
      <c r="D238">
        <v>233</v>
      </c>
      <c r="E238" s="4">
        <f t="shared" si="12"/>
        <v>0</v>
      </c>
      <c r="F238" s="4">
        <f t="shared" si="13"/>
        <v>265</v>
      </c>
      <c r="G238" s="4">
        <f t="shared" si="14"/>
        <v>0.2831607554716859</v>
      </c>
      <c r="H238" s="4">
        <f t="shared" si="15"/>
        <v>70225</v>
      </c>
      <c r="I238" s="5">
        <f>SQRT(SUM('p-native-multi'!$C$3:C238)/COUNTIF($A$3:A238,"&lt;&gt;0"))</f>
        <v>15.64814387650053</v>
      </c>
    </row>
    <row r="239" spans="1:9">
      <c r="A239">
        <v>237</v>
      </c>
      <c r="B239">
        <v>498</v>
      </c>
      <c r="C239">
        <v>233</v>
      </c>
      <c r="D239">
        <v>233</v>
      </c>
      <c r="E239" s="4">
        <f t="shared" si="12"/>
        <v>0</v>
      </c>
      <c r="F239" s="4">
        <f t="shared" si="13"/>
        <v>265</v>
      </c>
      <c r="G239" s="4">
        <f t="shared" si="14"/>
        <v>0.2831607554716859</v>
      </c>
      <c r="H239" s="4">
        <f t="shared" si="15"/>
        <v>70225</v>
      </c>
      <c r="I239" s="5">
        <f>SQRT(SUM('p-native-multi'!$C$3:C239)/COUNTIF($A$3:A239,"&lt;&gt;0"))</f>
        <v>15.646544218822289</v>
      </c>
    </row>
    <row r="240" spans="1:9">
      <c r="A240">
        <v>238</v>
      </c>
      <c r="B240">
        <v>498</v>
      </c>
      <c r="C240">
        <v>233</v>
      </c>
      <c r="D240">
        <v>233</v>
      </c>
      <c r="E240" s="4">
        <f t="shared" si="12"/>
        <v>0</v>
      </c>
      <c r="F240" s="4">
        <f t="shared" si="13"/>
        <v>265</v>
      </c>
      <c r="G240" s="4">
        <f t="shared" si="14"/>
        <v>0.2831607554716859</v>
      </c>
      <c r="H240" s="4">
        <f t="shared" si="15"/>
        <v>70225</v>
      </c>
      <c r="I240" s="5">
        <f>SQRT(SUM('p-native-multi'!$C$3:C240)/COUNTIF($A$3:A240,"&lt;&gt;0"))</f>
        <v>15.644957842140482</v>
      </c>
    </row>
    <row r="241" spans="1:9">
      <c r="A241">
        <v>239</v>
      </c>
      <c r="B241">
        <v>498</v>
      </c>
      <c r="C241">
        <v>273</v>
      </c>
      <c r="D241">
        <v>233</v>
      </c>
      <c r="E241" s="4">
        <f t="shared" si="12"/>
        <v>0</v>
      </c>
      <c r="F241" s="4">
        <f t="shared" si="13"/>
        <v>225</v>
      </c>
      <c r="G241" s="4">
        <f t="shared" si="14"/>
        <v>0.20412977210045</v>
      </c>
      <c r="H241" s="4">
        <f t="shared" si="15"/>
        <v>50625</v>
      </c>
      <c r="I241" s="5">
        <f>SQRT(SUM('p-native-multi'!$C$3:C241)/COUNTIF($A$3:A241,"&lt;&gt;0"))</f>
        <v>15.648733021822709</v>
      </c>
    </row>
    <row r="242" spans="1:9">
      <c r="A242">
        <v>240</v>
      </c>
      <c r="B242">
        <v>498</v>
      </c>
      <c r="C242">
        <v>279</v>
      </c>
      <c r="D242">
        <v>233</v>
      </c>
      <c r="E242" s="4">
        <f t="shared" si="12"/>
        <v>0</v>
      </c>
      <c r="F242" s="4">
        <f t="shared" si="13"/>
        <v>219</v>
      </c>
      <c r="G242" s="4">
        <f t="shared" si="14"/>
        <v>0.19338800987080851</v>
      </c>
      <c r="H242" s="4">
        <f t="shared" si="15"/>
        <v>47961</v>
      </c>
      <c r="I242" s="5">
        <f>SQRT(SUM('p-native-multi'!$C$3:C242)/COUNTIF($A$3:A242,"&lt;&gt;0"))</f>
        <v>15.653274417833478</v>
      </c>
    </row>
    <row r="243" spans="1:9">
      <c r="A243">
        <v>241</v>
      </c>
      <c r="B243">
        <v>498</v>
      </c>
      <c r="C243">
        <v>233</v>
      </c>
      <c r="D243">
        <v>233</v>
      </c>
      <c r="E243" s="4">
        <f t="shared" si="12"/>
        <v>0</v>
      </c>
      <c r="F243" s="4">
        <f t="shared" si="13"/>
        <v>265</v>
      </c>
      <c r="G243" s="4">
        <f t="shared" si="14"/>
        <v>0.2831607554716859</v>
      </c>
      <c r="H243" s="4">
        <f t="shared" si="15"/>
        <v>70225</v>
      </c>
      <c r="I243" s="5">
        <f>SQRT(SUM('p-native-multi'!$C$3:C243)/COUNTIF($A$3:A243,"&lt;&gt;0"))</f>
        <v>15.651680540262756</v>
      </c>
    </row>
    <row r="244" spans="1:9">
      <c r="A244">
        <v>242</v>
      </c>
      <c r="B244">
        <v>498</v>
      </c>
      <c r="C244">
        <v>279</v>
      </c>
      <c r="D244">
        <v>233</v>
      </c>
      <c r="E244" s="4">
        <f t="shared" si="12"/>
        <v>0</v>
      </c>
      <c r="F244" s="4">
        <f t="shared" si="13"/>
        <v>219</v>
      </c>
      <c r="G244" s="4">
        <f t="shared" si="14"/>
        <v>0.19338800987080851</v>
      </c>
      <c r="H244" s="4">
        <f t="shared" si="15"/>
        <v>47961</v>
      </c>
      <c r="I244" s="5">
        <f>SQRT(SUM('p-native-multi'!$C$3:C244)/COUNTIF($A$3:A244,"&lt;&gt;0"))</f>
        <v>15.656171386368342</v>
      </c>
    </row>
    <row r="245" spans="1:9">
      <c r="A245">
        <v>243</v>
      </c>
      <c r="B245">
        <v>498</v>
      </c>
      <c r="C245">
        <v>273</v>
      </c>
      <c r="D245">
        <v>233</v>
      </c>
      <c r="E245" s="4">
        <f t="shared" si="12"/>
        <v>0</v>
      </c>
      <c r="F245" s="4">
        <f t="shared" si="13"/>
        <v>225</v>
      </c>
      <c r="G245" s="4">
        <f t="shared" si="14"/>
        <v>0.20412977210045</v>
      </c>
      <c r="H245" s="4">
        <f t="shared" si="15"/>
        <v>50625</v>
      </c>
      <c r="I245" s="5">
        <f>SQRT(SUM('p-native-multi'!$C$3:C245)/COUNTIF($A$3:A245,"&lt;&gt;0"))</f>
        <v>15.65983565286996</v>
      </c>
    </row>
    <row r="246" spans="1:9">
      <c r="A246">
        <v>244</v>
      </c>
      <c r="B246">
        <v>498</v>
      </c>
      <c r="C246">
        <v>253</v>
      </c>
      <c r="D246">
        <v>233</v>
      </c>
      <c r="E246" s="4">
        <f t="shared" si="12"/>
        <v>0</v>
      </c>
      <c r="F246" s="4">
        <f t="shared" si="13"/>
        <v>245</v>
      </c>
      <c r="G246" s="4">
        <f t="shared" si="14"/>
        <v>0.24203238657441009</v>
      </c>
      <c r="H246" s="4">
        <f t="shared" si="15"/>
        <v>60025</v>
      </c>
      <c r="I246" s="5">
        <f>SQRT(SUM('p-native-multi'!$C$3:C246)/COUNTIF($A$3:A246,"&lt;&gt;0"))</f>
        <v>15.660852310202252</v>
      </c>
    </row>
    <row r="247" spans="1:9">
      <c r="A247">
        <v>245</v>
      </c>
      <c r="B247">
        <v>498</v>
      </c>
      <c r="C247">
        <v>233</v>
      </c>
      <c r="D247">
        <v>233</v>
      </c>
      <c r="E247" s="4">
        <f t="shared" si="12"/>
        <v>0</v>
      </c>
      <c r="F247" s="4">
        <f t="shared" si="13"/>
        <v>265</v>
      </c>
      <c r="G247" s="4">
        <f t="shared" si="14"/>
        <v>0.2831607554716859</v>
      </c>
      <c r="H247" s="4">
        <f t="shared" si="15"/>
        <v>70225</v>
      </c>
      <c r="I247" s="5">
        <f>SQRT(SUM('p-native-multi'!$C$3:C247)/COUNTIF($A$3:A247,"&lt;&gt;0"))</f>
        <v>15.659254289331889</v>
      </c>
    </row>
    <row r="248" spans="1:9">
      <c r="A248">
        <v>246</v>
      </c>
      <c r="B248">
        <v>498</v>
      </c>
      <c r="C248">
        <v>253</v>
      </c>
      <c r="D248">
        <v>233</v>
      </c>
      <c r="E248" s="4">
        <f t="shared" si="12"/>
        <v>0</v>
      </c>
      <c r="F248" s="4">
        <f t="shared" si="13"/>
        <v>245</v>
      </c>
      <c r="G248" s="4">
        <f t="shared" si="14"/>
        <v>0.24203238657441009</v>
      </c>
      <c r="H248" s="4">
        <f t="shared" si="15"/>
        <v>60025</v>
      </c>
      <c r="I248" s="5">
        <f>SQRT(SUM('p-native-multi'!$C$3:C248)/COUNTIF($A$3:A248,"&lt;&gt;0"))</f>
        <v>15.660265082016473</v>
      </c>
    </row>
    <row r="249" spans="1:9">
      <c r="A249">
        <v>247</v>
      </c>
      <c r="B249">
        <v>498</v>
      </c>
      <c r="C249">
        <v>233</v>
      </c>
      <c r="D249">
        <v>233</v>
      </c>
      <c r="E249" s="4">
        <f t="shared" si="12"/>
        <v>0</v>
      </c>
      <c r="F249" s="4">
        <f t="shared" si="13"/>
        <v>265</v>
      </c>
      <c r="G249" s="4">
        <f t="shared" si="14"/>
        <v>0.2831607554716859</v>
      </c>
      <c r="H249" s="4">
        <f t="shared" si="15"/>
        <v>70225</v>
      </c>
      <c r="I249" s="5">
        <f>SQRT(SUM('p-native-multi'!$C$3:C249)/COUNTIF($A$3:A249,"&lt;&gt;0"))</f>
        <v>15.658682319525026</v>
      </c>
    </row>
    <row r="250" spans="1:9">
      <c r="A250">
        <v>248</v>
      </c>
      <c r="B250">
        <v>498</v>
      </c>
      <c r="C250">
        <v>273</v>
      </c>
      <c r="D250">
        <v>233</v>
      </c>
      <c r="E250" s="4">
        <f t="shared" si="12"/>
        <v>0</v>
      </c>
      <c r="F250" s="4">
        <f t="shared" si="13"/>
        <v>225</v>
      </c>
      <c r="G250" s="4">
        <f t="shared" si="14"/>
        <v>0.20412977210045</v>
      </c>
      <c r="H250" s="4">
        <f t="shared" si="15"/>
        <v>50625</v>
      </c>
      <c r="I250" s="5">
        <f>SQRT(SUM('p-native-multi'!$C$3:C250)/COUNTIF($A$3:A250,"&lt;&gt;0"))</f>
        <v>15.662262020950333</v>
      </c>
    </row>
    <row r="251" spans="1:9">
      <c r="A251">
        <v>249</v>
      </c>
      <c r="B251">
        <v>498</v>
      </c>
      <c r="C251">
        <v>253</v>
      </c>
      <c r="D251">
        <v>233</v>
      </c>
      <c r="E251" s="4">
        <f t="shared" si="12"/>
        <v>0</v>
      </c>
      <c r="F251" s="4">
        <f t="shared" si="13"/>
        <v>245</v>
      </c>
      <c r="G251" s="4">
        <f t="shared" si="14"/>
        <v>0.24203238657441009</v>
      </c>
      <c r="H251" s="4">
        <f t="shared" si="15"/>
        <v>60025</v>
      </c>
      <c r="I251" s="5">
        <f>SQRT(SUM('p-native-multi'!$C$3:C251)/COUNTIF($A$3:A251,"&lt;&gt;0"))</f>
        <v>15.663248366721074</v>
      </c>
    </row>
    <row r="252" spans="1:9">
      <c r="A252">
        <v>250</v>
      </c>
      <c r="B252">
        <v>498</v>
      </c>
      <c r="C252">
        <v>253</v>
      </c>
      <c r="D252">
        <v>233</v>
      </c>
      <c r="E252" s="4">
        <f t="shared" si="12"/>
        <v>0</v>
      </c>
      <c r="F252" s="4">
        <f t="shared" si="13"/>
        <v>245</v>
      </c>
      <c r="G252" s="4">
        <f t="shared" si="14"/>
        <v>0.24203238657441009</v>
      </c>
      <c r="H252" s="4">
        <f t="shared" si="15"/>
        <v>60025</v>
      </c>
      <c r="I252" s="5">
        <f>SQRT(SUM('p-native-multi'!$C$3:C252)/COUNTIF($A$3:A252,"&lt;&gt;0"))</f>
        <v>15.664226760360691</v>
      </c>
    </row>
    <row r="253" spans="1:9">
      <c r="A253">
        <v>251</v>
      </c>
      <c r="B253">
        <v>498</v>
      </c>
      <c r="C253">
        <v>233</v>
      </c>
      <c r="D253">
        <v>233</v>
      </c>
      <c r="E253" s="4">
        <f t="shared" si="12"/>
        <v>0</v>
      </c>
      <c r="F253" s="4">
        <f t="shared" si="13"/>
        <v>265</v>
      </c>
      <c r="G253" s="4">
        <f t="shared" si="14"/>
        <v>0.2831607554716859</v>
      </c>
      <c r="H253" s="4">
        <f t="shared" si="15"/>
        <v>70225</v>
      </c>
      <c r="I253" s="5">
        <f>SQRT(SUM('p-native-multi'!$C$3:C253)/COUNTIF($A$3:A253,"&lt;&gt;0"))</f>
        <v>15.66265383323023</v>
      </c>
    </row>
    <row r="254" spans="1:9">
      <c r="A254">
        <v>252</v>
      </c>
      <c r="B254">
        <v>498</v>
      </c>
      <c r="C254">
        <v>233</v>
      </c>
      <c r="D254">
        <v>233</v>
      </c>
      <c r="E254" s="4">
        <f t="shared" si="12"/>
        <v>0</v>
      </c>
      <c r="F254" s="4">
        <f t="shared" si="13"/>
        <v>265</v>
      </c>
      <c r="G254" s="4">
        <f t="shared" si="14"/>
        <v>0.2831607554716859</v>
      </c>
      <c r="H254" s="4">
        <f t="shared" si="15"/>
        <v>70225</v>
      </c>
      <c r="I254" s="5">
        <f>SQRT(SUM('p-native-multi'!$C$3:C254)/COUNTIF($A$3:A254,"&lt;&gt;0"))</f>
        <v>15.661093233546669</v>
      </c>
    </row>
    <row r="255" spans="1:9">
      <c r="A255">
        <v>253</v>
      </c>
      <c r="B255">
        <v>498</v>
      </c>
      <c r="C255">
        <v>253</v>
      </c>
      <c r="D255">
        <v>233</v>
      </c>
      <c r="E255" s="4">
        <f t="shared" si="12"/>
        <v>0</v>
      </c>
      <c r="F255" s="4">
        <f t="shared" si="13"/>
        <v>245</v>
      </c>
      <c r="G255" s="4">
        <f t="shared" si="14"/>
        <v>0.24203238657441009</v>
      </c>
      <c r="H255" s="4">
        <f t="shared" si="15"/>
        <v>60025</v>
      </c>
      <c r="I255" s="5">
        <f>SQRT(SUM('p-native-multi'!$C$3:C255)/COUNTIF($A$3:A255,"&lt;&gt;0"))</f>
        <v>15.66206867744223</v>
      </c>
    </row>
    <row r="256" spans="1:9">
      <c r="A256">
        <v>254</v>
      </c>
      <c r="B256">
        <v>498</v>
      </c>
      <c r="C256">
        <v>273</v>
      </c>
      <c r="D256">
        <v>233</v>
      </c>
      <c r="E256" s="4">
        <f t="shared" si="12"/>
        <v>0</v>
      </c>
      <c r="F256" s="4">
        <f t="shared" si="13"/>
        <v>225</v>
      </c>
      <c r="G256" s="4">
        <f t="shared" si="14"/>
        <v>0.20412977210045</v>
      </c>
      <c r="H256" s="4">
        <f t="shared" si="15"/>
        <v>50625</v>
      </c>
      <c r="I256" s="5">
        <f>SQRT(SUM('p-native-multi'!$C$3:C256)/COUNTIF($A$3:A256,"&lt;&gt;0"))</f>
        <v>15.665549745186015</v>
      </c>
    </row>
    <row r="257" spans="1:9">
      <c r="A257">
        <v>255</v>
      </c>
      <c r="B257">
        <v>498</v>
      </c>
      <c r="C257">
        <v>279</v>
      </c>
      <c r="D257">
        <v>233</v>
      </c>
      <c r="E257" s="4">
        <f t="shared" si="12"/>
        <v>0</v>
      </c>
      <c r="F257" s="4">
        <f t="shared" si="13"/>
        <v>219</v>
      </c>
      <c r="G257" s="4">
        <f t="shared" si="14"/>
        <v>0.19338800987080851</v>
      </c>
      <c r="H257" s="4">
        <f t="shared" si="15"/>
        <v>47961</v>
      </c>
      <c r="I257" s="5">
        <f>SQRT(SUM('p-native-multi'!$C$3:C257)/COUNTIF($A$3:A257,"&lt;&gt;0"))</f>
        <v>15.66975355487725</v>
      </c>
    </row>
    <row r="258" spans="1:9">
      <c r="A258">
        <v>256</v>
      </c>
      <c r="B258">
        <v>498</v>
      </c>
      <c r="C258">
        <v>233</v>
      </c>
      <c r="D258">
        <v>233</v>
      </c>
      <c r="E258" s="4">
        <f t="shared" si="12"/>
        <v>0</v>
      </c>
      <c r="F258" s="4">
        <f t="shared" si="13"/>
        <v>265</v>
      </c>
      <c r="G258" s="4">
        <f t="shared" si="14"/>
        <v>0.2831607554716859</v>
      </c>
      <c r="H258" s="4">
        <f t="shared" si="15"/>
        <v>70225</v>
      </c>
      <c r="I258" s="5">
        <f>SQRT(SUM('p-native-multi'!$C$3:C258)/COUNTIF($A$3:A258,"&lt;&gt;0"))</f>
        <v>15.66819030711588</v>
      </c>
    </row>
    <row r="259" spans="1:9">
      <c r="A259">
        <v>257</v>
      </c>
      <c r="B259">
        <v>498</v>
      </c>
      <c r="C259">
        <v>279</v>
      </c>
      <c r="D259">
        <v>233</v>
      </c>
      <c r="E259" s="4">
        <f t="shared" si="12"/>
        <v>0</v>
      </c>
      <c r="F259" s="4">
        <f t="shared" si="13"/>
        <v>219</v>
      </c>
      <c r="G259" s="4">
        <f t="shared" si="14"/>
        <v>0.19338800987080851</v>
      </c>
      <c r="H259" s="4">
        <f t="shared" si="15"/>
        <v>47961</v>
      </c>
      <c r="I259" s="5">
        <f>SQRT(SUM('p-native-multi'!$C$3:C259)/COUNTIF($A$3:A259,"&lt;&gt;0"))</f>
        <v>15.672350432956289</v>
      </c>
    </row>
    <row r="260" spans="1:9">
      <c r="A260">
        <v>258</v>
      </c>
      <c r="B260">
        <v>498</v>
      </c>
      <c r="C260">
        <v>279</v>
      </c>
      <c r="D260">
        <v>233</v>
      </c>
      <c r="E260" s="4">
        <f t="shared" ref="E260:E323" si="16">IF(AND(C260&lt;=B260*1.2,C260&gt;=B260*0.8),1,0)</f>
        <v>0</v>
      </c>
      <c r="F260" s="4">
        <f t="shared" ref="F260:F323" si="17">ABS(B260-C260)</f>
        <v>219</v>
      </c>
      <c r="G260" s="4">
        <f t="shared" ref="G260:G323" si="18">POWER(ABS(B260-C260)/B260,2)</f>
        <v>0.19338800987080851</v>
      </c>
      <c r="H260" s="4">
        <f t="shared" ref="H260:H323" si="19">POWER(F260,2)</f>
        <v>47961</v>
      </c>
      <c r="I260" s="5">
        <f>SQRT(SUM('p-native-multi'!$C$3:C260)/COUNTIF($A$3:A260,"&lt;&gt;0"))</f>
        <v>15.676477218574846</v>
      </c>
    </row>
    <row r="261" spans="1:9">
      <c r="A261">
        <v>259</v>
      </c>
      <c r="B261">
        <v>498</v>
      </c>
      <c r="C261">
        <v>253</v>
      </c>
      <c r="D261">
        <v>233</v>
      </c>
      <c r="E261" s="4">
        <f t="shared" si="16"/>
        <v>0</v>
      </c>
      <c r="F261" s="4">
        <f t="shared" si="17"/>
        <v>245</v>
      </c>
      <c r="G261" s="4">
        <f t="shared" si="18"/>
        <v>0.24203238657441009</v>
      </c>
      <c r="H261" s="4">
        <f t="shared" si="19"/>
        <v>60025</v>
      </c>
      <c r="I261" s="5">
        <f>SQRT(SUM('p-native-multi'!$C$3:C261)/COUNTIF($A$3:A261,"&lt;&gt;0"))</f>
        <v>15.677369766001016</v>
      </c>
    </row>
    <row r="262" spans="1:9">
      <c r="A262">
        <v>260</v>
      </c>
      <c r="B262">
        <v>498</v>
      </c>
      <c r="C262">
        <v>273</v>
      </c>
      <c r="D262">
        <v>233</v>
      </c>
      <c r="E262" s="4">
        <f t="shared" si="16"/>
        <v>0</v>
      </c>
      <c r="F262" s="4">
        <f t="shared" si="17"/>
        <v>225</v>
      </c>
      <c r="G262" s="4">
        <f t="shared" si="18"/>
        <v>0.20412977210045</v>
      </c>
      <c r="H262" s="4">
        <f t="shared" si="19"/>
        <v>50625</v>
      </c>
      <c r="I262" s="5">
        <f>SQRT(SUM('p-native-multi'!$C$3:C262)/COUNTIF($A$3:A262,"&lt;&gt;0"))</f>
        <v>15.680708382742642</v>
      </c>
    </row>
    <row r="263" spans="1:9">
      <c r="A263">
        <v>261</v>
      </c>
      <c r="B263">
        <v>498</v>
      </c>
      <c r="C263">
        <v>233</v>
      </c>
      <c r="D263">
        <v>233</v>
      </c>
      <c r="E263" s="4">
        <f t="shared" si="16"/>
        <v>0</v>
      </c>
      <c r="F263" s="4">
        <f t="shared" si="17"/>
        <v>265</v>
      </c>
      <c r="G263" s="4">
        <f t="shared" si="18"/>
        <v>0.2831607554716859</v>
      </c>
      <c r="H263" s="4">
        <f t="shared" si="19"/>
        <v>70225</v>
      </c>
      <c r="I263" s="5">
        <f>SQRT(SUM('p-native-multi'!$C$3:C263)/COUNTIF($A$3:A263,"&lt;&gt;0"))</f>
        <v>15.679134193001397</v>
      </c>
    </row>
    <row r="264" spans="1:9">
      <c r="A264">
        <v>262</v>
      </c>
      <c r="B264">
        <v>498</v>
      </c>
      <c r="C264">
        <v>233</v>
      </c>
      <c r="D264">
        <v>233</v>
      </c>
      <c r="E264" s="4">
        <f t="shared" si="16"/>
        <v>0</v>
      </c>
      <c r="F264" s="4">
        <f t="shared" si="17"/>
        <v>265</v>
      </c>
      <c r="G264" s="4">
        <f t="shared" si="18"/>
        <v>0.2831607554716859</v>
      </c>
      <c r="H264" s="4">
        <f t="shared" si="19"/>
        <v>70225</v>
      </c>
      <c r="I264" s="5">
        <f>SQRT(SUM('p-native-multi'!$C$3:C264)/COUNTIF($A$3:A264,"&lt;&gt;0"))</f>
        <v>15.677571863716164</v>
      </c>
    </row>
    <row r="265" spans="1:9">
      <c r="A265">
        <v>263</v>
      </c>
      <c r="B265">
        <v>498</v>
      </c>
      <c r="C265">
        <v>233</v>
      </c>
      <c r="D265">
        <v>233</v>
      </c>
      <c r="E265" s="4">
        <f t="shared" si="16"/>
        <v>0</v>
      </c>
      <c r="F265" s="4">
        <f t="shared" si="17"/>
        <v>265</v>
      </c>
      <c r="G265" s="4">
        <f t="shared" si="18"/>
        <v>0.2831607554716859</v>
      </c>
      <c r="H265" s="4">
        <f t="shared" si="19"/>
        <v>70225</v>
      </c>
      <c r="I265" s="5">
        <f>SQRT(SUM('p-native-multi'!$C$3:C265)/COUNTIF($A$3:A265,"&lt;&gt;0"))</f>
        <v>15.676021261326209</v>
      </c>
    </row>
    <row r="266" spans="1:9">
      <c r="A266">
        <v>264</v>
      </c>
      <c r="B266">
        <v>498</v>
      </c>
      <c r="C266">
        <v>273</v>
      </c>
      <c r="D266">
        <v>233</v>
      </c>
      <c r="E266" s="4">
        <f t="shared" si="16"/>
        <v>0</v>
      </c>
      <c r="F266" s="4">
        <f t="shared" si="17"/>
        <v>225</v>
      </c>
      <c r="G266" s="4">
        <f t="shared" si="18"/>
        <v>0.20412977210045</v>
      </c>
      <c r="H266" s="4">
        <f t="shared" si="19"/>
        <v>50625</v>
      </c>
      <c r="I266" s="5">
        <f>SQRT(SUM('p-native-multi'!$C$3:C266)/COUNTIF($A$3:A266,"&lt;&gt;0"))</f>
        <v>15.679314688177831</v>
      </c>
    </row>
    <row r="267" spans="1:9">
      <c r="A267">
        <v>265</v>
      </c>
      <c r="B267">
        <v>498</v>
      </c>
      <c r="C267">
        <v>253</v>
      </c>
      <c r="D267">
        <v>233</v>
      </c>
      <c r="E267" s="4">
        <f t="shared" si="16"/>
        <v>0</v>
      </c>
      <c r="F267" s="4">
        <f t="shared" si="17"/>
        <v>245</v>
      </c>
      <c r="G267" s="4">
        <f t="shared" si="18"/>
        <v>0.24203238657441009</v>
      </c>
      <c r="H267" s="4">
        <f t="shared" si="19"/>
        <v>60025</v>
      </c>
      <c r="I267" s="5">
        <f>SQRT(SUM('p-native-multi'!$C$3:C267)/COUNTIF($A$3:A267,"&lt;&gt;0"))</f>
        <v>15.68017616381595</v>
      </c>
    </row>
    <row r="268" spans="1:9">
      <c r="A268">
        <v>266</v>
      </c>
      <c r="B268">
        <v>498</v>
      </c>
      <c r="C268">
        <v>233</v>
      </c>
      <c r="D268">
        <v>233</v>
      </c>
      <c r="E268" s="4">
        <f t="shared" si="16"/>
        <v>0</v>
      </c>
      <c r="F268" s="4">
        <f t="shared" si="17"/>
        <v>265</v>
      </c>
      <c r="G268" s="4">
        <f t="shared" si="18"/>
        <v>0.2831607554716859</v>
      </c>
      <c r="H268" s="4">
        <f t="shared" si="19"/>
        <v>70225</v>
      </c>
      <c r="I268" s="5">
        <f>SQRT(SUM('p-native-multi'!$C$3:C268)/COUNTIF($A$3:A268,"&lt;&gt;0"))</f>
        <v>15.678633514186766</v>
      </c>
    </row>
    <row r="269" spans="1:9">
      <c r="A269">
        <v>267</v>
      </c>
      <c r="B269">
        <v>498</v>
      </c>
      <c r="C269">
        <v>279</v>
      </c>
      <c r="D269">
        <v>233</v>
      </c>
      <c r="E269" s="4">
        <f t="shared" si="16"/>
        <v>0</v>
      </c>
      <c r="F269" s="4">
        <f t="shared" si="17"/>
        <v>219</v>
      </c>
      <c r="G269" s="4">
        <f t="shared" si="18"/>
        <v>0.19338800987080851</v>
      </c>
      <c r="H269" s="4">
        <f t="shared" si="19"/>
        <v>47961</v>
      </c>
      <c r="I269" s="5">
        <f>SQRT(SUM('p-native-multi'!$C$3:C269)/COUNTIF($A$3:A269,"&lt;&gt;0"))</f>
        <v>15.682596093272284</v>
      </c>
    </row>
    <row r="270" spans="1:9">
      <c r="A270">
        <v>268</v>
      </c>
      <c r="B270">
        <v>498</v>
      </c>
      <c r="C270">
        <v>273</v>
      </c>
      <c r="D270">
        <v>233</v>
      </c>
      <c r="E270" s="4">
        <f t="shared" si="16"/>
        <v>0</v>
      </c>
      <c r="F270" s="4">
        <f t="shared" si="17"/>
        <v>225</v>
      </c>
      <c r="G270" s="4">
        <f t="shared" si="18"/>
        <v>0.20412977210045</v>
      </c>
      <c r="H270" s="4">
        <f t="shared" si="19"/>
        <v>50625</v>
      </c>
      <c r="I270" s="5">
        <f>SQRT(SUM('p-native-multi'!$C$3:C270)/COUNTIF($A$3:A270,"&lt;&gt;0"))</f>
        <v>15.685814486962512</v>
      </c>
    </row>
    <row r="271" spans="1:9">
      <c r="A271">
        <v>269</v>
      </c>
      <c r="B271">
        <v>498</v>
      </c>
      <c r="C271">
        <v>233</v>
      </c>
      <c r="D271">
        <v>233</v>
      </c>
      <c r="E271" s="4">
        <f t="shared" si="16"/>
        <v>0</v>
      </c>
      <c r="F271" s="4">
        <f t="shared" si="17"/>
        <v>265</v>
      </c>
      <c r="G271" s="4">
        <f t="shared" si="18"/>
        <v>0.2831607554716859</v>
      </c>
      <c r="H271" s="4">
        <f t="shared" si="19"/>
        <v>70225</v>
      </c>
      <c r="I271" s="5">
        <f>SQRT(SUM('p-native-multi'!$C$3:C271)/COUNTIF($A$3:A271,"&lt;&gt;0"))</f>
        <v>15.684268632227678</v>
      </c>
    </row>
    <row r="272" spans="1:9">
      <c r="A272">
        <v>270</v>
      </c>
      <c r="B272">
        <v>498</v>
      </c>
      <c r="C272">
        <v>273</v>
      </c>
      <c r="D272">
        <v>233</v>
      </c>
      <c r="E272" s="4">
        <f t="shared" si="16"/>
        <v>0</v>
      </c>
      <c r="F272" s="4">
        <f t="shared" si="17"/>
        <v>225</v>
      </c>
      <c r="G272" s="4">
        <f t="shared" si="18"/>
        <v>0.20412977210045</v>
      </c>
      <c r="H272" s="4">
        <f t="shared" si="19"/>
        <v>50625</v>
      </c>
      <c r="I272" s="5">
        <f>SQRT(SUM('p-native-multi'!$C$3:C272)/COUNTIF($A$3:A272,"&lt;&gt;0"))</f>
        <v>15.687456654802151</v>
      </c>
    </row>
    <row r="273" spans="1:9">
      <c r="A273">
        <v>271</v>
      </c>
      <c r="B273">
        <v>498</v>
      </c>
      <c r="C273">
        <v>273</v>
      </c>
      <c r="D273">
        <v>233</v>
      </c>
      <c r="E273" s="4">
        <f t="shared" si="16"/>
        <v>0</v>
      </c>
      <c r="F273" s="4">
        <f t="shared" si="17"/>
        <v>225</v>
      </c>
      <c r="G273" s="4">
        <f t="shared" si="18"/>
        <v>0.20412977210045</v>
      </c>
      <c r="H273" s="4">
        <f t="shared" si="19"/>
        <v>50625</v>
      </c>
      <c r="I273" s="5">
        <f>SQRT(SUM('p-native-multi'!$C$3:C273)/COUNTIF($A$3:A273,"&lt;&gt;0"))</f>
        <v>15.690620508944813</v>
      </c>
    </row>
    <row r="274" spans="1:9">
      <c r="A274">
        <v>272</v>
      </c>
      <c r="B274">
        <v>498</v>
      </c>
      <c r="C274">
        <v>253</v>
      </c>
      <c r="D274">
        <v>233</v>
      </c>
      <c r="E274" s="4">
        <f t="shared" si="16"/>
        <v>0</v>
      </c>
      <c r="F274" s="4">
        <f t="shared" si="17"/>
        <v>245</v>
      </c>
      <c r="G274" s="4">
        <f t="shared" si="18"/>
        <v>0.24203238657441009</v>
      </c>
      <c r="H274" s="4">
        <f t="shared" si="19"/>
        <v>60025</v>
      </c>
      <c r="I274" s="5">
        <f>SQRT(SUM('p-native-multi'!$C$3:C274)/COUNTIF($A$3:A274,"&lt;&gt;0"))</f>
        <v>15.691417661744081</v>
      </c>
    </row>
    <row r="275" spans="1:9">
      <c r="A275">
        <v>273</v>
      </c>
      <c r="B275">
        <v>498</v>
      </c>
      <c r="C275">
        <v>233</v>
      </c>
      <c r="D275">
        <v>233</v>
      </c>
      <c r="E275" s="4">
        <f t="shared" si="16"/>
        <v>0</v>
      </c>
      <c r="F275" s="4">
        <f t="shared" si="17"/>
        <v>265</v>
      </c>
      <c r="G275" s="4">
        <f t="shared" si="18"/>
        <v>0.2831607554716859</v>
      </c>
      <c r="H275" s="4">
        <f t="shared" si="19"/>
        <v>70225</v>
      </c>
      <c r="I275" s="5">
        <f>SQRT(SUM('p-native-multi'!$C$3:C275)/COUNTIF($A$3:A275,"&lt;&gt;0"))</f>
        <v>15.689874479171628</v>
      </c>
    </row>
    <row r="276" spans="1:9">
      <c r="A276">
        <v>274</v>
      </c>
      <c r="B276">
        <v>498</v>
      </c>
      <c r="C276">
        <v>273</v>
      </c>
      <c r="D276">
        <v>233</v>
      </c>
      <c r="E276" s="4">
        <f t="shared" si="16"/>
        <v>0</v>
      </c>
      <c r="F276" s="4">
        <f t="shared" si="17"/>
        <v>225</v>
      </c>
      <c r="G276" s="4">
        <f t="shared" si="18"/>
        <v>0.20412977210045</v>
      </c>
      <c r="H276" s="4">
        <f t="shared" si="19"/>
        <v>50625</v>
      </c>
      <c r="I276" s="5">
        <f>SQRT(SUM('p-native-multi'!$C$3:C276)/COUNTIF($A$3:A276,"&lt;&gt;0"))</f>
        <v>15.692994392170691</v>
      </c>
    </row>
    <row r="277" spans="1:9">
      <c r="A277">
        <v>275</v>
      </c>
      <c r="B277">
        <v>498</v>
      </c>
      <c r="C277">
        <v>253</v>
      </c>
      <c r="D277">
        <v>233</v>
      </c>
      <c r="E277" s="4">
        <f t="shared" si="16"/>
        <v>0</v>
      </c>
      <c r="F277" s="4">
        <f t="shared" si="17"/>
        <v>245</v>
      </c>
      <c r="G277" s="4">
        <f t="shared" si="18"/>
        <v>0.24203238657441009</v>
      </c>
      <c r="H277" s="4">
        <f t="shared" si="19"/>
        <v>60025</v>
      </c>
      <c r="I277" s="5">
        <f>SQRT(SUM('p-native-multi'!$C$3:C277)/COUNTIF($A$3:A277,"&lt;&gt;0"))</f>
        <v>15.693774098493499</v>
      </c>
    </row>
    <row r="278" spans="1:9">
      <c r="A278">
        <v>276</v>
      </c>
      <c r="B278">
        <v>498</v>
      </c>
      <c r="C278">
        <v>233</v>
      </c>
      <c r="D278">
        <v>233</v>
      </c>
      <c r="E278" s="4">
        <f t="shared" si="16"/>
        <v>0</v>
      </c>
      <c r="F278" s="4">
        <f t="shared" si="17"/>
        <v>265</v>
      </c>
      <c r="G278" s="4">
        <f t="shared" si="18"/>
        <v>0.2831607554716859</v>
      </c>
      <c r="H278" s="4">
        <f t="shared" si="19"/>
        <v>70225</v>
      </c>
      <c r="I278" s="5">
        <f>SQRT(SUM('p-native-multi'!$C$3:C278)/COUNTIF($A$3:A278,"&lt;&gt;0"))</f>
        <v>15.692239381668704</v>
      </c>
    </row>
    <row r="279" spans="1:9">
      <c r="A279">
        <v>277</v>
      </c>
      <c r="B279">
        <v>498</v>
      </c>
      <c r="C279">
        <v>273</v>
      </c>
      <c r="D279">
        <v>233</v>
      </c>
      <c r="E279" s="4">
        <f t="shared" si="16"/>
        <v>0</v>
      </c>
      <c r="F279" s="4">
        <f t="shared" si="17"/>
        <v>225</v>
      </c>
      <c r="G279" s="4">
        <f t="shared" si="18"/>
        <v>0.20412977210045</v>
      </c>
      <c r="H279" s="4">
        <f t="shared" si="19"/>
        <v>50625</v>
      </c>
      <c r="I279" s="5">
        <f>SQRT(SUM('p-native-multi'!$C$3:C279)/COUNTIF($A$3:A279,"&lt;&gt;0"))</f>
        <v>15.695316508080003</v>
      </c>
    </row>
    <row r="280" spans="1:9">
      <c r="A280">
        <v>278</v>
      </c>
      <c r="B280">
        <v>498</v>
      </c>
      <c r="C280">
        <v>273</v>
      </c>
      <c r="D280">
        <v>233</v>
      </c>
      <c r="E280" s="4">
        <f t="shared" si="16"/>
        <v>0</v>
      </c>
      <c r="F280" s="4">
        <f t="shared" si="17"/>
        <v>225</v>
      </c>
      <c r="G280" s="4">
        <f t="shared" si="18"/>
        <v>0.20412977210045</v>
      </c>
      <c r="H280" s="4">
        <f t="shared" si="19"/>
        <v>50625</v>
      </c>
      <c r="I280" s="5">
        <f>SQRT(SUM('p-native-multi'!$C$3:C280)/COUNTIF($A$3:A280,"&lt;&gt;0"))</f>
        <v>15.698370900219656</v>
      </c>
    </row>
    <row r="281" spans="1:9">
      <c r="A281">
        <v>279</v>
      </c>
      <c r="B281">
        <v>498</v>
      </c>
      <c r="C281">
        <v>253</v>
      </c>
      <c r="D281">
        <v>233</v>
      </c>
      <c r="E281" s="4">
        <f t="shared" si="16"/>
        <v>0</v>
      </c>
      <c r="F281" s="4">
        <f t="shared" si="17"/>
        <v>245</v>
      </c>
      <c r="G281" s="4">
        <f t="shared" si="18"/>
        <v>0.24203238657441009</v>
      </c>
      <c r="H281" s="4">
        <f t="shared" si="19"/>
        <v>60025</v>
      </c>
      <c r="I281" s="5">
        <f>SQRT(SUM('p-native-multi'!$C$3:C281)/COUNTIF($A$3:A281,"&lt;&gt;0"))</f>
        <v>15.699119898624822</v>
      </c>
    </row>
    <row r="282" spans="1:9">
      <c r="A282">
        <v>280</v>
      </c>
      <c r="B282">
        <v>498</v>
      </c>
      <c r="C282">
        <v>233</v>
      </c>
      <c r="D282">
        <v>233</v>
      </c>
      <c r="E282" s="4">
        <f t="shared" si="16"/>
        <v>0</v>
      </c>
      <c r="F282" s="4">
        <f t="shared" si="17"/>
        <v>265</v>
      </c>
      <c r="G282" s="4">
        <f t="shared" si="18"/>
        <v>0.2831607554716859</v>
      </c>
      <c r="H282" s="4">
        <f t="shared" si="19"/>
        <v>70225</v>
      </c>
      <c r="I282" s="5">
        <f>SQRT(SUM('p-native-multi'!$C$3:C282)/COUNTIF($A$3:A282,"&lt;&gt;0"))</f>
        <v>15.697588531818692</v>
      </c>
    </row>
    <row r="283" spans="1:9">
      <c r="A283">
        <v>281</v>
      </c>
      <c r="B283">
        <v>498</v>
      </c>
      <c r="C283">
        <v>279</v>
      </c>
      <c r="D283">
        <v>233</v>
      </c>
      <c r="E283" s="4">
        <f t="shared" si="16"/>
        <v>0</v>
      </c>
      <c r="F283" s="4">
        <f t="shared" si="17"/>
        <v>219</v>
      </c>
      <c r="G283" s="4">
        <f t="shared" si="18"/>
        <v>0.19338800987080851</v>
      </c>
      <c r="H283" s="4">
        <f t="shared" si="19"/>
        <v>47961</v>
      </c>
      <c r="I283" s="5">
        <f>SQRT(SUM('p-native-multi'!$C$3:C283)/COUNTIF($A$3:A283,"&lt;&gt;0"))</f>
        <v>15.701281766477548</v>
      </c>
    </row>
    <row r="284" spans="1:9">
      <c r="A284">
        <v>282</v>
      </c>
      <c r="B284">
        <v>498</v>
      </c>
      <c r="C284">
        <v>273</v>
      </c>
      <c r="D284">
        <v>233</v>
      </c>
      <c r="E284" s="4">
        <f t="shared" si="16"/>
        <v>0</v>
      </c>
      <c r="F284" s="4">
        <f t="shared" si="17"/>
        <v>225</v>
      </c>
      <c r="G284" s="4">
        <f t="shared" si="18"/>
        <v>0.20412977210045</v>
      </c>
      <c r="H284" s="4">
        <f t="shared" si="19"/>
        <v>50625</v>
      </c>
      <c r="I284" s="5">
        <f>SQRT(SUM('p-native-multi'!$C$3:C284)/COUNTIF($A$3:A284,"&lt;&gt;0"))</f>
        <v>15.704270548967797</v>
      </c>
    </row>
    <row r="285" spans="1:9">
      <c r="A285">
        <v>283</v>
      </c>
      <c r="B285">
        <v>498</v>
      </c>
      <c r="C285">
        <v>233</v>
      </c>
      <c r="D285">
        <v>233</v>
      </c>
      <c r="E285" s="4">
        <f t="shared" si="16"/>
        <v>0</v>
      </c>
      <c r="F285" s="4">
        <f t="shared" si="17"/>
        <v>265</v>
      </c>
      <c r="G285" s="4">
        <f t="shared" si="18"/>
        <v>0.2831607554716859</v>
      </c>
      <c r="H285" s="4">
        <f t="shared" si="19"/>
        <v>70225</v>
      </c>
      <c r="I285" s="5">
        <f>SQRT(SUM('p-native-multi'!$C$3:C285)/COUNTIF($A$3:A285,"&lt;&gt;0"))</f>
        <v>15.70273771453401</v>
      </c>
    </row>
    <row r="286" spans="1:9">
      <c r="A286">
        <v>284</v>
      </c>
      <c r="B286">
        <v>498</v>
      </c>
      <c r="C286">
        <v>279</v>
      </c>
      <c r="D286">
        <v>233</v>
      </c>
      <c r="E286" s="4">
        <f t="shared" si="16"/>
        <v>0</v>
      </c>
      <c r="F286" s="4">
        <f t="shared" si="17"/>
        <v>219</v>
      </c>
      <c r="G286" s="4">
        <f t="shared" si="18"/>
        <v>0.19338800987080851</v>
      </c>
      <c r="H286" s="4">
        <f t="shared" si="19"/>
        <v>47961</v>
      </c>
      <c r="I286" s="5">
        <f>SQRT(SUM('p-native-multi'!$C$3:C286)/COUNTIF($A$3:A286,"&lt;&gt;0"))</f>
        <v>15.70637261894262</v>
      </c>
    </row>
    <row r="287" spans="1:9">
      <c r="A287">
        <v>285</v>
      </c>
      <c r="B287">
        <v>498</v>
      </c>
      <c r="C287">
        <v>273</v>
      </c>
      <c r="D287">
        <v>233</v>
      </c>
      <c r="E287" s="4">
        <f t="shared" si="16"/>
        <v>0</v>
      </c>
      <c r="F287" s="4">
        <f t="shared" si="17"/>
        <v>225</v>
      </c>
      <c r="G287" s="4">
        <f t="shared" si="18"/>
        <v>0.20412977210045</v>
      </c>
      <c r="H287" s="4">
        <f t="shared" si="19"/>
        <v>50625</v>
      </c>
      <c r="I287" s="5">
        <f>SQRT(SUM('p-native-multi'!$C$3:C287)/COUNTIF($A$3:A287,"&lt;&gt;0"))</f>
        <v>15.70931112876535</v>
      </c>
    </row>
    <row r="288" spans="1:9">
      <c r="A288">
        <v>286</v>
      </c>
      <c r="B288">
        <v>498</v>
      </c>
      <c r="C288">
        <v>233</v>
      </c>
      <c r="D288">
        <v>233</v>
      </c>
      <c r="E288" s="4">
        <f t="shared" si="16"/>
        <v>0</v>
      </c>
      <c r="F288" s="4">
        <f t="shared" si="17"/>
        <v>265</v>
      </c>
      <c r="G288" s="4">
        <f t="shared" si="18"/>
        <v>0.2831607554716859</v>
      </c>
      <c r="H288" s="4">
        <f t="shared" si="19"/>
        <v>70225</v>
      </c>
      <c r="I288" s="5">
        <f>SQRT(SUM('p-native-multi'!$C$3:C288)/COUNTIF($A$3:A288,"&lt;&gt;0"))</f>
        <v>15.707777237224423</v>
      </c>
    </row>
    <row r="289" spans="1:9">
      <c r="A289">
        <v>287</v>
      </c>
      <c r="B289">
        <v>498</v>
      </c>
      <c r="C289">
        <v>233</v>
      </c>
      <c r="D289">
        <v>233</v>
      </c>
      <c r="E289" s="4">
        <f t="shared" si="16"/>
        <v>0</v>
      </c>
      <c r="F289" s="4">
        <f t="shared" si="17"/>
        <v>265</v>
      </c>
      <c r="G289" s="4">
        <f t="shared" si="18"/>
        <v>0.2831607554716859</v>
      </c>
      <c r="H289" s="4">
        <f t="shared" si="19"/>
        <v>70225</v>
      </c>
      <c r="I289" s="5">
        <f>SQRT(SUM('p-native-multi'!$C$3:C289)/COUNTIF($A$3:A289,"&lt;&gt;0"))</f>
        <v>15.706253886583706</v>
      </c>
    </row>
    <row r="290" spans="1:9">
      <c r="A290">
        <v>288</v>
      </c>
      <c r="B290">
        <v>498</v>
      </c>
      <c r="C290">
        <v>279</v>
      </c>
      <c r="D290">
        <v>233</v>
      </c>
      <c r="E290" s="4">
        <f t="shared" si="16"/>
        <v>0</v>
      </c>
      <c r="F290" s="4">
        <f t="shared" si="17"/>
        <v>219</v>
      </c>
      <c r="G290" s="4">
        <f t="shared" si="18"/>
        <v>0.19338800987080851</v>
      </c>
      <c r="H290" s="4">
        <f t="shared" si="19"/>
        <v>47961</v>
      </c>
      <c r="I290" s="5">
        <f>SQRT(SUM('p-native-multi'!$C$3:C290)/COUNTIF($A$3:A290,"&lt;&gt;0"))</f>
        <v>15.709825304920201</v>
      </c>
    </row>
    <row r="291" spans="1:9">
      <c r="A291">
        <v>289</v>
      </c>
      <c r="B291">
        <v>498</v>
      </c>
      <c r="C291">
        <v>253</v>
      </c>
      <c r="D291">
        <v>233</v>
      </c>
      <c r="E291" s="4">
        <f t="shared" si="16"/>
        <v>0</v>
      </c>
      <c r="F291" s="4">
        <f t="shared" si="17"/>
        <v>245</v>
      </c>
      <c r="G291" s="4">
        <f t="shared" si="18"/>
        <v>0.24203238657441009</v>
      </c>
      <c r="H291" s="4">
        <f t="shared" si="19"/>
        <v>60025</v>
      </c>
      <c r="I291" s="5">
        <f>SQRT(SUM('p-native-multi'!$C$3:C291)/COUNTIF($A$3:A291,"&lt;&gt;0"))</f>
        <v>15.710508241433574</v>
      </c>
    </row>
    <row r="292" spans="1:9">
      <c r="A292">
        <v>290</v>
      </c>
      <c r="B292">
        <v>498</v>
      </c>
      <c r="C292">
        <v>233</v>
      </c>
      <c r="D292">
        <v>233</v>
      </c>
      <c r="E292" s="4">
        <f t="shared" si="16"/>
        <v>0</v>
      </c>
      <c r="F292" s="4">
        <f t="shared" si="17"/>
        <v>265</v>
      </c>
      <c r="G292" s="4">
        <f t="shared" si="18"/>
        <v>0.2831607554716859</v>
      </c>
      <c r="H292" s="4">
        <f t="shared" si="19"/>
        <v>70225</v>
      </c>
      <c r="I292" s="5">
        <f>SQRT(SUM('p-native-multi'!$C$3:C292)/COUNTIF($A$3:A292,"&lt;&gt;0"))</f>
        <v>15.708991495099342</v>
      </c>
    </row>
    <row r="293" spans="1:9">
      <c r="A293">
        <v>291</v>
      </c>
      <c r="B293">
        <v>498</v>
      </c>
      <c r="C293">
        <v>279</v>
      </c>
      <c r="D293">
        <v>233</v>
      </c>
      <c r="E293" s="4">
        <f t="shared" si="16"/>
        <v>0</v>
      </c>
      <c r="F293" s="4">
        <f t="shared" si="17"/>
        <v>219</v>
      </c>
      <c r="G293" s="4">
        <f t="shared" si="18"/>
        <v>0.19338800987080851</v>
      </c>
      <c r="H293" s="4">
        <f t="shared" si="19"/>
        <v>47961</v>
      </c>
      <c r="I293" s="5">
        <f>SQRT(SUM('p-native-multi'!$C$3:C293)/COUNTIF($A$3:A293,"&lt;&gt;0"))</f>
        <v>15.712516078337915</v>
      </c>
    </row>
    <row r="294" spans="1:9">
      <c r="A294">
        <v>292</v>
      </c>
      <c r="B294">
        <v>498</v>
      </c>
      <c r="C294">
        <v>233</v>
      </c>
      <c r="D294">
        <v>233</v>
      </c>
      <c r="E294" s="4">
        <f t="shared" si="16"/>
        <v>0</v>
      </c>
      <c r="F294" s="4">
        <f t="shared" si="17"/>
        <v>265</v>
      </c>
      <c r="G294" s="4">
        <f t="shared" si="18"/>
        <v>0.2831607554716859</v>
      </c>
      <c r="H294" s="4">
        <f t="shared" si="19"/>
        <v>70225</v>
      </c>
      <c r="I294" s="5">
        <f>SQRT(SUM('p-native-multi'!$C$3:C294)/COUNTIF($A$3:A294,"&lt;&gt;0"))</f>
        <v>15.71100303730975</v>
      </c>
    </row>
    <row r="295" spans="1:9">
      <c r="A295">
        <v>293</v>
      </c>
      <c r="B295">
        <v>498</v>
      </c>
      <c r="C295">
        <v>273</v>
      </c>
      <c r="D295">
        <v>233</v>
      </c>
      <c r="E295" s="4">
        <f t="shared" si="16"/>
        <v>0</v>
      </c>
      <c r="F295" s="4">
        <f t="shared" si="17"/>
        <v>225</v>
      </c>
      <c r="G295" s="4">
        <f t="shared" si="18"/>
        <v>0.20412977210045</v>
      </c>
      <c r="H295" s="4">
        <f t="shared" si="19"/>
        <v>50625</v>
      </c>
      <c r="I295" s="5">
        <f>SQRT(SUM('p-native-multi'!$C$3:C295)/COUNTIF($A$3:A295,"&lt;&gt;0"))</f>
        <v>15.713844681546522</v>
      </c>
    </row>
    <row r="296" spans="1:9">
      <c r="A296">
        <v>294</v>
      </c>
      <c r="B296">
        <v>498</v>
      </c>
      <c r="C296">
        <v>273</v>
      </c>
      <c r="D296">
        <v>233</v>
      </c>
      <c r="E296" s="4">
        <f t="shared" si="16"/>
        <v>0</v>
      </c>
      <c r="F296" s="4">
        <f t="shared" si="17"/>
        <v>225</v>
      </c>
      <c r="G296" s="4">
        <f t="shared" si="18"/>
        <v>0.20412977210045</v>
      </c>
      <c r="H296" s="4">
        <f t="shared" si="19"/>
        <v>50625</v>
      </c>
      <c r="I296" s="5">
        <f>SQRT(SUM('p-native-multi'!$C$3:C296)/COUNTIF($A$3:A296,"&lt;&gt;0"))</f>
        <v>15.716666486318811</v>
      </c>
    </row>
    <row r="297" spans="1:9">
      <c r="A297">
        <v>295</v>
      </c>
      <c r="B297">
        <v>498</v>
      </c>
      <c r="C297">
        <v>279</v>
      </c>
      <c r="D297">
        <v>233</v>
      </c>
      <c r="E297" s="4">
        <f t="shared" si="16"/>
        <v>0</v>
      </c>
      <c r="F297" s="4">
        <f t="shared" si="17"/>
        <v>219</v>
      </c>
      <c r="G297" s="4">
        <f t="shared" si="18"/>
        <v>0.19338800987080851</v>
      </c>
      <c r="H297" s="4">
        <f t="shared" si="19"/>
        <v>47961</v>
      </c>
      <c r="I297" s="5">
        <f>SQRT(SUM('p-native-multi'!$C$3:C297)/COUNTIF($A$3:A297,"&lt;&gt;0"))</f>
        <v>15.720115581582252</v>
      </c>
    </row>
    <row r="298" spans="1:9">
      <c r="A298">
        <v>296</v>
      </c>
      <c r="B298">
        <v>498</v>
      </c>
      <c r="C298">
        <v>273</v>
      </c>
      <c r="D298">
        <v>233</v>
      </c>
      <c r="E298" s="4">
        <f t="shared" si="16"/>
        <v>0</v>
      </c>
      <c r="F298" s="4">
        <f t="shared" si="17"/>
        <v>225</v>
      </c>
      <c r="G298" s="4">
        <f t="shared" si="18"/>
        <v>0.20412977210045</v>
      </c>
      <c r="H298" s="4">
        <f t="shared" si="19"/>
        <v>50625</v>
      </c>
      <c r="I298" s="5">
        <f>SQRT(SUM('p-native-multi'!$C$3:C298)/COUNTIF($A$3:A298,"&lt;&gt;0"))</f>
        <v>15.722896026478692</v>
      </c>
    </row>
    <row r="299" spans="1:9">
      <c r="A299">
        <v>297</v>
      </c>
      <c r="B299">
        <v>498</v>
      </c>
      <c r="C299">
        <v>233</v>
      </c>
      <c r="D299">
        <v>233</v>
      </c>
      <c r="E299" s="4">
        <f t="shared" si="16"/>
        <v>0</v>
      </c>
      <c r="F299" s="4">
        <f t="shared" si="17"/>
        <v>265</v>
      </c>
      <c r="G299" s="4">
        <f t="shared" si="18"/>
        <v>0.2831607554716859</v>
      </c>
      <c r="H299" s="4">
        <f t="shared" si="19"/>
        <v>70225</v>
      </c>
      <c r="I299" s="5">
        <f>SQRT(SUM('p-native-multi'!$C$3:C299)/COUNTIF($A$3:A299,"&lt;&gt;0"))</f>
        <v>15.721374499757207</v>
      </c>
    </row>
    <row r="300" spans="1:9">
      <c r="A300">
        <v>298</v>
      </c>
      <c r="B300">
        <v>498</v>
      </c>
      <c r="C300">
        <v>273</v>
      </c>
      <c r="D300">
        <v>233</v>
      </c>
      <c r="E300" s="4">
        <f t="shared" si="16"/>
        <v>0</v>
      </c>
      <c r="F300" s="4">
        <f t="shared" si="17"/>
        <v>225</v>
      </c>
      <c r="G300" s="4">
        <f t="shared" si="18"/>
        <v>0.20412977210045</v>
      </c>
      <c r="H300" s="4">
        <f t="shared" si="19"/>
        <v>50625</v>
      </c>
      <c r="I300" s="5">
        <f>SQRT(SUM('p-native-multi'!$C$3:C300)/COUNTIF($A$3:A300,"&lt;&gt;0"))</f>
        <v>15.724131840825141</v>
      </c>
    </row>
    <row r="301" spans="1:9">
      <c r="A301">
        <v>299</v>
      </c>
      <c r="B301">
        <v>498</v>
      </c>
      <c r="C301">
        <v>253</v>
      </c>
      <c r="D301">
        <v>233</v>
      </c>
      <c r="E301" s="4">
        <f t="shared" si="16"/>
        <v>0</v>
      </c>
      <c r="F301" s="4">
        <f t="shared" si="17"/>
        <v>245</v>
      </c>
      <c r="G301" s="4">
        <f t="shared" si="18"/>
        <v>0.24203238657441009</v>
      </c>
      <c r="H301" s="4">
        <f t="shared" si="19"/>
        <v>60025</v>
      </c>
      <c r="I301" s="5">
        <f>SQRT(SUM('p-native-multi'!$C$3:C301)/COUNTIF($A$3:A301,"&lt;&gt;0"))</f>
        <v>15.724743512325665</v>
      </c>
    </row>
    <row r="302" spans="1:9">
      <c r="A302">
        <v>300</v>
      </c>
      <c r="B302">
        <v>498</v>
      </c>
      <c r="C302">
        <v>233</v>
      </c>
      <c r="D302">
        <v>233</v>
      </c>
      <c r="E302" s="4">
        <f t="shared" si="16"/>
        <v>0</v>
      </c>
      <c r="F302" s="4">
        <f t="shared" si="17"/>
        <v>265</v>
      </c>
      <c r="G302" s="4">
        <f t="shared" si="18"/>
        <v>0.2831607554716859</v>
      </c>
      <c r="H302" s="4">
        <f t="shared" si="19"/>
        <v>70225</v>
      </c>
      <c r="I302" s="5">
        <f>SQRT(SUM('p-native-multi'!$C$3:C302)/COUNTIF($A$3:A302,"&lt;&gt;0"))</f>
        <v>15.723231220076871</v>
      </c>
    </row>
    <row r="303" spans="1:9">
      <c r="A303">
        <v>301</v>
      </c>
      <c r="B303">
        <v>100</v>
      </c>
      <c r="C303">
        <v>273</v>
      </c>
      <c r="D303">
        <v>233</v>
      </c>
      <c r="E303" s="4">
        <f t="shared" si="16"/>
        <v>0</v>
      </c>
      <c r="F303" s="4">
        <f t="shared" si="17"/>
        <v>173</v>
      </c>
      <c r="G303" s="4">
        <f t="shared" si="18"/>
        <v>2.9929000000000001</v>
      </c>
      <c r="H303" s="4">
        <f t="shared" si="19"/>
        <v>29929</v>
      </c>
      <c r="I303" s="5">
        <f>SQRT(SUM('p-native-multi'!$C$3:C303)/COUNTIF($A$3:A303,"&lt;&gt;0"))</f>
        <v>15.725954592346104</v>
      </c>
    </row>
    <row r="304" spans="1:9">
      <c r="A304">
        <v>302</v>
      </c>
      <c r="B304">
        <v>100</v>
      </c>
      <c r="C304">
        <v>273</v>
      </c>
      <c r="D304">
        <v>233</v>
      </c>
      <c r="E304" s="4">
        <f t="shared" si="16"/>
        <v>0</v>
      </c>
      <c r="F304" s="4">
        <f t="shared" si="17"/>
        <v>173</v>
      </c>
      <c r="G304" s="4">
        <f t="shared" si="18"/>
        <v>2.9929000000000001</v>
      </c>
      <c r="H304" s="4">
        <f t="shared" si="19"/>
        <v>29929</v>
      </c>
      <c r="I304" s="5">
        <f>SQRT(SUM('p-native-multi'!$C$3:C304)/COUNTIF($A$3:A304,"&lt;&gt;0"))</f>
        <v>15.728659462167181</v>
      </c>
    </row>
    <row r="305" spans="1:9">
      <c r="A305">
        <v>303</v>
      </c>
      <c r="B305">
        <v>100</v>
      </c>
      <c r="C305">
        <v>253</v>
      </c>
      <c r="D305">
        <v>233</v>
      </c>
      <c r="E305" s="4">
        <f t="shared" si="16"/>
        <v>0</v>
      </c>
      <c r="F305" s="4">
        <f t="shared" si="17"/>
        <v>153</v>
      </c>
      <c r="G305" s="4">
        <f t="shared" si="18"/>
        <v>2.3409</v>
      </c>
      <c r="H305" s="4">
        <f t="shared" si="19"/>
        <v>23409</v>
      </c>
      <c r="I305" s="5">
        <f>SQRT(SUM('p-native-multi'!$C$3:C305)/COUNTIF($A$3:A305,"&lt;&gt;0"))</f>
        <v>15.729247945279914</v>
      </c>
    </row>
    <row r="306" spans="1:9">
      <c r="A306">
        <v>304</v>
      </c>
      <c r="B306">
        <v>100</v>
      </c>
      <c r="C306">
        <v>273</v>
      </c>
      <c r="D306">
        <v>233</v>
      </c>
      <c r="E306" s="4">
        <f t="shared" si="16"/>
        <v>0</v>
      </c>
      <c r="F306" s="4">
        <f t="shared" si="17"/>
        <v>173</v>
      </c>
      <c r="G306" s="4">
        <f t="shared" si="18"/>
        <v>2.9929000000000001</v>
      </c>
      <c r="H306" s="4">
        <f t="shared" si="19"/>
        <v>29929</v>
      </c>
      <c r="I306" s="5">
        <f>SQRT(SUM('p-native-multi'!$C$3:C306)/COUNTIF($A$3:A306,"&lt;&gt;0"))</f>
        <v>15.731923628489669</v>
      </c>
    </row>
    <row r="307" spans="1:9">
      <c r="A307">
        <v>305</v>
      </c>
      <c r="B307">
        <v>100</v>
      </c>
      <c r="C307">
        <v>233</v>
      </c>
      <c r="D307">
        <v>233</v>
      </c>
      <c r="E307" s="4">
        <f t="shared" si="16"/>
        <v>0</v>
      </c>
      <c r="F307" s="4">
        <f t="shared" si="17"/>
        <v>133</v>
      </c>
      <c r="G307" s="4">
        <f t="shared" si="18"/>
        <v>1.7689000000000001</v>
      </c>
      <c r="H307" s="4">
        <f t="shared" si="19"/>
        <v>17689</v>
      </c>
      <c r="I307" s="5">
        <f>SQRT(SUM('p-native-multi'!$C$3:C307)/COUNTIF($A$3:A307,"&lt;&gt;0"))</f>
        <v>15.730413269820481</v>
      </c>
    </row>
    <row r="308" spans="1:9">
      <c r="A308">
        <v>306</v>
      </c>
      <c r="B308">
        <v>100</v>
      </c>
      <c r="C308">
        <v>273</v>
      </c>
      <c r="D308">
        <v>233</v>
      </c>
      <c r="E308" s="4">
        <f t="shared" si="16"/>
        <v>0</v>
      </c>
      <c r="F308" s="4">
        <f t="shared" si="17"/>
        <v>173</v>
      </c>
      <c r="G308" s="4">
        <f t="shared" si="18"/>
        <v>2.9929000000000001</v>
      </c>
      <c r="H308" s="4">
        <f t="shared" si="19"/>
        <v>29929</v>
      </c>
      <c r="I308" s="5">
        <f>SQRT(SUM('p-native-multi'!$C$3:C308)/COUNTIF($A$3:A308,"&lt;&gt;0"))</f>
        <v>15.733067462027419</v>
      </c>
    </row>
    <row r="309" spans="1:9">
      <c r="A309">
        <v>307</v>
      </c>
      <c r="B309">
        <v>100</v>
      </c>
      <c r="C309">
        <v>233</v>
      </c>
      <c r="D309">
        <v>233</v>
      </c>
      <c r="E309" s="4">
        <f t="shared" si="16"/>
        <v>0</v>
      </c>
      <c r="F309" s="4">
        <f t="shared" si="17"/>
        <v>133</v>
      </c>
      <c r="G309" s="4">
        <f t="shared" si="18"/>
        <v>1.7689000000000001</v>
      </c>
      <c r="H309" s="4">
        <f t="shared" si="19"/>
        <v>17689</v>
      </c>
      <c r="I309" s="5">
        <f>SQRT(SUM('p-native-multi'!$C$3:C309)/COUNTIF($A$3:A309,"&lt;&gt;0"))</f>
        <v>15.73156332633708</v>
      </c>
    </row>
    <row r="310" spans="1:9">
      <c r="A310">
        <v>308</v>
      </c>
      <c r="B310">
        <v>100</v>
      </c>
      <c r="C310">
        <v>273</v>
      </c>
      <c r="D310">
        <v>233</v>
      </c>
      <c r="E310" s="4">
        <f t="shared" si="16"/>
        <v>0</v>
      </c>
      <c r="F310" s="4">
        <f t="shared" si="17"/>
        <v>173</v>
      </c>
      <c r="G310" s="4">
        <f t="shared" si="18"/>
        <v>2.9929000000000001</v>
      </c>
      <c r="H310" s="4">
        <f t="shared" si="19"/>
        <v>29929</v>
      </c>
      <c r="I310" s="5">
        <f>SQRT(SUM('p-native-multi'!$C$3:C310)/COUNTIF($A$3:A310,"&lt;&gt;0"))</f>
        <v>15.734196359043416</v>
      </c>
    </row>
    <row r="311" spans="1:9">
      <c r="A311">
        <v>309</v>
      </c>
      <c r="B311">
        <v>100</v>
      </c>
      <c r="C311">
        <v>279</v>
      </c>
      <c r="D311">
        <v>233</v>
      </c>
      <c r="E311" s="4">
        <f t="shared" si="16"/>
        <v>0</v>
      </c>
      <c r="F311" s="4">
        <f t="shared" si="17"/>
        <v>179</v>
      </c>
      <c r="G311" s="4">
        <f t="shared" si="18"/>
        <v>3.2040999999999999</v>
      </c>
      <c r="H311" s="4">
        <f t="shared" si="19"/>
        <v>32041</v>
      </c>
      <c r="I311" s="5">
        <f>SQRT(SUM('p-native-multi'!$C$3:C311)/COUNTIF($A$3:A311,"&lt;&gt;0"))</f>
        <v>15.737428845483835</v>
      </c>
    </row>
    <row r="312" spans="1:9">
      <c r="A312">
        <v>310</v>
      </c>
      <c r="B312">
        <v>100</v>
      </c>
      <c r="C312">
        <v>279</v>
      </c>
      <c r="D312">
        <v>233</v>
      </c>
      <c r="E312" s="4">
        <f t="shared" si="16"/>
        <v>0</v>
      </c>
      <c r="F312" s="4">
        <f t="shared" si="17"/>
        <v>179</v>
      </c>
      <c r="G312" s="4">
        <f t="shared" si="18"/>
        <v>3.2040999999999999</v>
      </c>
      <c r="H312" s="4">
        <f t="shared" si="19"/>
        <v>32041</v>
      </c>
      <c r="I312" s="5">
        <f>SQRT(SUM('p-native-multi'!$C$3:C312)/COUNTIF($A$3:A312,"&lt;&gt;0"))</f>
        <v>15.740639819762215</v>
      </c>
    </row>
    <row r="313" spans="1:9">
      <c r="A313">
        <v>311</v>
      </c>
      <c r="B313">
        <v>100</v>
      </c>
      <c r="C313">
        <v>233</v>
      </c>
      <c r="D313">
        <v>233</v>
      </c>
      <c r="E313" s="4">
        <f t="shared" si="16"/>
        <v>0</v>
      </c>
      <c r="F313" s="4">
        <f t="shared" si="17"/>
        <v>133</v>
      </c>
      <c r="G313" s="4">
        <f t="shared" si="18"/>
        <v>1.7689000000000001</v>
      </c>
      <c r="H313" s="4">
        <f t="shared" si="19"/>
        <v>17689</v>
      </c>
      <c r="I313" s="5">
        <f>SQRT(SUM('p-native-multi'!$C$3:C313)/COUNTIF($A$3:A313,"&lt;&gt;0"))</f>
        <v>15.739131400262426</v>
      </c>
    </row>
    <row r="314" spans="1:9">
      <c r="A314">
        <v>312</v>
      </c>
      <c r="B314">
        <v>100</v>
      </c>
      <c r="C314">
        <v>273</v>
      </c>
      <c r="D314">
        <v>233</v>
      </c>
      <c r="E314" s="4">
        <f t="shared" si="16"/>
        <v>0</v>
      </c>
      <c r="F314" s="4">
        <f t="shared" si="17"/>
        <v>173</v>
      </c>
      <c r="G314" s="4">
        <f t="shared" si="18"/>
        <v>2.9929000000000001</v>
      </c>
      <c r="H314" s="4">
        <f t="shared" si="19"/>
        <v>29929</v>
      </c>
      <c r="I314" s="5">
        <f>SQRT(SUM('p-native-multi'!$C$3:C314)/COUNTIF($A$3:A314,"&lt;&gt;0"))</f>
        <v>15.741705182453458</v>
      </c>
    </row>
    <row r="315" spans="1:9">
      <c r="A315">
        <v>313</v>
      </c>
      <c r="B315">
        <v>100</v>
      </c>
      <c r="C315">
        <v>253</v>
      </c>
      <c r="D315">
        <v>233</v>
      </c>
      <c r="E315" s="4">
        <f t="shared" si="16"/>
        <v>0</v>
      </c>
      <c r="F315" s="4">
        <f t="shared" si="17"/>
        <v>153</v>
      </c>
      <c r="G315" s="4">
        <f t="shared" si="18"/>
        <v>2.3409</v>
      </c>
      <c r="H315" s="4">
        <f t="shared" si="19"/>
        <v>23409</v>
      </c>
      <c r="I315" s="5">
        <f>SQRT(SUM('p-native-multi'!$C$3:C315)/COUNTIF($A$3:A315,"&lt;&gt;0"))</f>
        <v>15.742232731534683</v>
      </c>
    </row>
    <row r="316" spans="1:9">
      <c r="A316">
        <v>314</v>
      </c>
      <c r="B316">
        <v>100</v>
      </c>
      <c r="C316">
        <v>279</v>
      </c>
      <c r="D316">
        <v>233</v>
      </c>
      <c r="E316" s="4">
        <f t="shared" si="16"/>
        <v>0</v>
      </c>
      <c r="F316" s="4">
        <f t="shared" si="17"/>
        <v>179</v>
      </c>
      <c r="G316" s="4">
        <f t="shared" si="18"/>
        <v>3.2040999999999999</v>
      </c>
      <c r="H316" s="4">
        <f t="shared" si="19"/>
        <v>32041</v>
      </c>
      <c r="I316" s="5">
        <f>SQRT(SUM('p-native-multi'!$C$3:C316)/COUNTIF($A$3:A316,"&lt;&gt;0"))</f>
        <v>15.745386545024205</v>
      </c>
    </row>
    <row r="317" spans="1:9">
      <c r="A317">
        <v>315</v>
      </c>
      <c r="B317">
        <v>100</v>
      </c>
      <c r="C317">
        <v>273</v>
      </c>
      <c r="D317">
        <v>233</v>
      </c>
      <c r="E317" s="4">
        <f t="shared" si="16"/>
        <v>0</v>
      </c>
      <c r="F317" s="4">
        <f t="shared" si="17"/>
        <v>173</v>
      </c>
      <c r="G317" s="4">
        <f t="shared" si="18"/>
        <v>2.9929000000000001</v>
      </c>
      <c r="H317" s="4">
        <f t="shared" si="19"/>
        <v>29929</v>
      </c>
      <c r="I317" s="5">
        <f>SQRT(SUM('p-native-multi'!$C$3:C317)/COUNTIF($A$3:A317,"&lt;&gt;0"))</f>
        <v>15.747914953949472</v>
      </c>
    </row>
    <row r="318" spans="1:9">
      <c r="A318">
        <v>316</v>
      </c>
      <c r="B318">
        <v>100</v>
      </c>
      <c r="C318">
        <v>253</v>
      </c>
      <c r="D318">
        <v>233</v>
      </c>
      <c r="E318" s="4">
        <f t="shared" si="16"/>
        <v>0</v>
      </c>
      <c r="F318" s="4">
        <f t="shared" si="17"/>
        <v>153</v>
      </c>
      <c r="G318" s="4">
        <f t="shared" si="18"/>
        <v>2.3409</v>
      </c>
      <c r="H318" s="4">
        <f t="shared" si="19"/>
        <v>23409</v>
      </c>
      <c r="I318" s="5">
        <f>SQRT(SUM('p-native-multi'!$C$3:C318)/COUNTIF($A$3:A318,"&lt;&gt;0"))</f>
        <v>15.748417642031471</v>
      </c>
    </row>
    <row r="319" spans="1:9">
      <c r="A319">
        <v>317</v>
      </c>
      <c r="B319">
        <v>100</v>
      </c>
      <c r="C319">
        <v>233</v>
      </c>
      <c r="D319">
        <v>233</v>
      </c>
      <c r="E319" s="4">
        <f t="shared" si="16"/>
        <v>0</v>
      </c>
      <c r="F319" s="4">
        <f t="shared" si="17"/>
        <v>133</v>
      </c>
      <c r="G319" s="4">
        <f t="shared" si="18"/>
        <v>1.7689000000000001</v>
      </c>
      <c r="H319" s="4">
        <f t="shared" si="19"/>
        <v>17689</v>
      </c>
      <c r="I319" s="5">
        <f>SQRT(SUM('p-native-multi'!$C$3:C319)/COUNTIF($A$3:A319,"&lt;&gt;0"))</f>
        <v>15.746913973364514</v>
      </c>
    </row>
    <row r="320" spans="1:9">
      <c r="A320">
        <v>318</v>
      </c>
      <c r="B320">
        <v>100</v>
      </c>
      <c r="C320">
        <v>233</v>
      </c>
      <c r="D320">
        <v>233</v>
      </c>
      <c r="E320" s="4">
        <f t="shared" si="16"/>
        <v>0</v>
      </c>
      <c r="F320" s="4">
        <f t="shared" si="17"/>
        <v>133</v>
      </c>
      <c r="G320" s="4">
        <f t="shared" si="18"/>
        <v>1.7689000000000001</v>
      </c>
      <c r="H320" s="4">
        <f t="shared" si="19"/>
        <v>17689</v>
      </c>
      <c r="I320" s="5">
        <f>SQRT(SUM('p-native-multi'!$C$3:C320)/COUNTIF($A$3:A320,"&lt;&gt;0"))</f>
        <v>15.74541961948651</v>
      </c>
    </row>
    <row r="321" spans="1:9">
      <c r="A321">
        <v>319</v>
      </c>
      <c r="B321">
        <v>100</v>
      </c>
      <c r="C321">
        <v>273</v>
      </c>
      <c r="D321">
        <v>233</v>
      </c>
      <c r="E321" s="4">
        <f t="shared" si="16"/>
        <v>0</v>
      </c>
      <c r="F321" s="4">
        <f t="shared" si="17"/>
        <v>173</v>
      </c>
      <c r="G321" s="4">
        <f t="shared" si="18"/>
        <v>2.9929000000000001</v>
      </c>
      <c r="H321" s="4">
        <f t="shared" si="19"/>
        <v>29929</v>
      </c>
      <c r="I321" s="5">
        <f>SQRT(SUM('p-native-multi'!$C$3:C321)/COUNTIF($A$3:A321,"&lt;&gt;0"))</f>
        <v>15.747916217829005</v>
      </c>
    </row>
    <row r="322" spans="1:9">
      <c r="A322">
        <v>320</v>
      </c>
      <c r="B322">
        <v>100</v>
      </c>
      <c r="C322">
        <v>253</v>
      </c>
      <c r="D322">
        <v>233</v>
      </c>
      <c r="E322" s="4">
        <f t="shared" si="16"/>
        <v>0</v>
      </c>
      <c r="F322" s="4">
        <f t="shared" si="17"/>
        <v>153</v>
      </c>
      <c r="G322" s="4">
        <f t="shared" si="18"/>
        <v>2.3409</v>
      </c>
      <c r="H322" s="4">
        <f t="shared" si="19"/>
        <v>23409</v>
      </c>
      <c r="I322" s="5">
        <f>SQRT(SUM('p-native-multi'!$C$3:C322)/COUNTIF($A$3:A322,"&lt;&gt;0"))</f>
        <v>15.748412618419673</v>
      </c>
    </row>
    <row r="323" spans="1:9">
      <c r="A323">
        <v>321</v>
      </c>
      <c r="B323">
        <v>100</v>
      </c>
      <c r="C323">
        <v>273</v>
      </c>
      <c r="D323">
        <v>233</v>
      </c>
      <c r="E323" s="4">
        <f t="shared" si="16"/>
        <v>0</v>
      </c>
      <c r="F323" s="4">
        <f t="shared" si="17"/>
        <v>173</v>
      </c>
      <c r="G323" s="4">
        <f t="shared" si="18"/>
        <v>2.9929000000000001</v>
      </c>
      <c r="H323" s="4">
        <f t="shared" si="19"/>
        <v>29929</v>
      </c>
      <c r="I323" s="5">
        <f>SQRT(SUM('p-native-multi'!$C$3:C323)/COUNTIF($A$3:A323,"&lt;&gt;0"))</f>
        <v>15.750883869774665</v>
      </c>
    </row>
    <row r="324" spans="1:9">
      <c r="A324">
        <v>322</v>
      </c>
      <c r="B324">
        <v>100</v>
      </c>
      <c r="C324">
        <v>279</v>
      </c>
      <c r="D324">
        <v>233</v>
      </c>
      <c r="E324" s="4">
        <f t="shared" ref="E324:E387" si="20">IF(AND(C324&lt;=B324*1.2,C324&gt;=B324*0.8),1,0)</f>
        <v>0</v>
      </c>
      <c r="F324" s="4">
        <f t="shared" ref="F324:F387" si="21">ABS(B324-C324)</f>
        <v>179</v>
      </c>
      <c r="G324" s="4">
        <f t="shared" ref="G324:G387" si="22">POWER(ABS(B324-C324)/B324,2)</f>
        <v>3.2040999999999999</v>
      </c>
      <c r="H324" s="4">
        <f t="shared" ref="H324:H387" si="23">POWER(F324,2)</f>
        <v>32041</v>
      </c>
      <c r="I324" s="5">
        <f>SQRT(SUM('p-native-multi'!$C$3:C324)/COUNTIF($A$3:A324,"&lt;&gt;0"))</f>
        <v>15.753930792146026</v>
      </c>
    </row>
    <row r="325" spans="1:9">
      <c r="A325">
        <v>323</v>
      </c>
      <c r="B325">
        <v>100</v>
      </c>
      <c r="C325">
        <v>253</v>
      </c>
      <c r="D325">
        <v>233</v>
      </c>
      <c r="E325" s="4">
        <f t="shared" si="20"/>
        <v>0</v>
      </c>
      <c r="F325" s="4">
        <f t="shared" si="21"/>
        <v>153</v>
      </c>
      <c r="G325" s="4">
        <f t="shared" si="22"/>
        <v>2.3409</v>
      </c>
      <c r="H325" s="4">
        <f t="shared" si="23"/>
        <v>23409</v>
      </c>
      <c r="I325" s="5">
        <f>SQRT(SUM('p-native-multi'!$C$3:C325)/COUNTIF($A$3:A325,"&lt;&gt;0"))</f>
        <v>15.754403777677302</v>
      </c>
    </row>
    <row r="326" spans="1:9">
      <c r="A326">
        <v>324</v>
      </c>
      <c r="B326">
        <v>100</v>
      </c>
      <c r="C326">
        <v>273</v>
      </c>
      <c r="D326">
        <v>233</v>
      </c>
      <c r="E326" s="4">
        <f t="shared" si="20"/>
        <v>0</v>
      </c>
      <c r="F326" s="4">
        <f t="shared" si="21"/>
        <v>173</v>
      </c>
      <c r="G326" s="4">
        <f t="shared" si="22"/>
        <v>2.9929000000000001</v>
      </c>
      <c r="H326" s="4">
        <f t="shared" si="23"/>
        <v>29929</v>
      </c>
      <c r="I326" s="5">
        <f>SQRT(SUM('p-native-multi'!$C$3:C326)/COUNTIF($A$3:A326,"&lt;&gt;0"))</f>
        <v>15.756832733064655</v>
      </c>
    </row>
    <row r="327" spans="1:9">
      <c r="A327">
        <v>325</v>
      </c>
      <c r="B327">
        <v>100</v>
      </c>
      <c r="C327">
        <v>233</v>
      </c>
      <c r="D327">
        <v>233</v>
      </c>
      <c r="E327" s="4">
        <f t="shared" si="20"/>
        <v>0</v>
      </c>
      <c r="F327" s="4">
        <f t="shared" si="21"/>
        <v>133</v>
      </c>
      <c r="G327" s="4">
        <f t="shared" si="22"/>
        <v>1.7689000000000001</v>
      </c>
      <c r="H327" s="4">
        <f t="shared" si="23"/>
        <v>17689</v>
      </c>
      <c r="I327" s="5">
        <f>SQRT(SUM('p-native-multi'!$C$3:C327)/COUNTIF($A$3:A327,"&lt;&gt;0"))</f>
        <v>15.755340974754219</v>
      </c>
    </row>
    <row r="328" spans="1:9">
      <c r="A328">
        <v>326</v>
      </c>
      <c r="B328">
        <v>100</v>
      </c>
      <c r="C328">
        <v>273</v>
      </c>
      <c r="D328">
        <v>233</v>
      </c>
      <c r="E328" s="4">
        <f t="shared" si="20"/>
        <v>0</v>
      </c>
      <c r="F328" s="4">
        <f t="shared" si="21"/>
        <v>173</v>
      </c>
      <c r="G328" s="4">
        <f t="shared" si="22"/>
        <v>2.9929000000000001</v>
      </c>
      <c r="H328" s="4">
        <f t="shared" si="23"/>
        <v>29929</v>
      </c>
      <c r="I328" s="5">
        <f>SQRT(SUM('p-native-multi'!$C$3:C328)/COUNTIF($A$3:A328,"&lt;&gt;0"))</f>
        <v>15.757752011827629</v>
      </c>
    </row>
    <row r="329" spans="1:9">
      <c r="A329">
        <v>327</v>
      </c>
      <c r="B329">
        <v>100</v>
      </c>
      <c r="C329">
        <v>233</v>
      </c>
      <c r="D329">
        <v>233</v>
      </c>
      <c r="E329" s="4">
        <f t="shared" si="20"/>
        <v>0</v>
      </c>
      <c r="F329" s="4">
        <f t="shared" si="21"/>
        <v>133</v>
      </c>
      <c r="G329" s="4">
        <f t="shared" si="22"/>
        <v>1.7689000000000001</v>
      </c>
      <c r="H329" s="4">
        <f t="shared" si="23"/>
        <v>17689</v>
      </c>
      <c r="I329" s="5">
        <f>SQRT(SUM('p-native-multi'!$C$3:C329)/COUNTIF($A$3:A329,"&lt;&gt;0"))</f>
        <v>15.756266652920052</v>
      </c>
    </row>
    <row r="330" spans="1:9">
      <c r="A330">
        <v>328</v>
      </c>
      <c r="B330">
        <v>100</v>
      </c>
      <c r="C330">
        <v>233</v>
      </c>
      <c r="D330">
        <v>233</v>
      </c>
      <c r="E330" s="4">
        <f t="shared" si="20"/>
        <v>0</v>
      </c>
      <c r="F330" s="4">
        <f t="shared" si="21"/>
        <v>133</v>
      </c>
      <c r="G330" s="4">
        <f t="shared" si="22"/>
        <v>1.7689000000000001</v>
      </c>
      <c r="H330" s="4">
        <f t="shared" si="23"/>
        <v>17689</v>
      </c>
      <c r="I330" s="5">
        <f>SQRT(SUM('p-native-multi'!$C$3:C330)/COUNTIF($A$3:A330,"&lt;&gt;0"))</f>
        <v>15.75479021231785</v>
      </c>
    </row>
    <row r="331" spans="1:9">
      <c r="A331">
        <v>329</v>
      </c>
      <c r="B331">
        <v>100</v>
      </c>
      <c r="C331">
        <v>233</v>
      </c>
      <c r="D331">
        <v>233</v>
      </c>
      <c r="E331" s="4">
        <f t="shared" si="20"/>
        <v>0</v>
      </c>
      <c r="F331" s="4">
        <f t="shared" si="21"/>
        <v>133</v>
      </c>
      <c r="G331" s="4">
        <f t="shared" si="22"/>
        <v>1.7689000000000001</v>
      </c>
      <c r="H331" s="4">
        <f t="shared" si="23"/>
        <v>17689</v>
      </c>
      <c r="I331" s="5">
        <f>SQRT(SUM('p-native-multi'!$C$3:C331)/COUNTIF($A$3:A331,"&lt;&gt;0"))</f>
        <v>15.753322609921998</v>
      </c>
    </row>
    <row r="332" spans="1:9">
      <c r="A332">
        <v>330</v>
      </c>
      <c r="B332">
        <v>100</v>
      </c>
      <c r="C332">
        <v>233</v>
      </c>
      <c r="D332">
        <v>233</v>
      </c>
      <c r="E332" s="4">
        <f t="shared" si="20"/>
        <v>0</v>
      </c>
      <c r="F332" s="4">
        <f t="shared" si="21"/>
        <v>133</v>
      </c>
      <c r="G332" s="4">
        <f t="shared" si="22"/>
        <v>1.7689000000000001</v>
      </c>
      <c r="H332" s="4">
        <f t="shared" si="23"/>
        <v>17689</v>
      </c>
      <c r="I332" s="5">
        <f>SQRT(SUM('p-native-multi'!$C$3:C332)/COUNTIF($A$3:A332,"&lt;&gt;0"))</f>
        <v>15.75186376659004</v>
      </c>
    </row>
    <row r="333" spans="1:9">
      <c r="A333">
        <v>331</v>
      </c>
      <c r="B333">
        <v>100</v>
      </c>
      <c r="C333">
        <v>273</v>
      </c>
      <c r="D333">
        <v>233</v>
      </c>
      <c r="E333" s="4">
        <f t="shared" si="20"/>
        <v>0</v>
      </c>
      <c r="F333" s="4">
        <f t="shared" si="21"/>
        <v>173</v>
      </c>
      <c r="G333" s="4">
        <f t="shared" si="22"/>
        <v>2.9929000000000001</v>
      </c>
      <c r="H333" s="4">
        <f t="shared" si="23"/>
        <v>29929</v>
      </c>
      <c r="I333" s="5">
        <f>SQRT(SUM('p-native-multi'!$C$3:C333)/COUNTIF($A$3:A333,"&lt;&gt;0"))</f>
        <v>15.754249414756531</v>
      </c>
    </row>
    <row r="334" spans="1:9">
      <c r="A334">
        <v>332</v>
      </c>
      <c r="B334">
        <v>100</v>
      </c>
      <c r="C334">
        <v>233</v>
      </c>
      <c r="D334">
        <v>233</v>
      </c>
      <c r="E334" s="4">
        <f t="shared" si="20"/>
        <v>0</v>
      </c>
      <c r="F334" s="4">
        <f t="shared" si="21"/>
        <v>133</v>
      </c>
      <c r="G334" s="4">
        <f t="shared" si="22"/>
        <v>1.7689000000000001</v>
      </c>
      <c r="H334" s="4">
        <f t="shared" si="23"/>
        <v>17689</v>
      </c>
      <c r="I334" s="5">
        <f>SQRT(SUM('p-native-multi'!$C$3:C334)/COUNTIF($A$3:A334,"&lt;&gt;0"))</f>
        <v>15.75279665359896</v>
      </c>
    </row>
    <row r="335" spans="1:9">
      <c r="A335">
        <v>333</v>
      </c>
      <c r="B335">
        <v>100</v>
      </c>
      <c r="C335">
        <v>233</v>
      </c>
      <c r="D335">
        <v>233</v>
      </c>
      <c r="E335" s="4">
        <f t="shared" si="20"/>
        <v>0</v>
      </c>
      <c r="F335" s="4">
        <f t="shared" si="21"/>
        <v>133</v>
      </c>
      <c r="G335" s="4">
        <f t="shared" si="22"/>
        <v>1.7689000000000001</v>
      </c>
      <c r="H335" s="4">
        <f t="shared" si="23"/>
        <v>17689</v>
      </c>
      <c r="I335" s="5">
        <f>SQRT(SUM('p-native-multi'!$C$3:C335)/COUNTIF($A$3:A335,"&lt;&gt;0"))</f>
        <v>15.751352484948875</v>
      </c>
    </row>
    <row r="336" spans="1:9">
      <c r="A336">
        <v>334</v>
      </c>
      <c r="B336">
        <v>100</v>
      </c>
      <c r="C336">
        <v>233</v>
      </c>
      <c r="D336">
        <v>233</v>
      </c>
      <c r="E336" s="4">
        <f t="shared" si="20"/>
        <v>0</v>
      </c>
      <c r="F336" s="4">
        <f t="shared" si="21"/>
        <v>133</v>
      </c>
      <c r="G336" s="4">
        <f t="shared" si="22"/>
        <v>1.7689000000000001</v>
      </c>
      <c r="H336" s="4">
        <f t="shared" si="23"/>
        <v>17689</v>
      </c>
      <c r="I336" s="5">
        <f>SQRT(SUM('p-native-multi'!$C$3:C336)/COUNTIF($A$3:A336,"&lt;&gt;0"))</f>
        <v>15.749916832781086</v>
      </c>
    </row>
    <row r="337" spans="1:9">
      <c r="A337">
        <v>335</v>
      </c>
      <c r="B337">
        <v>100</v>
      </c>
      <c r="C337">
        <v>279</v>
      </c>
      <c r="D337">
        <v>233</v>
      </c>
      <c r="E337" s="4">
        <f t="shared" si="20"/>
        <v>0</v>
      </c>
      <c r="F337" s="4">
        <f t="shared" si="21"/>
        <v>179</v>
      </c>
      <c r="G337" s="4">
        <f t="shared" si="22"/>
        <v>3.2040999999999999</v>
      </c>
      <c r="H337" s="4">
        <f t="shared" si="23"/>
        <v>32041</v>
      </c>
      <c r="I337" s="5">
        <f>SQRT(SUM('p-native-multi'!$C$3:C337)/COUNTIF($A$3:A337,"&lt;&gt;0"))</f>
        <v>15.752848593380504</v>
      </c>
    </row>
    <row r="338" spans="1:9">
      <c r="A338">
        <v>336</v>
      </c>
      <c r="B338">
        <v>100</v>
      </c>
      <c r="C338">
        <v>233</v>
      </c>
      <c r="D338">
        <v>233</v>
      </c>
      <c r="E338" s="4">
        <f t="shared" si="20"/>
        <v>0</v>
      </c>
      <c r="F338" s="4">
        <f t="shared" si="21"/>
        <v>133</v>
      </c>
      <c r="G338" s="4">
        <f t="shared" si="22"/>
        <v>1.7689000000000001</v>
      </c>
      <c r="H338" s="4">
        <f t="shared" si="23"/>
        <v>17689</v>
      </c>
      <c r="I338" s="5">
        <f>SQRT(SUM('p-native-multi'!$C$3:C338)/COUNTIF($A$3:A338,"&lt;&gt;0"))</f>
        <v>15.751417169802306</v>
      </c>
    </row>
    <row r="339" spans="1:9">
      <c r="A339">
        <v>337</v>
      </c>
      <c r="B339">
        <v>100</v>
      </c>
      <c r="C339">
        <v>253</v>
      </c>
      <c r="D339">
        <v>233</v>
      </c>
      <c r="E339" s="4">
        <f t="shared" si="20"/>
        <v>0</v>
      </c>
      <c r="F339" s="4">
        <f t="shared" si="21"/>
        <v>153</v>
      </c>
      <c r="G339" s="4">
        <f t="shared" si="22"/>
        <v>2.3409</v>
      </c>
      <c r="H339" s="4">
        <f t="shared" si="23"/>
        <v>23409</v>
      </c>
      <c r="I339" s="5">
        <f>SQRT(SUM('p-native-multi'!$C$3:C339)/COUNTIF($A$3:A339,"&lt;&gt;0"))</f>
        <v>15.751878037906092</v>
      </c>
    </row>
    <row r="340" spans="1:9">
      <c r="A340">
        <v>338</v>
      </c>
      <c r="B340">
        <v>100</v>
      </c>
      <c r="C340">
        <v>233</v>
      </c>
      <c r="D340">
        <v>233</v>
      </c>
      <c r="E340" s="4">
        <f t="shared" si="20"/>
        <v>0</v>
      </c>
      <c r="F340" s="4">
        <f t="shared" si="21"/>
        <v>133</v>
      </c>
      <c r="G340" s="4">
        <f t="shared" si="22"/>
        <v>1.7689000000000001</v>
      </c>
      <c r="H340" s="4">
        <f t="shared" si="23"/>
        <v>17689</v>
      </c>
      <c r="I340" s="5">
        <f>SQRT(SUM('p-native-multi'!$C$3:C340)/COUNTIF($A$3:A340,"&lt;&gt;0"))</f>
        <v>15.750457868802515</v>
      </c>
    </row>
    <row r="341" spans="1:9">
      <c r="A341">
        <v>339</v>
      </c>
      <c r="B341">
        <v>100</v>
      </c>
      <c r="C341">
        <v>233</v>
      </c>
      <c r="D341">
        <v>233</v>
      </c>
      <c r="E341" s="4">
        <f t="shared" si="20"/>
        <v>0</v>
      </c>
      <c r="F341" s="4">
        <f t="shared" si="21"/>
        <v>133</v>
      </c>
      <c r="G341" s="4">
        <f t="shared" si="22"/>
        <v>1.7689000000000001</v>
      </c>
      <c r="H341" s="4">
        <f t="shared" si="23"/>
        <v>17689</v>
      </c>
      <c r="I341" s="5">
        <f>SQRT(SUM('p-native-multi'!$C$3:C341)/COUNTIF($A$3:A341,"&lt;&gt;0"))</f>
        <v>15.749045951345153</v>
      </c>
    </row>
    <row r="342" spans="1:9">
      <c r="A342">
        <v>340</v>
      </c>
      <c r="B342">
        <v>100</v>
      </c>
      <c r="C342">
        <v>273</v>
      </c>
      <c r="D342">
        <v>233</v>
      </c>
      <c r="E342" s="4">
        <f t="shared" si="20"/>
        <v>0</v>
      </c>
      <c r="F342" s="4">
        <f t="shared" si="21"/>
        <v>173</v>
      </c>
      <c r="G342" s="4">
        <f t="shared" si="22"/>
        <v>2.9929000000000001</v>
      </c>
      <c r="H342" s="4">
        <f t="shared" si="23"/>
        <v>29929</v>
      </c>
      <c r="I342" s="5">
        <f>SQRT(SUM('p-native-multi'!$C$3:C342)/COUNTIF($A$3:A342,"&lt;&gt;0"))</f>
        <v>15.75137715734536</v>
      </c>
    </row>
    <row r="343" spans="1:9">
      <c r="A343">
        <v>341</v>
      </c>
      <c r="B343">
        <v>100</v>
      </c>
      <c r="C343">
        <v>233</v>
      </c>
      <c r="D343">
        <v>233</v>
      </c>
      <c r="E343" s="4">
        <f t="shared" si="20"/>
        <v>0</v>
      </c>
      <c r="F343" s="4">
        <f t="shared" si="21"/>
        <v>133</v>
      </c>
      <c r="G343" s="4">
        <f t="shared" si="22"/>
        <v>1.7689000000000001</v>
      </c>
      <c r="H343" s="4">
        <f t="shared" si="23"/>
        <v>17689</v>
      </c>
      <c r="I343" s="5">
        <f>SQRT(SUM('p-native-multi'!$C$3:C343)/COUNTIF($A$3:A343,"&lt;&gt;0"))</f>
        <v>15.749970907202103</v>
      </c>
    </row>
    <row r="344" spans="1:9">
      <c r="A344">
        <v>342</v>
      </c>
      <c r="B344">
        <v>100</v>
      </c>
      <c r="C344">
        <v>233</v>
      </c>
      <c r="D344">
        <v>233</v>
      </c>
      <c r="E344" s="4">
        <f t="shared" si="20"/>
        <v>0</v>
      </c>
      <c r="F344" s="4">
        <f t="shared" si="21"/>
        <v>133</v>
      </c>
      <c r="G344" s="4">
        <f t="shared" si="22"/>
        <v>1.7689000000000001</v>
      </c>
      <c r="H344" s="4">
        <f t="shared" si="23"/>
        <v>17689</v>
      </c>
      <c r="I344" s="5">
        <f>SQRT(SUM('p-native-multi'!$C$3:C344)/COUNTIF($A$3:A344,"&lt;&gt;0"))</f>
        <v>15.748572756273793</v>
      </c>
    </row>
    <row r="345" spans="1:9">
      <c r="A345">
        <v>343</v>
      </c>
      <c r="B345">
        <v>100</v>
      </c>
      <c r="C345">
        <v>233</v>
      </c>
      <c r="D345">
        <v>233</v>
      </c>
      <c r="E345" s="4">
        <f t="shared" si="20"/>
        <v>0</v>
      </c>
      <c r="F345" s="4">
        <f t="shared" si="21"/>
        <v>133</v>
      </c>
      <c r="G345" s="4">
        <f t="shared" si="22"/>
        <v>1.7689000000000001</v>
      </c>
      <c r="H345" s="4">
        <f t="shared" si="23"/>
        <v>17689</v>
      </c>
      <c r="I345" s="5">
        <f>SQRT(SUM('p-native-multi'!$C$3:C345)/COUNTIF($A$3:A345,"&lt;&gt;0"))</f>
        <v>15.747182634774532</v>
      </c>
    </row>
    <row r="346" spans="1:9">
      <c r="A346">
        <v>344</v>
      </c>
      <c r="B346">
        <v>100</v>
      </c>
      <c r="C346">
        <v>279</v>
      </c>
      <c r="D346">
        <v>233</v>
      </c>
      <c r="E346" s="4">
        <f t="shared" si="20"/>
        <v>0</v>
      </c>
      <c r="F346" s="4">
        <f t="shared" si="21"/>
        <v>179</v>
      </c>
      <c r="G346" s="4">
        <f t="shared" si="22"/>
        <v>3.2040999999999999</v>
      </c>
      <c r="H346" s="4">
        <f t="shared" si="23"/>
        <v>32041</v>
      </c>
      <c r="I346" s="5">
        <f>SQRT(SUM('p-native-multi'!$C$3:C346)/COUNTIF($A$3:A346,"&lt;&gt;0"))</f>
        <v>15.750046142420413</v>
      </c>
    </row>
    <row r="347" spans="1:9">
      <c r="A347">
        <v>345</v>
      </c>
      <c r="B347">
        <v>100</v>
      </c>
      <c r="C347">
        <v>233</v>
      </c>
      <c r="D347">
        <v>233</v>
      </c>
      <c r="E347" s="4">
        <f t="shared" si="20"/>
        <v>0</v>
      </c>
      <c r="F347" s="4">
        <f t="shared" si="21"/>
        <v>133</v>
      </c>
      <c r="G347" s="4">
        <f t="shared" si="22"/>
        <v>1.7689000000000001</v>
      </c>
      <c r="H347" s="4">
        <f t="shared" si="23"/>
        <v>17689</v>
      </c>
      <c r="I347" s="5">
        <f>SQRT(SUM('p-native-multi'!$C$3:C347)/COUNTIF($A$3:A347,"&lt;&gt;0"))</f>
        <v>15.748659938390709</v>
      </c>
    </row>
    <row r="348" spans="1:9">
      <c r="A348">
        <v>346</v>
      </c>
      <c r="B348">
        <v>100</v>
      </c>
      <c r="C348">
        <v>273</v>
      </c>
      <c r="D348">
        <v>233</v>
      </c>
      <c r="E348" s="4">
        <f t="shared" si="20"/>
        <v>0</v>
      </c>
      <c r="F348" s="4">
        <f t="shared" si="21"/>
        <v>173</v>
      </c>
      <c r="G348" s="4">
        <f t="shared" si="22"/>
        <v>2.9929000000000001</v>
      </c>
      <c r="H348" s="4">
        <f t="shared" si="23"/>
        <v>29929</v>
      </c>
      <c r="I348" s="5">
        <f>SQRT(SUM('p-native-multi'!$C$3:C348)/COUNTIF($A$3:A348,"&lt;&gt;0"))</f>
        <v>15.750951893429583</v>
      </c>
    </row>
    <row r="349" spans="1:9">
      <c r="A349">
        <v>347</v>
      </c>
      <c r="B349">
        <v>100</v>
      </c>
      <c r="C349">
        <v>233</v>
      </c>
      <c r="D349">
        <v>233</v>
      </c>
      <c r="E349" s="4">
        <f t="shared" si="20"/>
        <v>0</v>
      </c>
      <c r="F349" s="4">
        <f t="shared" si="21"/>
        <v>133</v>
      </c>
      <c r="G349" s="4">
        <f t="shared" si="22"/>
        <v>1.7689000000000001</v>
      </c>
      <c r="H349" s="4">
        <f t="shared" si="23"/>
        <v>17689</v>
      </c>
      <c r="I349" s="5">
        <f>SQRT(SUM('p-native-multi'!$C$3:C349)/COUNTIF($A$3:A349,"&lt;&gt;0"))</f>
        <v>15.749571148271526</v>
      </c>
    </row>
    <row r="350" spans="1:9">
      <c r="A350">
        <v>348</v>
      </c>
      <c r="B350">
        <v>100</v>
      </c>
      <c r="C350">
        <v>273</v>
      </c>
      <c r="D350">
        <v>233</v>
      </c>
      <c r="E350" s="4">
        <f t="shared" si="20"/>
        <v>0</v>
      </c>
      <c r="F350" s="4">
        <f t="shared" si="21"/>
        <v>173</v>
      </c>
      <c r="G350" s="4">
        <f t="shared" si="22"/>
        <v>2.9929000000000001</v>
      </c>
      <c r="H350" s="4">
        <f t="shared" si="23"/>
        <v>29929</v>
      </c>
      <c r="I350" s="5">
        <f>SQRT(SUM('p-native-multi'!$C$3:C350)/COUNTIF($A$3:A350,"&lt;&gt;0"))</f>
        <v>15.751847182320313</v>
      </c>
    </row>
    <row r="351" spans="1:9">
      <c r="A351">
        <v>349</v>
      </c>
      <c r="B351">
        <v>100</v>
      </c>
      <c r="C351">
        <v>233</v>
      </c>
      <c r="D351">
        <v>233</v>
      </c>
      <c r="E351" s="4">
        <f t="shared" si="20"/>
        <v>0</v>
      </c>
      <c r="F351" s="4">
        <f t="shared" si="21"/>
        <v>133</v>
      </c>
      <c r="G351" s="4">
        <f t="shared" si="22"/>
        <v>1.7689000000000001</v>
      </c>
      <c r="H351" s="4">
        <f t="shared" si="23"/>
        <v>17689</v>
      </c>
      <c r="I351" s="5">
        <f>SQRT(SUM('p-native-multi'!$C$3:C351)/COUNTIF($A$3:A351,"&lt;&gt;0"))</f>
        <v>15.750471862672818</v>
      </c>
    </row>
    <row r="352" spans="1:9">
      <c r="A352">
        <v>350</v>
      </c>
      <c r="B352">
        <v>100</v>
      </c>
      <c r="C352">
        <v>233</v>
      </c>
      <c r="D352">
        <v>233</v>
      </c>
      <c r="E352" s="4">
        <f t="shared" si="20"/>
        <v>0</v>
      </c>
      <c r="F352" s="4">
        <f t="shared" si="21"/>
        <v>133</v>
      </c>
      <c r="G352" s="4">
        <f t="shared" si="22"/>
        <v>1.7689000000000001</v>
      </c>
      <c r="H352" s="4">
        <f t="shared" si="23"/>
        <v>17689</v>
      </c>
      <c r="I352" s="5">
        <f>SQRT(SUM('p-native-multi'!$C$3:C352)/COUNTIF($A$3:A352,"&lt;&gt;0"))</f>
        <v>15.749104282919893</v>
      </c>
    </row>
    <row r="353" spans="1:9">
      <c r="A353">
        <v>351</v>
      </c>
      <c r="B353">
        <v>100</v>
      </c>
      <c r="C353">
        <v>233</v>
      </c>
      <c r="D353">
        <v>233</v>
      </c>
      <c r="E353" s="4">
        <f t="shared" si="20"/>
        <v>0</v>
      </c>
      <c r="F353" s="4">
        <f t="shared" si="21"/>
        <v>133</v>
      </c>
      <c r="G353" s="4">
        <f t="shared" si="22"/>
        <v>1.7689000000000001</v>
      </c>
      <c r="H353" s="4">
        <f t="shared" si="23"/>
        <v>17689</v>
      </c>
      <c r="I353" s="5">
        <f>SQRT(SUM('p-native-multi'!$C$3:C353)/COUNTIF($A$3:A353,"&lt;&gt;0"))</f>
        <v>15.74774437789276</v>
      </c>
    </row>
    <row r="354" spans="1:9">
      <c r="A354">
        <v>352</v>
      </c>
      <c r="B354">
        <v>100</v>
      </c>
      <c r="C354">
        <v>273</v>
      </c>
      <c r="D354">
        <v>233</v>
      </c>
      <c r="E354" s="4">
        <f t="shared" si="20"/>
        <v>0</v>
      </c>
      <c r="F354" s="4">
        <f t="shared" si="21"/>
        <v>173</v>
      </c>
      <c r="G354" s="4">
        <f t="shared" si="22"/>
        <v>2.9929000000000001</v>
      </c>
      <c r="H354" s="4">
        <f t="shared" si="23"/>
        <v>29929</v>
      </c>
      <c r="I354" s="5">
        <f>SQRT(SUM('p-native-multi'!$C$3:C354)/COUNTIF($A$3:A354,"&lt;&gt;0"))</f>
        <v>15.75</v>
      </c>
    </row>
    <row r="355" spans="1:9">
      <c r="A355">
        <v>353</v>
      </c>
      <c r="B355">
        <v>100</v>
      </c>
      <c r="C355">
        <v>253</v>
      </c>
      <c r="D355">
        <v>233</v>
      </c>
      <c r="E355" s="4">
        <f t="shared" si="20"/>
        <v>0</v>
      </c>
      <c r="F355" s="4">
        <f t="shared" si="21"/>
        <v>153</v>
      </c>
      <c r="G355" s="4">
        <f t="shared" si="22"/>
        <v>2.3409</v>
      </c>
      <c r="H355" s="4">
        <f t="shared" si="23"/>
        <v>23409</v>
      </c>
      <c r="I355" s="5">
        <f>SQRT(SUM('p-native-multi'!$C$3:C355)/COUNTIF($A$3:A355,"&lt;&gt;0"))</f>
        <v>15.750444033490758</v>
      </c>
    </row>
    <row r="356" spans="1:9">
      <c r="A356">
        <v>354</v>
      </c>
      <c r="B356">
        <v>100</v>
      </c>
      <c r="C356">
        <v>279</v>
      </c>
      <c r="D356">
        <v>233</v>
      </c>
      <c r="E356" s="4">
        <f t="shared" si="20"/>
        <v>0</v>
      </c>
      <c r="F356" s="4">
        <f t="shared" si="21"/>
        <v>179</v>
      </c>
      <c r="G356" s="4">
        <f t="shared" si="22"/>
        <v>3.2040999999999999</v>
      </c>
      <c r="H356" s="4">
        <f t="shared" si="23"/>
        <v>32041</v>
      </c>
      <c r="I356" s="5">
        <f>SQRT(SUM('p-native-multi'!$C$3:C356)/COUNTIF($A$3:A356,"&lt;&gt;0"))</f>
        <v>15.753216871734788</v>
      </c>
    </row>
    <row r="357" spans="1:9">
      <c r="A357">
        <v>355</v>
      </c>
      <c r="B357">
        <v>100</v>
      </c>
      <c r="C357">
        <v>233</v>
      </c>
      <c r="D357">
        <v>233</v>
      </c>
      <c r="E357" s="4">
        <f t="shared" si="20"/>
        <v>0</v>
      </c>
      <c r="F357" s="4">
        <f t="shared" si="21"/>
        <v>133</v>
      </c>
      <c r="G357" s="4">
        <f t="shared" si="22"/>
        <v>1.7689000000000001</v>
      </c>
      <c r="H357" s="4">
        <f t="shared" si="23"/>
        <v>17689</v>
      </c>
      <c r="I357" s="5">
        <f>SQRT(SUM('p-native-multi'!$C$3:C357)/COUNTIF($A$3:A357,"&lt;&gt;0"))</f>
        <v>15.751861057048574</v>
      </c>
    </row>
    <row r="358" spans="1:9">
      <c r="A358">
        <v>356</v>
      </c>
      <c r="B358">
        <v>100</v>
      </c>
      <c r="C358">
        <v>273</v>
      </c>
      <c r="D358">
        <v>233</v>
      </c>
      <c r="E358" s="4">
        <f t="shared" si="20"/>
        <v>0</v>
      </c>
      <c r="F358" s="4">
        <f t="shared" si="21"/>
        <v>173</v>
      </c>
      <c r="G358" s="4">
        <f t="shared" si="22"/>
        <v>2.9929000000000001</v>
      </c>
      <c r="H358" s="4">
        <f t="shared" si="23"/>
        <v>29929</v>
      </c>
      <c r="I358" s="5">
        <f>SQRT(SUM('p-native-multi'!$C$3:C358)/COUNTIF($A$3:A358,"&lt;&gt;0"))</f>
        <v>15.754079193528101</v>
      </c>
    </row>
    <row r="359" spans="1:9">
      <c r="A359">
        <v>357</v>
      </c>
      <c r="B359">
        <v>100</v>
      </c>
      <c r="C359">
        <v>233</v>
      </c>
      <c r="D359">
        <v>233</v>
      </c>
      <c r="E359" s="4">
        <f t="shared" si="20"/>
        <v>0</v>
      </c>
      <c r="F359" s="4">
        <f t="shared" si="21"/>
        <v>133</v>
      </c>
      <c r="G359" s="4">
        <f t="shared" si="22"/>
        <v>1.7689000000000001</v>
      </c>
      <c r="H359" s="4">
        <f t="shared" si="23"/>
        <v>17689</v>
      </c>
      <c r="I359" s="5">
        <f>SQRT(SUM('p-native-multi'!$C$3:C359)/COUNTIF($A$3:A359,"&lt;&gt;0"))</f>
        <v>15.752728632962402</v>
      </c>
    </row>
    <row r="360" spans="1:9">
      <c r="A360">
        <v>358</v>
      </c>
      <c r="B360">
        <v>100</v>
      </c>
      <c r="C360">
        <v>233</v>
      </c>
      <c r="D360">
        <v>233</v>
      </c>
      <c r="E360" s="4">
        <f t="shared" si="20"/>
        <v>0</v>
      </c>
      <c r="F360" s="4">
        <f t="shared" si="21"/>
        <v>133</v>
      </c>
      <c r="G360" s="4">
        <f t="shared" si="22"/>
        <v>1.7689000000000001</v>
      </c>
      <c r="H360" s="4">
        <f t="shared" si="23"/>
        <v>17689</v>
      </c>
      <c r="I360" s="5">
        <f>SQRT(SUM('p-native-multi'!$C$3:C360)/COUNTIF($A$3:A360,"&lt;&gt;0"))</f>
        <v>15.751385502596165</v>
      </c>
    </row>
    <row r="361" spans="1:9">
      <c r="A361">
        <v>359</v>
      </c>
      <c r="B361">
        <v>100</v>
      </c>
      <c r="C361">
        <v>279</v>
      </c>
      <c r="D361">
        <v>233</v>
      </c>
      <c r="E361" s="4">
        <f t="shared" si="20"/>
        <v>0</v>
      </c>
      <c r="F361" s="4">
        <f t="shared" si="21"/>
        <v>179</v>
      </c>
      <c r="G361" s="4">
        <f t="shared" si="22"/>
        <v>3.2040999999999999</v>
      </c>
      <c r="H361" s="4">
        <f t="shared" si="23"/>
        <v>32041</v>
      </c>
      <c r="I361" s="5">
        <f>SQRT(SUM('p-native-multi'!$C$3:C361)/COUNTIF($A$3:A361,"&lt;&gt;0"))</f>
        <v>15.754116939933608</v>
      </c>
    </row>
    <row r="362" spans="1:9">
      <c r="A362">
        <v>360</v>
      </c>
      <c r="B362">
        <v>100</v>
      </c>
      <c r="C362">
        <v>253</v>
      </c>
      <c r="D362">
        <v>233</v>
      </c>
      <c r="E362" s="4">
        <f t="shared" si="20"/>
        <v>0</v>
      </c>
      <c r="F362" s="4">
        <f t="shared" si="21"/>
        <v>153</v>
      </c>
      <c r="G362" s="4">
        <f t="shared" si="22"/>
        <v>2.3409</v>
      </c>
      <c r="H362" s="4">
        <f t="shared" si="23"/>
        <v>23409</v>
      </c>
      <c r="I362" s="5">
        <f>SQRT(SUM('p-native-multi'!$C$3:C362)/COUNTIF($A$3:A362,"&lt;&gt;0"))</f>
        <v>15.754540791643391</v>
      </c>
    </row>
    <row r="363" spans="1:9">
      <c r="A363">
        <v>361</v>
      </c>
      <c r="B363">
        <v>100</v>
      </c>
      <c r="C363">
        <v>273</v>
      </c>
      <c r="D363">
        <v>233</v>
      </c>
      <c r="E363" s="4">
        <f t="shared" si="20"/>
        <v>0</v>
      </c>
      <c r="F363" s="4">
        <f t="shared" si="21"/>
        <v>173</v>
      </c>
      <c r="G363" s="4">
        <f t="shared" si="22"/>
        <v>2.9929000000000001</v>
      </c>
      <c r="H363" s="4">
        <f t="shared" si="23"/>
        <v>29929</v>
      </c>
      <c r="I363" s="5">
        <f>SQRT(SUM('p-native-multi'!$C$3:C363)/COUNTIF($A$3:A363,"&lt;&gt;0"))</f>
        <v>15.756720414703905</v>
      </c>
    </row>
    <row r="364" spans="1:9">
      <c r="A364">
        <v>362</v>
      </c>
      <c r="B364">
        <v>100</v>
      </c>
      <c r="C364">
        <v>233</v>
      </c>
      <c r="D364">
        <v>233</v>
      </c>
      <c r="E364" s="4">
        <f t="shared" si="20"/>
        <v>0</v>
      </c>
      <c r="F364" s="4">
        <f t="shared" si="21"/>
        <v>133</v>
      </c>
      <c r="G364" s="4">
        <f t="shared" si="22"/>
        <v>1.7689000000000001</v>
      </c>
      <c r="H364" s="4">
        <f t="shared" si="23"/>
        <v>17689</v>
      </c>
      <c r="I364" s="5">
        <f>SQRT(SUM('p-native-multi'!$C$3:C364)/COUNTIF($A$3:A364,"&lt;&gt;0"))</f>
        <v>15.755381436159997</v>
      </c>
    </row>
    <row r="365" spans="1:9">
      <c r="A365">
        <v>363</v>
      </c>
      <c r="B365">
        <v>100</v>
      </c>
      <c r="C365">
        <v>233</v>
      </c>
      <c r="D365">
        <v>233</v>
      </c>
      <c r="E365" s="4">
        <f t="shared" si="20"/>
        <v>0</v>
      </c>
      <c r="F365" s="4">
        <f t="shared" si="21"/>
        <v>133</v>
      </c>
      <c r="G365" s="4">
        <f t="shared" si="22"/>
        <v>1.7689000000000001</v>
      </c>
      <c r="H365" s="4">
        <f t="shared" si="23"/>
        <v>17689</v>
      </c>
      <c r="I365" s="5">
        <f>SQRT(SUM('p-native-multi'!$C$3:C365)/COUNTIF($A$3:A365,"&lt;&gt;0"))</f>
        <v>15.754049722043792</v>
      </c>
    </row>
    <row r="366" spans="1:9">
      <c r="A366">
        <v>364</v>
      </c>
      <c r="B366">
        <v>100</v>
      </c>
      <c r="C366">
        <v>253</v>
      </c>
      <c r="D366">
        <v>233</v>
      </c>
      <c r="E366" s="4">
        <f t="shared" si="20"/>
        <v>0</v>
      </c>
      <c r="F366" s="4">
        <f t="shared" si="21"/>
        <v>153</v>
      </c>
      <c r="G366" s="4">
        <f t="shared" si="22"/>
        <v>2.3409</v>
      </c>
      <c r="H366" s="4">
        <f t="shared" si="23"/>
        <v>23409</v>
      </c>
      <c r="I366" s="5">
        <f>SQRT(SUM('p-native-multi'!$C$3:C366)/COUNTIF($A$3:A366,"&lt;&gt;0"))</f>
        <v>15.754469102552987</v>
      </c>
    </row>
    <row r="367" spans="1:9">
      <c r="A367">
        <v>365</v>
      </c>
      <c r="B367">
        <v>100</v>
      </c>
      <c r="C367">
        <v>233</v>
      </c>
      <c r="D367">
        <v>233</v>
      </c>
      <c r="E367" s="4">
        <f t="shared" si="20"/>
        <v>0</v>
      </c>
      <c r="F367" s="4">
        <f t="shared" si="21"/>
        <v>133</v>
      </c>
      <c r="G367" s="4">
        <f t="shared" si="22"/>
        <v>1.7689000000000001</v>
      </c>
      <c r="H367" s="4">
        <f t="shared" si="23"/>
        <v>17689</v>
      </c>
      <c r="I367" s="5">
        <f>SQRT(SUM('p-native-multi'!$C$3:C367)/COUNTIF($A$3:A367,"&lt;&gt;0"))</f>
        <v>15.753147108930852</v>
      </c>
    </row>
    <row r="368" spans="1:9">
      <c r="A368">
        <v>366</v>
      </c>
      <c r="B368">
        <v>100</v>
      </c>
      <c r="C368">
        <v>279</v>
      </c>
      <c r="D368">
        <v>233</v>
      </c>
      <c r="E368" s="4">
        <f t="shared" si="20"/>
        <v>0</v>
      </c>
      <c r="F368" s="4">
        <f t="shared" si="21"/>
        <v>179</v>
      </c>
      <c r="G368" s="4">
        <f t="shared" si="22"/>
        <v>3.2040999999999999</v>
      </c>
      <c r="H368" s="4">
        <f t="shared" si="23"/>
        <v>32041</v>
      </c>
      <c r="I368" s="5">
        <f>SQRT(SUM('p-native-multi'!$C$3:C368)/COUNTIF($A$3:A368,"&lt;&gt;0"))</f>
        <v>15.755821198507688</v>
      </c>
    </row>
    <row r="369" spans="1:9">
      <c r="A369">
        <v>367</v>
      </c>
      <c r="B369">
        <v>100</v>
      </c>
      <c r="C369">
        <v>233</v>
      </c>
      <c r="D369">
        <v>233</v>
      </c>
      <c r="E369" s="4">
        <f t="shared" si="20"/>
        <v>0</v>
      </c>
      <c r="F369" s="4">
        <f t="shared" si="21"/>
        <v>133</v>
      </c>
      <c r="G369" s="4">
        <f t="shared" si="22"/>
        <v>1.7689000000000001</v>
      </c>
      <c r="H369" s="4">
        <f t="shared" si="23"/>
        <v>17689</v>
      </c>
      <c r="I369" s="5">
        <f>SQRT(SUM('p-native-multi'!$C$3:C369)/COUNTIF($A$3:A369,"&lt;&gt;0"))</f>
        <v>15.754502838015059</v>
      </c>
    </row>
    <row r="370" spans="1:9">
      <c r="A370">
        <v>368</v>
      </c>
      <c r="B370">
        <v>100</v>
      </c>
      <c r="C370">
        <v>253</v>
      </c>
      <c r="D370">
        <v>233</v>
      </c>
      <c r="E370" s="4">
        <f t="shared" si="20"/>
        <v>0</v>
      </c>
      <c r="F370" s="4">
        <f t="shared" si="21"/>
        <v>153</v>
      </c>
      <c r="G370" s="4">
        <f t="shared" si="22"/>
        <v>2.3409</v>
      </c>
      <c r="H370" s="4">
        <f t="shared" si="23"/>
        <v>23409</v>
      </c>
      <c r="I370" s="5">
        <f>SQRT(SUM('p-native-multi'!$C$3:C370)/COUNTIF($A$3:A370,"&lt;&gt;0"))</f>
        <v>15.754916416926743</v>
      </c>
    </row>
    <row r="371" spans="1:9">
      <c r="A371">
        <v>369</v>
      </c>
      <c r="B371">
        <v>100</v>
      </c>
      <c r="C371">
        <v>273</v>
      </c>
      <c r="D371">
        <v>233</v>
      </c>
      <c r="E371" s="4">
        <f t="shared" si="20"/>
        <v>0</v>
      </c>
      <c r="F371" s="4">
        <f t="shared" si="21"/>
        <v>173</v>
      </c>
      <c r="G371" s="4">
        <f t="shared" si="22"/>
        <v>2.9929000000000001</v>
      </c>
      <c r="H371" s="4">
        <f t="shared" si="23"/>
        <v>29929</v>
      </c>
      <c r="I371" s="5">
        <f>SQRT(SUM('p-native-multi'!$C$3:C371)/COUNTIF($A$3:A371,"&lt;&gt;0"))</f>
        <v>15.757047719846774</v>
      </c>
    </row>
    <row r="372" spans="1:9">
      <c r="A372">
        <v>370</v>
      </c>
      <c r="B372">
        <v>100</v>
      </c>
      <c r="C372">
        <v>273</v>
      </c>
      <c r="D372">
        <v>233</v>
      </c>
      <c r="E372" s="4">
        <f t="shared" si="20"/>
        <v>0</v>
      </c>
      <c r="F372" s="4">
        <f t="shared" si="21"/>
        <v>173</v>
      </c>
      <c r="G372" s="4">
        <f t="shared" si="22"/>
        <v>2.9929000000000001</v>
      </c>
      <c r="H372" s="4">
        <f t="shared" si="23"/>
        <v>29929</v>
      </c>
      <c r="I372" s="5">
        <f>SQRT(SUM('p-native-multi'!$C$3:C372)/COUNTIF($A$3:A372,"&lt;&gt;0"))</f>
        <v>15.759167216301481</v>
      </c>
    </row>
    <row r="373" spans="1:9">
      <c r="A373">
        <v>371</v>
      </c>
      <c r="B373">
        <v>100</v>
      </c>
      <c r="C373">
        <v>253</v>
      </c>
      <c r="D373">
        <v>233</v>
      </c>
      <c r="E373" s="4">
        <f t="shared" si="20"/>
        <v>0</v>
      </c>
      <c r="F373" s="4">
        <f t="shared" si="21"/>
        <v>153</v>
      </c>
      <c r="G373" s="4">
        <f t="shared" si="22"/>
        <v>2.3409</v>
      </c>
      <c r="H373" s="4">
        <f t="shared" si="23"/>
        <v>23409</v>
      </c>
      <c r="I373" s="5">
        <f>SQRT(SUM('p-native-multi'!$C$3:C373)/COUNTIF($A$3:A373,"&lt;&gt;0"))</f>
        <v>15.759564759269757</v>
      </c>
    </row>
    <row r="374" spans="1:9">
      <c r="A374">
        <v>372</v>
      </c>
      <c r="B374">
        <v>100</v>
      </c>
      <c r="C374">
        <v>279</v>
      </c>
      <c r="D374">
        <v>233</v>
      </c>
      <c r="E374" s="4">
        <f t="shared" si="20"/>
        <v>0</v>
      </c>
      <c r="F374" s="4">
        <f t="shared" si="21"/>
        <v>179</v>
      </c>
      <c r="G374" s="4">
        <f t="shared" si="22"/>
        <v>3.2040999999999999</v>
      </c>
      <c r="H374" s="4">
        <f t="shared" si="23"/>
        <v>32041</v>
      </c>
      <c r="I374" s="5">
        <f>SQRT(SUM('p-native-multi'!$C$3:C374)/COUNTIF($A$3:A374,"&lt;&gt;0"))</f>
        <v>15.762177405394846</v>
      </c>
    </row>
    <row r="375" spans="1:9">
      <c r="A375">
        <v>373</v>
      </c>
      <c r="B375">
        <v>100</v>
      </c>
      <c r="C375">
        <v>233</v>
      </c>
      <c r="D375">
        <v>233</v>
      </c>
      <c r="E375" s="4">
        <f t="shared" si="20"/>
        <v>0</v>
      </c>
      <c r="F375" s="4">
        <f t="shared" si="21"/>
        <v>133</v>
      </c>
      <c r="G375" s="4">
        <f t="shared" si="22"/>
        <v>1.7689000000000001</v>
      </c>
      <c r="H375" s="4">
        <f t="shared" si="23"/>
        <v>17689</v>
      </c>
      <c r="I375" s="5">
        <f>SQRT(SUM('p-native-multi'!$C$3:C375)/COUNTIF($A$3:A375,"&lt;&gt;0"))</f>
        <v>15.76086373703121</v>
      </c>
    </row>
    <row r="376" spans="1:9">
      <c r="A376">
        <v>374</v>
      </c>
      <c r="B376">
        <v>100</v>
      </c>
      <c r="C376">
        <v>279</v>
      </c>
      <c r="D376">
        <v>233</v>
      </c>
      <c r="E376" s="4">
        <f t="shared" si="20"/>
        <v>0</v>
      </c>
      <c r="F376" s="4">
        <f t="shared" si="21"/>
        <v>179</v>
      </c>
      <c r="G376" s="4">
        <f t="shared" si="22"/>
        <v>3.2040999999999999</v>
      </c>
      <c r="H376" s="4">
        <f t="shared" si="23"/>
        <v>32041</v>
      </c>
      <c r="I376" s="5">
        <f>SQRT(SUM('p-native-multi'!$C$3:C376)/COUNTIF($A$3:A376,"&lt;&gt;0"))</f>
        <v>15.763458726308855</v>
      </c>
    </row>
    <row r="377" spans="1:9">
      <c r="A377">
        <v>375</v>
      </c>
      <c r="B377">
        <v>100</v>
      </c>
      <c r="C377">
        <v>253</v>
      </c>
      <c r="D377">
        <v>233</v>
      </c>
      <c r="E377" s="4">
        <f t="shared" si="20"/>
        <v>0</v>
      </c>
      <c r="F377" s="4">
        <f t="shared" si="21"/>
        <v>153</v>
      </c>
      <c r="G377" s="4">
        <f t="shared" si="22"/>
        <v>2.3409</v>
      </c>
      <c r="H377" s="4">
        <f t="shared" si="23"/>
        <v>23409</v>
      </c>
      <c r="I377" s="5">
        <f>SQRT(SUM('p-native-multi'!$C$3:C377)/COUNTIF($A$3:A377,"&lt;&gt;0"))</f>
        <v>15.763840479612405</v>
      </c>
    </row>
    <row r="378" spans="1:9">
      <c r="A378">
        <v>376</v>
      </c>
      <c r="B378">
        <v>100</v>
      </c>
      <c r="C378">
        <v>233</v>
      </c>
      <c r="D378">
        <v>233</v>
      </c>
      <c r="E378" s="4">
        <f t="shared" si="20"/>
        <v>0</v>
      </c>
      <c r="F378" s="4">
        <f t="shared" si="21"/>
        <v>133</v>
      </c>
      <c r="G378" s="4">
        <f t="shared" si="22"/>
        <v>1.7689000000000001</v>
      </c>
      <c r="H378" s="4">
        <f t="shared" si="23"/>
        <v>17689</v>
      </c>
      <c r="I378" s="5">
        <f>SQRT(SUM('p-native-multi'!$C$3:C378)/COUNTIF($A$3:A378,"&lt;&gt;0"))</f>
        <v>15.762533007372598</v>
      </c>
    </row>
    <row r="379" spans="1:9">
      <c r="A379">
        <v>377</v>
      </c>
      <c r="B379">
        <v>100</v>
      </c>
      <c r="C379">
        <v>233</v>
      </c>
      <c r="D379">
        <v>233</v>
      </c>
      <c r="E379" s="4">
        <f t="shared" si="20"/>
        <v>0</v>
      </c>
      <c r="F379" s="4">
        <f t="shared" si="21"/>
        <v>133</v>
      </c>
      <c r="G379" s="4">
        <f t="shared" si="22"/>
        <v>1.7689000000000001</v>
      </c>
      <c r="H379" s="4">
        <f t="shared" si="23"/>
        <v>17689</v>
      </c>
      <c r="I379" s="5">
        <f>SQRT(SUM('p-native-multi'!$C$3:C379)/COUNTIF($A$3:A379,"&lt;&gt;0"))</f>
        <v>15.761232363725313</v>
      </c>
    </row>
    <row r="380" spans="1:9">
      <c r="A380">
        <v>378</v>
      </c>
      <c r="B380">
        <v>100</v>
      </c>
      <c r="C380">
        <v>233</v>
      </c>
      <c r="D380">
        <v>233</v>
      </c>
      <c r="E380" s="4">
        <f t="shared" si="20"/>
        <v>0</v>
      </c>
      <c r="F380" s="4">
        <f t="shared" si="21"/>
        <v>133</v>
      </c>
      <c r="G380" s="4">
        <f t="shared" si="22"/>
        <v>1.7689000000000001</v>
      </c>
      <c r="H380" s="4">
        <f t="shared" si="23"/>
        <v>17689</v>
      </c>
      <c r="I380" s="5">
        <f>SQRT(SUM('p-native-multi'!$C$3:C380)/COUNTIF($A$3:A380,"&lt;&gt;0"))</f>
        <v>15.759938495300714</v>
      </c>
    </row>
    <row r="381" spans="1:9">
      <c r="A381">
        <v>379</v>
      </c>
      <c r="B381">
        <v>100</v>
      </c>
      <c r="C381">
        <v>273</v>
      </c>
      <c r="D381">
        <v>233</v>
      </c>
      <c r="E381" s="4">
        <f t="shared" si="20"/>
        <v>0</v>
      </c>
      <c r="F381" s="4">
        <f t="shared" si="21"/>
        <v>173</v>
      </c>
      <c r="G381" s="4">
        <f t="shared" si="22"/>
        <v>2.9929000000000001</v>
      </c>
      <c r="H381" s="4">
        <f t="shared" si="23"/>
        <v>29929</v>
      </c>
      <c r="I381" s="5">
        <f>SQRT(SUM('p-native-multi'!$C$3:C381)/COUNTIF($A$3:A381,"&lt;&gt;0"))</f>
        <v>15.7619996588435</v>
      </c>
    </row>
    <row r="382" spans="1:9">
      <c r="A382">
        <v>380</v>
      </c>
      <c r="B382">
        <v>100</v>
      </c>
      <c r="C382">
        <v>273</v>
      </c>
      <c r="D382">
        <v>233</v>
      </c>
      <c r="E382" s="4">
        <f t="shared" si="20"/>
        <v>0</v>
      </c>
      <c r="F382" s="4">
        <f t="shared" si="21"/>
        <v>173</v>
      </c>
      <c r="G382" s="4">
        <f t="shared" si="22"/>
        <v>2.9929000000000001</v>
      </c>
      <c r="H382" s="4">
        <f t="shared" si="23"/>
        <v>29929</v>
      </c>
      <c r="I382" s="5">
        <f>SQRT(SUM('p-native-multi'!$C$3:C382)/COUNTIF($A$3:A382,"&lt;&gt;0"))</f>
        <v>15.764049706782034</v>
      </c>
    </row>
    <row r="383" spans="1:9">
      <c r="A383">
        <v>381</v>
      </c>
      <c r="B383">
        <v>100</v>
      </c>
      <c r="C383">
        <v>279</v>
      </c>
      <c r="D383">
        <v>233</v>
      </c>
      <c r="E383" s="4">
        <f t="shared" si="20"/>
        <v>0</v>
      </c>
      <c r="F383" s="4">
        <f t="shared" si="21"/>
        <v>179</v>
      </c>
      <c r="G383" s="4">
        <f t="shared" si="22"/>
        <v>3.2040999999999999</v>
      </c>
      <c r="H383" s="4">
        <f t="shared" si="23"/>
        <v>32041</v>
      </c>
      <c r="I383" s="5">
        <f>SQRT(SUM('p-native-multi'!$C$3:C383)/COUNTIF($A$3:A383,"&lt;&gt;0"))</f>
        <v>15.766588148273245</v>
      </c>
    </row>
    <row r="384" spans="1:9">
      <c r="A384">
        <v>382</v>
      </c>
      <c r="B384">
        <v>100</v>
      </c>
      <c r="C384">
        <v>253</v>
      </c>
      <c r="D384">
        <v>233</v>
      </c>
      <c r="E384" s="4">
        <f t="shared" si="20"/>
        <v>0</v>
      </c>
      <c r="F384" s="4">
        <f t="shared" si="21"/>
        <v>153</v>
      </c>
      <c r="G384" s="4">
        <f t="shared" si="22"/>
        <v>2.3409</v>
      </c>
      <c r="H384" s="4">
        <f t="shared" si="23"/>
        <v>23409</v>
      </c>
      <c r="I384" s="5">
        <f>SQRT(SUM('p-native-multi'!$C$3:C384)/COUNTIF($A$3:A384,"&lt;&gt;0"))</f>
        <v>15.766954640600176</v>
      </c>
    </row>
    <row r="385" spans="1:9">
      <c r="A385">
        <v>383</v>
      </c>
      <c r="B385">
        <v>100</v>
      </c>
      <c r="C385">
        <v>233</v>
      </c>
      <c r="D385">
        <v>233</v>
      </c>
      <c r="E385" s="4">
        <f t="shared" si="20"/>
        <v>0</v>
      </c>
      <c r="F385" s="4">
        <f t="shared" si="21"/>
        <v>133</v>
      </c>
      <c r="G385" s="4">
        <f t="shared" si="22"/>
        <v>1.7689000000000001</v>
      </c>
      <c r="H385" s="4">
        <f t="shared" si="23"/>
        <v>17689</v>
      </c>
      <c r="I385" s="5">
        <f>SQRT(SUM('p-native-multi'!$C$3:C385)/COUNTIF($A$3:A385,"&lt;&gt;0"))</f>
        <v>15.765663188405206</v>
      </c>
    </row>
    <row r="386" spans="1:9">
      <c r="A386">
        <v>384</v>
      </c>
      <c r="B386">
        <v>100</v>
      </c>
      <c r="C386">
        <v>233</v>
      </c>
      <c r="D386">
        <v>233</v>
      </c>
      <c r="E386" s="4">
        <f t="shared" si="20"/>
        <v>0</v>
      </c>
      <c r="F386" s="4">
        <f t="shared" si="21"/>
        <v>133</v>
      </c>
      <c r="G386" s="4">
        <f t="shared" si="22"/>
        <v>1.7689000000000001</v>
      </c>
      <c r="H386" s="4">
        <f t="shared" si="23"/>
        <v>17689</v>
      </c>
      <c r="I386" s="5">
        <f>SQRT(SUM('p-native-multi'!$C$3:C386)/COUNTIF($A$3:A386,"&lt;&gt;0"))</f>
        <v>15.76437835755029</v>
      </c>
    </row>
    <row r="387" spans="1:9">
      <c r="A387">
        <v>385</v>
      </c>
      <c r="B387">
        <v>100</v>
      </c>
      <c r="C387">
        <v>233</v>
      </c>
      <c r="D387">
        <v>233</v>
      </c>
      <c r="E387" s="4">
        <f t="shared" si="20"/>
        <v>0</v>
      </c>
      <c r="F387" s="4">
        <f t="shared" si="21"/>
        <v>133</v>
      </c>
      <c r="G387" s="4">
        <f t="shared" si="22"/>
        <v>1.7689000000000001</v>
      </c>
      <c r="H387" s="4">
        <f t="shared" si="23"/>
        <v>17689</v>
      </c>
      <c r="I387" s="5">
        <f>SQRT(SUM('p-native-multi'!$C$3:C387)/COUNTIF($A$3:A387,"&lt;&gt;0"))</f>
        <v>15.763100097231023</v>
      </c>
    </row>
    <row r="388" spans="1:9">
      <c r="A388">
        <v>386</v>
      </c>
      <c r="B388">
        <v>100</v>
      </c>
      <c r="C388">
        <v>253</v>
      </c>
      <c r="D388">
        <v>233</v>
      </c>
      <c r="E388" s="4">
        <f t="shared" ref="E388:E451" si="24">IF(AND(C388&lt;=B388*1.2,C388&gt;=B388*0.8),1,0)</f>
        <v>0</v>
      </c>
      <c r="F388" s="4">
        <f t="shared" ref="F388:F451" si="25">ABS(B388-C388)</f>
        <v>153</v>
      </c>
      <c r="G388" s="4">
        <f t="shared" ref="G388:G451" si="26">POWER(ABS(B388-C388)/B388,2)</f>
        <v>2.3409</v>
      </c>
      <c r="H388" s="4">
        <f t="shared" ref="H388:H451" si="27">POWER(F388,2)</f>
        <v>23409</v>
      </c>
      <c r="I388" s="5">
        <f>SQRT(SUM('p-native-multi'!$C$3:C388)/COUNTIF($A$3:A388,"&lt;&gt;0"))</f>
        <v>15.763471909199584</v>
      </c>
    </row>
    <row r="389" spans="1:9">
      <c r="A389">
        <v>387</v>
      </c>
      <c r="B389">
        <v>100</v>
      </c>
      <c r="C389">
        <v>273</v>
      </c>
      <c r="D389">
        <v>233</v>
      </c>
      <c r="E389" s="4">
        <f t="shared" si="24"/>
        <v>0</v>
      </c>
      <c r="F389" s="4">
        <f t="shared" si="25"/>
        <v>173</v>
      </c>
      <c r="G389" s="4">
        <f t="shared" si="26"/>
        <v>2.9929000000000001</v>
      </c>
      <c r="H389" s="4">
        <f t="shared" si="27"/>
        <v>29929</v>
      </c>
      <c r="I389" s="5">
        <f>SQRT(SUM('p-native-multi'!$C$3:C389)/COUNTIF($A$3:A389,"&lt;&gt;0"))</f>
        <v>15.765480886953599</v>
      </c>
    </row>
    <row r="390" spans="1:9">
      <c r="A390">
        <v>388</v>
      </c>
      <c r="B390">
        <v>100</v>
      </c>
      <c r="C390">
        <v>233</v>
      </c>
      <c r="D390">
        <v>233</v>
      </c>
      <c r="E390" s="4">
        <f t="shared" si="24"/>
        <v>0</v>
      </c>
      <c r="F390" s="4">
        <f t="shared" si="25"/>
        <v>133</v>
      </c>
      <c r="G390" s="4">
        <f t="shared" si="26"/>
        <v>1.7689000000000001</v>
      </c>
      <c r="H390" s="4">
        <f t="shared" si="27"/>
        <v>17689</v>
      </c>
      <c r="I390" s="5">
        <f>SQRT(SUM('p-native-multi'!$C$3:C390)/COUNTIF($A$3:A390,"&lt;&gt;0"))</f>
        <v>15.764209757496584</v>
      </c>
    </row>
    <row r="391" spans="1:9">
      <c r="A391">
        <v>389</v>
      </c>
      <c r="B391">
        <v>100</v>
      </c>
      <c r="C391">
        <v>279</v>
      </c>
      <c r="D391">
        <v>233</v>
      </c>
      <c r="E391" s="4">
        <f t="shared" si="24"/>
        <v>0</v>
      </c>
      <c r="F391" s="4">
        <f t="shared" si="25"/>
        <v>179</v>
      </c>
      <c r="G391" s="4">
        <f t="shared" si="26"/>
        <v>3.2040999999999999</v>
      </c>
      <c r="H391" s="4">
        <f t="shared" si="27"/>
        <v>32041</v>
      </c>
      <c r="I391" s="5">
        <f>SQRT(SUM('p-native-multi'!$C$3:C391)/COUNTIF($A$3:A391,"&lt;&gt;0"))</f>
        <v>15.766695562038846</v>
      </c>
    </row>
    <row r="392" spans="1:9">
      <c r="A392">
        <v>390</v>
      </c>
      <c r="B392">
        <v>100</v>
      </c>
      <c r="C392">
        <v>253</v>
      </c>
      <c r="D392">
        <v>233</v>
      </c>
      <c r="E392" s="4">
        <f t="shared" si="24"/>
        <v>0</v>
      </c>
      <c r="F392" s="4">
        <f t="shared" si="25"/>
        <v>153</v>
      </c>
      <c r="G392" s="4">
        <f t="shared" si="26"/>
        <v>2.3409</v>
      </c>
      <c r="H392" s="4">
        <f t="shared" si="27"/>
        <v>23409</v>
      </c>
      <c r="I392" s="5">
        <f>SQRT(SUM('p-native-multi'!$C$3:C392)/COUNTIF($A$3:A392,"&lt;&gt;0"))</f>
        <v>15.767054258801801</v>
      </c>
    </row>
    <row r="393" spans="1:9">
      <c r="A393">
        <v>391</v>
      </c>
      <c r="B393">
        <v>100</v>
      </c>
      <c r="C393">
        <v>233</v>
      </c>
      <c r="D393">
        <v>233</v>
      </c>
      <c r="E393" s="4">
        <f t="shared" si="24"/>
        <v>0</v>
      </c>
      <c r="F393" s="4">
        <f t="shared" si="25"/>
        <v>133</v>
      </c>
      <c r="G393" s="4">
        <f t="shared" si="26"/>
        <v>1.7689000000000001</v>
      </c>
      <c r="H393" s="4">
        <f t="shared" si="27"/>
        <v>17689</v>
      </c>
      <c r="I393" s="5">
        <f>SQRT(SUM('p-native-multi'!$C$3:C393)/COUNTIF($A$3:A393,"&lt;&gt;0"))</f>
        <v>15.765788984436849</v>
      </c>
    </row>
    <row r="394" spans="1:9">
      <c r="A394">
        <v>392</v>
      </c>
      <c r="B394">
        <v>100</v>
      </c>
      <c r="C394">
        <v>253</v>
      </c>
      <c r="D394">
        <v>233</v>
      </c>
      <c r="E394" s="4">
        <f t="shared" si="24"/>
        <v>0</v>
      </c>
      <c r="F394" s="4">
        <f t="shared" si="25"/>
        <v>153</v>
      </c>
      <c r="G394" s="4">
        <f t="shared" si="26"/>
        <v>2.3409</v>
      </c>
      <c r="H394" s="4">
        <f t="shared" si="27"/>
        <v>23409</v>
      </c>
      <c r="I394" s="5">
        <f>SQRT(SUM('p-native-multi'!$C$3:C394)/COUNTIF($A$3:A394,"&lt;&gt;0"))</f>
        <v>15.766148184367308</v>
      </c>
    </row>
    <row r="395" spans="1:9">
      <c r="A395">
        <v>393</v>
      </c>
      <c r="B395">
        <v>100</v>
      </c>
      <c r="C395">
        <v>233</v>
      </c>
      <c r="D395">
        <v>233</v>
      </c>
      <c r="E395" s="4">
        <f t="shared" si="24"/>
        <v>0</v>
      </c>
      <c r="F395" s="4">
        <f t="shared" si="25"/>
        <v>133</v>
      </c>
      <c r="G395" s="4">
        <f t="shared" si="26"/>
        <v>1.7689000000000001</v>
      </c>
      <c r="H395" s="4">
        <f t="shared" si="27"/>
        <v>17689</v>
      </c>
      <c r="I395" s="5">
        <f>SQRT(SUM('p-native-multi'!$C$3:C395)/COUNTIF($A$3:A395,"&lt;&gt;0"))</f>
        <v>15.764891582747282</v>
      </c>
    </row>
    <row r="396" spans="1:9">
      <c r="A396">
        <v>394</v>
      </c>
      <c r="B396">
        <v>100</v>
      </c>
      <c r="C396">
        <v>273</v>
      </c>
      <c r="D396">
        <v>233</v>
      </c>
      <c r="E396" s="4">
        <f t="shared" si="24"/>
        <v>0</v>
      </c>
      <c r="F396" s="4">
        <f t="shared" si="25"/>
        <v>173</v>
      </c>
      <c r="G396" s="4">
        <f t="shared" si="26"/>
        <v>2.9929000000000001</v>
      </c>
      <c r="H396" s="4">
        <f t="shared" si="27"/>
        <v>29929</v>
      </c>
      <c r="I396" s="5">
        <f>SQRT(SUM('p-native-multi'!$C$3:C396)/COUNTIF($A$3:A396,"&lt;&gt;0"))</f>
        <v>15.766861089939292</v>
      </c>
    </row>
    <row r="397" spans="1:9">
      <c r="A397">
        <v>395</v>
      </c>
      <c r="B397">
        <v>100</v>
      </c>
      <c r="C397">
        <v>233</v>
      </c>
      <c r="D397">
        <v>233</v>
      </c>
      <c r="E397" s="4">
        <f t="shared" si="24"/>
        <v>0</v>
      </c>
      <c r="F397" s="4">
        <f t="shared" si="25"/>
        <v>133</v>
      </c>
      <c r="G397" s="4">
        <f t="shared" si="26"/>
        <v>1.7689000000000001</v>
      </c>
      <c r="H397" s="4">
        <f t="shared" si="27"/>
        <v>17689</v>
      </c>
      <c r="I397" s="5">
        <f>SQRT(SUM('p-native-multi'!$C$3:C397)/COUNTIF($A$3:A397,"&lt;&gt;0"))</f>
        <v>15.765609102719338</v>
      </c>
    </row>
    <row r="398" spans="1:9">
      <c r="A398">
        <v>396</v>
      </c>
      <c r="B398">
        <v>100</v>
      </c>
      <c r="C398">
        <v>233</v>
      </c>
      <c r="D398">
        <v>233</v>
      </c>
      <c r="E398" s="4">
        <f t="shared" si="24"/>
        <v>0</v>
      </c>
      <c r="F398" s="4">
        <f t="shared" si="25"/>
        <v>133</v>
      </c>
      <c r="G398" s="4">
        <f t="shared" si="26"/>
        <v>1.7689000000000001</v>
      </c>
      <c r="H398" s="4">
        <f t="shared" si="27"/>
        <v>17689</v>
      </c>
      <c r="I398" s="5">
        <f>SQRT(SUM('p-native-multi'!$C$3:C398)/COUNTIF($A$3:A398,"&lt;&gt;0"))</f>
        <v>15.764363339987806</v>
      </c>
    </row>
    <row r="399" spans="1:9">
      <c r="A399">
        <v>397</v>
      </c>
      <c r="B399">
        <v>100</v>
      </c>
      <c r="C399">
        <v>233</v>
      </c>
      <c r="D399">
        <v>233</v>
      </c>
      <c r="E399" s="4">
        <f t="shared" si="24"/>
        <v>0</v>
      </c>
      <c r="F399" s="4">
        <f t="shared" si="25"/>
        <v>133</v>
      </c>
      <c r="G399" s="4">
        <f t="shared" si="26"/>
        <v>1.7689000000000001</v>
      </c>
      <c r="H399" s="4">
        <f t="shared" si="27"/>
        <v>17689</v>
      </c>
      <c r="I399" s="5">
        <f>SQRT(SUM('p-native-multi'!$C$3:C399)/COUNTIF($A$3:A399,"&lt;&gt;0"))</f>
        <v>15.763123755428911</v>
      </c>
    </row>
    <row r="400" spans="1:9">
      <c r="A400">
        <v>398</v>
      </c>
      <c r="B400">
        <v>100</v>
      </c>
      <c r="C400">
        <v>233</v>
      </c>
      <c r="D400">
        <v>233</v>
      </c>
      <c r="E400" s="4">
        <f t="shared" si="24"/>
        <v>0</v>
      </c>
      <c r="F400" s="4">
        <f t="shared" si="25"/>
        <v>133</v>
      </c>
      <c r="G400" s="4">
        <f t="shared" si="26"/>
        <v>1.7689000000000001</v>
      </c>
      <c r="H400" s="4">
        <f t="shared" si="27"/>
        <v>17689</v>
      </c>
      <c r="I400" s="5">
        <f>SQRT(SUM('p-native-multi'!$C$3:C400)/COUNTIF($A$3:A400,"&lt;&gt;0"))</f>
        <v>15.761890303185346</v>
      </c>
    </row>
    <row r="401" spans="1:9">
      <c r="A401">
        <v>399</v>
      </c>
      <c r="B401">
        <v>100</v>
      </c>
      <c r="C401">
        <v>273</v>
      </c>
      <c r="D401">
        <v>233</v>
      </c>
      <c r="E401" s="4">
        <f t="shared" si="24"/>
        <v>0</v>
      </c>
      <c r="F401" s="4">
        <f t="shared" si="25"/>
        <v>173</v>
      </c>
      <c r="G401" s="4">
        <f t="shared" si="26"/>
        <v>2.9929000000000001</v>
      </c>
      <c r="H401" s="4">
        <f t="shared" si="27"/>
        <v>29929</v>
      </c>
      <c r="I401" s="5">
        <f>SQRT(SUM('p-native-multi'!$C$3:C401)/COUNTIF($A$3:A401,"&lt;&gt;0"))</f>
        <v>15.763843023424457</v>
      </c>
    </row>
    <row r="402" spans="1:9">
      <c r="A402">
        <v>400</v>
      </c>
      <c r="B402">
        <v>100</v>
      </c>
      <c r="C402">
        <v>233</v>
      </c>
      <c r="D402">
        <v>233</v>
      </c>
      <c r="E402" s="4">
        <f t="shared" si="24"/>
        <v>0</v>
      </c>
      <c r="F402" s="4">
        <f t="shared" si="25"/>
        <v>133</v>
      </c>
      <c r="G402" s="4">
        <f t="shared" si="26"/>
        <v>1.7689000000000001</v>
      </c>
      <c r="H402" s="4">
        <f t="shared" si="27"/>
        <v>17689</v>
      </c>
      <c r="I402" s="5">
        <f>SQRT(SUM('p-native-multi'!$C$3:C402)/COUNTIF($A$3:A402,"&lt;&gt;0"))</f>
        <v>15.762613996415697</v>
      </c>
    </row>
    <row r="403" spans="1:9">
      <c r="A403">
        <v>401</v>
      </c>
      <c r="B403">
        <v>100</v>
      </c>
      <c r="C403">
        <v>233</v>
      </c>
      <c r="D403">
        <v>233</v>
      </c>
      <c r="E403" s="4">
        <f t="shared" si="24"/>
        <v>0</v>
      </c>
      <c r="F403" s="4">
        <f t="shared" si="25"/>
        <v>133</v>
      </c>
      <c r="G403" s="4">
        <f t="shared" si="26"/>
        <v>1.7689000000000001</v>
      </c>
      <c r="H403" s="4">
        <f t="shared" si="27"/>
        <v>17689</v>
      </c>
      <c r="I403" s="5">
        <f>SQRT(SUM('p-native-multi'!$C$3:C403)/COUNTIF($A$3:A403,"&lt;&gt;0"))</f>
        <v>15.76139100409732</v>
      </c>
    </row>
    <row r="404" spans="1:9">
      <c r="A404">
        <v>402</v>
      </c>
      <c r="B404">
        <v>100</v>
      </c>
      <c r="C404">
        <v>279</v>
      </c>
      <c r="D404">
        <v>233</v>
      </c>
      <c r="E404" s="4">
        <f t="shared" si="24"/>
        <v>0</v>
      </c>
      <c r="F404" s="4">
        <f t="shared" si="25"/>
        <v>179</v>
      </c>
      <c r="G404" s="4">
        <f t="shared" si="26"/>
        <v>3.2040999999999999</v>
      </c>
      <c r="H404" s="4">
        <f t="shared" si="27"/>
        <v>32041</v>
      </c>
      <c r="I404" s="5">
        <f>SQRT(SUM('p-native-multi'!$C$3:C404)/COUNTIF($A$3:A404,"&lt;&gt;0"))</f>
        <v>15.763803869555437</v>
      </c>
    </row>
    <row r="405" spans="1:9">
      <c r="A405">
        <v>403</v>
      </c>
      <c r="B405">
        <v>100</v>
      </c>
      <c r="C405">
        <v>253</v>
      </c>
      <c r="D405">
        <v>233</v>
      </c>
      <c r="E405" s="4">
        <f t="shared" si="24"/>
        <v>0</v>
      </c>
      <c r="F405" s="4">
        <f t="shared" si="25"/>
        <v>153</v>
      </c>
      <c r="G405" s="4">
        <f t="shared" si="26"/>
        <v>2.3409</v>
      </c>
      <c r="H405" s="4">
        <f t="shared" si="27"/>
        <v>23409</v>
      </c>
      <c r="I405" s="5">
        <f>SQRT(SUM('p-native-multi'!$C$3:C405)/COUNTIF($A$3:A405,"&lt;&gt;0"))</f>
        <v>15.764158235171442</v>
      </c>
    </row>
    <row r="406" spans="1:9">
      <c r="A406">
        <v>404</v>
      </c>
      <c r="B406">
        <v>100</v>
      </c>
      <c r="C406">
        <v>233</v>
      </c>
      <c r="D406">
        <v>233</v>
      </c>
      <c r="E406" s="4">
        <f t="shared" si="24"/>
        <v>0</v>
      </c>
      <c r="F406" s="4">
        <f t="shared" si="25"/>
        <v>133</v>
      </c>
      <c r="G406" s="4">
        <f t="shared" si="26"/>
        <v>1.7689000000000001</v>
      </c>
      <c r="H406" s="4">
        <f t="shared" si="27"/>
        <v>17689</v>
      </c>
      <c r="I406" s="5">
        <f>SQRT(SUM('p-native-multi'!$C$3:C406)/COUNTIF($A$3:A406,"&lt;&gt;0"))</f>
        <v>15.762940621270607</v>
      </c>
    </row>
    <row r="407" spans="1:9">
      <c r="A407">
        <v>405</v>
      </c>
      <c r="B407">
        <v>100</v>
      </c>
      <c r="C407">
        <v>279</v>
      </c>
      <c r="D407">
        <v>233</v>
      </c>
      <c r="E407" s="4">
        <f t="shared" si="24"/>
        <v>0</v>
      </c>
      <c r="F407" s="4">
        <f t="shared" si="25"/>
        <v>179</v>
      </c>
      <c r="G407" s="4">
        <f t="shared" si="26"/>
        <v>3.2040999999999999</v>
      </c>
      <c r="H407" s="4">
        <f t="shared" si="27"/>
        <v>32041</v>
      </c>
      <c r="I407" s="5">
        <f>SQRT(SUM('p-native-multi'!$C$3:C407)/COUNTIF($A$3:A407,"&lt;&gt;0"))</f>
        <v>15.765331554152157</v>
      </c>
    </row>
    <row r="408" spans="1:9">
      <c r="A408">
        <v>406</v>
      </c>
      <c r="B408">
        <v>100</v>
      </c>
      <c r="C408">
        <v>253</v>
      </c>
      <c r="D408">
        <v>233</v>
      </c>
      <c r="E408" s="4">
        <f t="shared" si="24"/>
        <v>0</v>
      </c>
      <c r="F408" s="4">
        <f t="shared" si="25"/>
        <v>153</v>
      </c>
      <c r="G408" s="4">
        <f t="shared" si="26"/>
        <v>2.3409</v>
      </c>
      <c r="H408" s="4">
        <f t="shared" si="27"/>
        <v>23409</v>
      </c>
      <c r="I408" s="5">
        <f>SQRT(SUM('p-native-multi'!$C$3:C408)/COUNTIF($A$3:A408,"&lt;&gt;0"))</f>
        <v>15.765679504744012</v>
      </c>
    </row>
    <row r="409" spans="1:9">
      <c r="A409">
        <v>407</v>
      </c>
      <c r="B409">
        <v>100</v>
      </c>
      <c r="C409">
        <v>253</v>
      </c>
      <c r="D409">
        <v>233</v>
      </c>
      <c r="E409" s="4">
        <f t="shared" si="24"/>
        <v>0</v>
      </c>
      <c r="F409" s="4">
        <f t="shared" si="25"/>
        <v>153</v>
      </c>
      <c r="G409" s="4">
        <f t="shared" si="26"/>
        <v>2.3409</v>
      </c>
      <c r="H409" s="4">
        <f t="shared" si="27"/>
        <v>23409</v>
      </c>
      <c r="I409" s="5">
        <f>SQRT(SUM('p-native-multi'!$C$3:C409)/COUNTIF($A$3:A409,"&lt;&gt;0"))</f>
        <v>15.766025737882314</v>
      </c>
    </row>
    <row r="410" spans="1:9">
      <c r="A410">
        <v>408</v>
      </c>
      <c r="B410">
        <v>100</v>
      </c>
      <c r="C410">
        <v>273</v>
      </c>
      <c r="D410">
        <v>233</v>
      </c>
      <c r="E410" s="4">
        <f t="shared" si="24"/>
        <v>0</v>
      </c>
      <c r="F410" s="4">
        <f t="shared" si="25"/>
        <v>173</v>
      </c>
      <c r="G410" s="4">
        <f t="shared" si="26"/>
        <v>2.9929000000000001</v>
      </c>
      <c r="H410" s="4">
        <f t="shared" si="27"/>
        <v>29929</v>
      </c>
      <c r="I410" s="5">
        <f>SQRT(SUM('p-native-multi'!$C$3:C410)/COUNTIF($A$3:A410,"&lt;&gt;0"))</f>
        <v>15.767924751862312</v>
      </c>
    </row>
    <row r="411" spans="1:9">
      <c r="A411">
        <v>409</v>
      </c>
      <c r="B411">
        <v>100</v>
      </c>
      <c r="C411">
        <v>279</v>
      </c>
      <c r="D411">
        <v>233</v>
      </c>
      <c r="E411" s="4">
        <f t="shared" si="24"/>
        <v>0</v>
      </c>
      <c r="F411" s="4">
        <f t="shared" si="25"/>
        <v>179</v>
      </c>
      <c r="G411" s="4">
        <f t="shared" si="26"/>
        <v>3.2040999999999999</v>
      </c>
      <c r="H411" s="4">
        <f t="shared" si="27"/>
        <v>32041</v>
      </c>
      <c r="I411" s="5">
        <f>SQRT(SUM('p-native-multi'!$C$3:C411)/COUNTIF($A$3:A411,"&lt;&gt;0"))</f>
        <v>15.770279372650396</v>
      </c>
    </row>
    <row r="412" spans="1:9">
      <c r="A412">
        <v>410</v>
      </c>
      <c r="B412">
        <v>100</v>
      </c>
      <c r="C412">
        <v>273</v>
      </c>
      <c r="D412">
        <v>233</v>
      </c>
      <c r="E412" s="4">
        <f t="shared" si="24"/>
        <v>0</v>
      </c>
      <c r="F412" s="4">
        <f t="shared" si="25"/>
        <v>173</v>
      </c>
      <c r="G412" s="4">
        <f t="shared" si="26"/>
        <v>2.9929000000000001</v>
      </c>
      <c r="H412" s="4">
        <f t="shared" si="27"/>
        <v>29929</v>
      </c>
      <c r="I412" s="5">
        <f>SQRT(SUM('p-native-multi'!$C$3:C412)/COUNTIF($A$3:A412,"&lt;&gt;0"))</f>
        <v>15.772158241970439</v>
      </c>
    </row>
    <row r="413" spans="1:9">
      <c r="A413">
        <v>411</v>
      </c>
      <c r="B413">
        <v>100</v>
      </c>
      <c r="C413">
        <v>273</v>
      </c>
      <c r="D413">
        <v>233</v>
      </c>
      <c r="E413" s="4">
        <f t="shared" si="24"/>
        <v>0</v>
      </c>
      <c r="F413" s="4">
        <f t="shared" si="25"/>
        <v>173</v>
      </c>
      <c r="G413" s="4">
        <f t="shared" si="26"/>
        <v>2.9929000000000001</v>
      </c>
      <c r="H413" s="4">
        <f t="shared" si="27"/>
        <v>29929</v>
      </c>
      <c r="I413" s="5">
        <f>SQRT(SUM('p-native-multi'!$C$3:C413)/COUNTIF($A$3:A413,"&lt;&gt;0"))</f>
        <v>15.774027746209891</v>
      </c>
    </row>
    <row r="414" spans="1:9">
      <c r="A414">
        <v>412</v>
      </c>
      <c r="B414">
        <v>100</v>
      </c>
      <c r="C414">
        <v>279</v>
      </c>
      <c r="D414">
        <v>233</v>
      </c>
      <c r="E414" s="4">
        <f t="shared" si="24"/>
        <v>0</v>
      </c>
      <c r="F414" s="4">
        <f t="shared" si="25"/>
        <v>179</v>
      </c>
      <c r="G414" s="4">
        <f t="shared" si="26"/>
        <v>3.2040999999999999</v>
      </c>
      <c r="H414" s="4">
        <f t="shared" si="27"/>
        <v>32041</v>
      </c>
      <c r="I414" s="5">
        <f>SQRT(SUM('p-native-multi'!$C$3:C414)/COUNTIF($A$3:A414,"&lt;&gt;0"))</f>
        <v>15.776349510691475</v>
      </c>
    </row>
    <row r="415" spans="1:9">
      <c r="A415">
        <v>413</v>
      </c>
      <c r="B415">
        <v>100</v>
      </c>
      <c r="C415">
        <v>279</v>
      </c>
      <c r="D415">
        <v>233</v>
      </c>
      <c r="E415" s="4">
        <f t="shared" si="24"/>
        <v>0</v>
      </c>
      <c r="F415" s="4">
        <f t="shared" si="25"/>
        <v>179</v>
      </c>
      <c r="G415" s="4">
        <f t="shared" si="26"/>
        <v>3.2040999999999999</v>
      </c>
      <c r="H415" s="4">
        <f t="shared" si="27"/>
        <v>32041</v>
      </c>
      <c r="I415" s="5">
        <f>SQRT(SUM('p-native-multi'!$C$3:C415)/COUNTIF($A$3:A415,"&lt;&gt;0"))</f>
        <v>15.778659692601121</v>
      </c>
    </row>
    <row r="416" spans="1:9">
      <c r="A416">
        <v>414</v>
      </c>
      <c r="B416">
        <v>100</v>
      </c>
      <c r="C416">
        <v>233</v>
      </c>
      <c r="D416">
        <v>233</v>
      </c>
      <c r="E416" s="4">
        <f t="shared" si="24"/>
        <v>0</v>
      </c>
      <c r="F416" s="4">
        <f t="shared" si="25"/>
        <v>133</v>
      </c>
      <c r="G416" s="4">
        <f t="shared" si="26"/>
        <v>1.7689000000000001</v>
      </c>
      <c r="H416" s="4">
        <f t="shared" si="27"/>
        <v>17689</v>
      </c>
      <c r="I416" s="5">
        <f>SQRT(SUM('p-native-multi'!$C$3:C416)/COUNTIF($A$3:A416,"&lt;&gt;0"))</f>
        <v>15.777437568625777</v>
      </c>
    </row>
    <row r="417" spans="1:9">
      <c r="A417">
        <v>415</v>
      </c>
      <c r="B417">
        <v>100</v>
      </c>
      <c r="C417">
        <v>253</v>
      </c>
      <c r="D417">
        <v>233</v>
      </c>
      <c r="E417" s="4">
        <f t="shared" si="24"/>
        <v>0</v>
      </c>
      <c r="F417" s="4">
        <f t="shared" si="25"/>
        <v>153</v>
      </c>
      <c r="G417" s="4">
        <f t="shared" si="26"/>
        <v>2.3409</v>
      </c>
      <c r="H417" s="4">
        <f t="shared" si="27"/>
        <v>23409</v>
      </c>
      <c r="I417" s="5">
        <f>SQRT(SUM('p-native-multi'!$C$3:C417)/COUNTIF($A$3:A417,"&lt;&gt;0"))</f>
        <v>15.777748552869967</v>
      </c>
    </row>
    <row r="418" spans="1:9">
      <c r="A418">
        <v>416</v>
      </c>
      <c r="B418">
        <v>100</v>
      </c>
      <c r="C418">
        <v>253</v>
      </c>
      <c r="D418">
        <v>233</v>
      </c>
      <c r="E418" s="4">
        <f t="shared" si="24"/>
        <v>0</v>
      </c>
      <c r="F418" s="4">
        <f t="shared" si="25"/>
        <v>153</v>
      </c>
      <c r="G418" s="4">
        <f t="shared" si="26"/>
        <v>2.3409</v>
      </c>
      <c r="H418" s="4">
        <f t="shared" si="27"/>
        <v>23409</v>
      </c>
      <c r="I418" s="5">
        <f>SQRT(SUM('p-native-multi'!$C$3:C418)/COUNTIF($A$3:A418,"&lt;&gt;0"))</f>
        <v>15.778058035912258</v>
      </c>
    </row>
    <row r="419" spans="1:9">
      <c r="A419">
        <v>417</v>
      </c>
      <c r="B419">
        <v>100</v>
      </c>
      <c r="C419">
        <v>253</v>
      </c>
      <c r="D419">
        <v>233</v>
      </c>
      <c r="E419" s="4">
        <f t="shared" si="24"/>
        <v>0</v>
      </c>
      <c r="F419" s="4">
        <f t="shared" si="25"/>
        <v>153</v>
      </c>
      <c r="G419" s="4">
        <f t="shared" si="26"/>
        <v>2.3409</v>
      </c>
      <c r="H419" s="4">
        <f t="shared" si="27"/>
        <v>23409</v>
      </c>
      <c r="I419" s="5">
        <f>SQRT(SUM('p-native-multi'!$C$3:C419)/COUNTIF($A$3:A419,"&lt;&gt;0"))</f>
        <v>15.778366028596691</v>
      </c>
    </row>
    <row r="420" spans="1:9">
      <c r="A420">
        <v>418</v>
      </c>
      <c r="B420">
        <v>100</v>
      </c>
      <c r="C420">
        <v>253</v>
      </c>
      <c r="D420">
        <v>233</v>
      </c>
      <c r="E420" s="4">
        <f t="shared" si="24"/>
        <v>0</v>
      </c>
      <c r="F420" s="4">
        <f t="shared" si="25"/>
        <v>153</v>
      </c>
      <c r="G420" s="4">
        <f t="shared" si="26"/>
        <v>2.3409</v>
      </c>
      <c r="H420" s="4">
        <f t="shared" si="27"/>
        <v>23409</v>
      </c>
      <c r="I420" s="5">
        <f>SQRT(SUM('p-native-multi'!$C$3:C420)/COUNTIF($A$3:A420,"&lt;&gt;0"))</f>
        <v>15.778672541663113</v>
      </c>
    </row>
    <row r="421" spans="1:9">
      <c r="A421">
        <v>419</v>
      </c>
      <c r="B421">
        <v>100</v>
      </c>
      <c r="C421">
        <v>273</v>
      </c>
      <c r="D421">
        <v>233</v>
      </c>
      <c r="E421" s="4">
        <f t="shared" si="24"/>
        <v>0</v>
      </c>
      <c r="F421" s="4">
        <f t="shared" si="25"/>
        <v>173</v>
      </c>
      <c r="G421" s="4">
        <f t="shared" si="26"/>
        <v>2.9929000000000001</v>
      </c>
      <c r="H421" s="4">
        <f t="shared" si="27"/>
        <v>29929</v>
      </c>
      <c r="I421" s="5">
        <f>SQRT(SUM('p-native-multi'!$C$3:C421)/COUNTIF($A$3:A421,"&lt;&gt;0"))</f>
        <v>15.780490054128505</v>
      </c>
    </row>
    <row r="422" spans="1:9">
      <c r="A422">
        <v>420</v>
      </c>
      <c r="B422">
        <v>100</v>
      </c>
      <c r="C422">
        <v>253</v>
      </c>
      <c r="D422">
        <v>233</v>
      </c>
      <c r="E422" s="4">
        <f t="shared" si="24"/>
        <v>0</v>
      </c>
      <c r="F422" s="4">
        <f t="shared" si="25"/>
        <v>153</v>
      </c>
      <c r="G422" s="4">
        <f t="shared" si="26"/>
        <v>2.3409</v>
      </c>
      <c r="H422" s="4">
        <f t="shared" si="27"/>
        <v>23409</v>
      </c>
      <c r="I422" s="5">
        <f>SQRT(SUM('p-native-multi'!$C$3:C422)/COUNTIF($A$3:A422,"&lt;&gt;0"))</f>
        <v>15.780790009797776</v>
      </c>
    </row>
    <row r="423" spans="1:9">
      <c r="A423">
        <v>421</v>
      </c>
      <c r="B423">
        <v>100</v>
      </c>
      <c r="C423">
        <v>253</v>
      </c>
      <c r="D423">
        <v>233</v>
      </c>
      <c r="E423" s="4">
        <f t="shared" si="24"/>
        <v>0</v>
      </c>
      <c r="F423" s="4">
        <f t="shared" si="25"/>
        <v>153</v>
      </c>
      <c r="G423" s="4">
        <f t="shared" si="26"/>
        <v>2.3409</v>
      </c>
      <c r="H423" s="4">
        <f t="shared" si="27"/>
        <v>23409</v>
      </c>
      <c r="I423" s="5">
        <f>SQRT(SUM('p-native-multi'!$C$3:C423)/COUNTIF($A$3:A423,"&lt;&gt;0"))</f>
        <v>15.781088534838718</v>
      </c>
    </row>
    <row r="424" spans="1:9">
      <c r="A424">
        <v>422</v>
      </c>
      <c r="B424">
        <v>100</v>
      </c>
      <c r="C424">
        <v>253</v>
      </c>
      <c r="D424">
        <v>233</v>
      </c>
      <c r="E424" s="4">
        <f t="shared" si="24"/>
        <v>0</v>
      </c>
      <c r="F424" s="4">
        <f t="shared" si="25"/>
        <v>153</v>
      </c>
      <c r="G424" s="4">
        <f t="shared" si="26"/>
        <v>2.3409</v>
      </c>
      <c r="H424" s="4">
        <f t="shared" si="27"/>
        <v>23409</v>
      </c>
      <c r="I424" s="5">
        <f>SQRT(SUM('p-native-multi'!$C$3:C424)/COUNTIF($A$3:A424,"&lt;&gt;0"))</f>
        <v>15.781385639462139</v>
      </c>
    </row>
    <row r="425" spans="1:9">
      <c r="A425">
        <v>423</v>
      </c>
      <c r="B425">
        <v>100</v>
      </c>
      <c r="C425">
        <v>253</v>
      </c>
      <c r="D425">
        <v>233</v>
      </c>
      <c r="E425" s="4">
        <f t="shared" si="24"/>
        <v>0</v>
      </c>
      <c r="F425" s="4">
        <f t="shared" si="25"/>
        <v>153</v>
      </c>
      <c r="G425" s="4">
        <f t="shared" si="26"/>
        <v>2.3409</v>
      </c>
      <c r="H425" s="4">
        <f t="shared" si="27"/>
        <v>23409</v>
      </c>
      <c r="I425" s="5">
        <f>SQRT(SUM('p-native-multi'!$C$3:C425)/COUNTIF($A$3:A425,"&lt;&gt;0"))</f>
        <v>15.781681333781904</v>
      </c>
    </row>
    <row r="426" spans="1:9">
      <c r="A426">
        <v>424</v>
      </c>
      <c r="B426">
        <v>100</v>
      </c>
      <c r="C426">
        <v>273</v>
      </c>
      <c r="D426">
        <v>233</v>
      </c>
      <c r="E426" s="4">
        <f t="shared" si="24"/>
        <v>0</v>
      </c>
      <c r="F426" s="4">
        <f t="shared" si="25"/>
        <v>173</v>
      </c>
      <c r="G426" s="4">
        <f t="shared" si="26"/>
        <v>2.9929000000000001</v>
      </c>
      <c r="H426" s="4">
        <f t="shared" si="27"/>
        <v>29929</v>
      </c>
      <c r="I426" s="5">
        <f>SQRT(SUM('p-native-multi'!$C$3:C426)/COUNTIF($A$3:A426,"&lt;&gt;0"))</f>
        <v>15.78346997742581</v>
      </c>
    </row>
    <row r="427" spans="1:9">
      <c r="A427">
        <v>425</v>
      </c>
      <c r="B427">
        <v>100</v>
      </c>
      <c r="C427">
        <v>273</v>
      </c>
      <c r="D427">
        <v>233</v>
      </c>
      <c r="E427" s="4">
        <f t="shared" si="24"/>
        <v>0</v>
      </c>
      <c r="F427" s="4">
        <f t="shared" si="25"/>
        <v>173</v>
      </c>
      <c r="G427" s="4">
        <f t="shared" si="26"/>
        <v>2.9929000000000001</v>
      </c>
      <c r="H427" s="4">
        <f t="shared" si="27"/>
        <v>29929</v>
      </c>
      <c r="I427" s="5">
        <f>SQRT(SUM('p-native-multi'!$C$3:C427)/COUNTIF($A$3:A427,"&lt;&gt;0"))</f>
        <v>15.785250002678413</v>
      </c>
    </row>
    <row r="428" spans="1:9">
      <c r="A428">
        <v>426</v>
      </c>
      <c r="B428">
        <v>100</v>
      </c>
      <c r="C428">
        <v>273</v>
      </c>
      <c r="D428">
        <v>233</v>
      </c>
      <c r="E428" s="4">
        <f t="shared" si="24"/>
        <v>0</v>
      </c>
      <c r="F428" s="4">
        <f t="shared" si="25"/>
        <v>173</v>
      </c>
      <c r="G428" s="4">
        <f t="shared" si="26"/>
        <v>2.9929000000000001</v>
      </c>
      <c r="H428" s="4">
        <f t="shared" si="27"/>
        <v>29929</v>
      </c>
      <c r="I428" s="5">
        <f>SQRT(SUM('p-native-multi'!$C$3:C428)/COUNTIF($A$3:A428,"&lt;&gt;0"))</f>
        <v>15.787021471713935</v>
      </c>
    </row>
    <row r="429" spans="1:9">
      <c r="A429">
        <v>427</v>
      </c>
      <c r="B429">
        <v>100</v>
      </c>
      <c r="C429">
        <v>233</v>
      </c>
      <c r="D429">
        <v>233</v>
      </c>
      <c r="E429" s="4">
        <f t="shared" si="24"/>
        <v>0</v>
      </c>
      <c r="F429" s="4">
        <f t="shared" si="25"/>
        <v>133</v>
      </c>
      <c r="G429" s="4">
        <f t="shared" si="26"/>
        <v>1.7689000000000001</v>
      </c>
      <c r="H429" s="4">
        <f t="shared" si="27"/>
        <v>17689</v>
      </c>
      <c r="I429" s="5">
        <f>SQRT(SUM('p-native-multi'!$C$3:C429)/COUNTIF($A$3:A429,"&lt;&gt;0"))</f>
        <v>15.785817605392696</v>
      </c>
    </row>
    <row r="430" spans="1:9">
      <c r="A430">
        <v>428</v>
      </c>
      <c r="B430">
        <v>100</v>
      </c>
      <c r="C430">
        <v>233</v>
      </c>
      <c r="D430">
        <v>233</v>
      </c>
      <c r="E430" s="4">
        <f t="shared" si="24"/>
        <v>0</v>
      </c>
      <c r="F430" s="4">
        <f t="shared" si="25"/>
        <v>133</v>
      </c>
      <c r="G430" s="4">
        <f t="shared" si="26"/>
        <v>1.7689000000000001</v>
      </c>
      <c r="H430" s="4">
        <f t="shared" si="27"/>
        <v>17689</v>
      </c>
      <c r="I430" s="5">
        <f>SQRT(SUM('p-native-multi'!$C$3:C430)/COUNTIF($A$3:A430,"&lt;&gt;0"))</f>
        <v>15.784619273440732</v>
      </c>
    </row>
    <row r="431" spans="1:9">
      <c r="A431">
        <v>429</v>
      </c>
      <c r="B431">
        <v>100</v>
      </c>
      <c r="C431">
        <v>279</v>
      </c>
      <c r="D431">
        <v>233</v>
      </c>
      <c r="E431" s="4">
        <f t="shared" si="24"/>
        <v>0</v>
      </c>
      <c r="F431" s="4">
        <f t="shared" si="25"/>
        <v>179</v>
      </c>
      <c r="G431" s="4">
        <f t="shared" si="26"/>
        <v>3.2040999999999999</v>
      </c>
      <c r="H431" s="4">
        <f t="shared" si="27"/>
        <v>32041</v>
      </c>
      <c r="I431" s="5">
        <f>SQRT(SUM('p-native-multi'!$C$3:C431)/COUNTIF($A$3:A431,"&lt;&gt;0"))</f>
        <v>15.786822866675113</v>
      </c>
    </row>
    <row r="432" spans="1:9">
      <c r="A432">
        <v>430</v>
      </c>
      <c r="B432">
        <v>100</v>
      </c>
      <c r="C432">
        <v>253</v>
      </c>
      <c r="D432">
        <v>233</v>
      </c>
      <c r="E432" s="4">
        <f t="shared" si="24"/>
        <v>0</v>
      </c>
      <c r="F432" s="4">
        <f t="shared" si="25"/>
        <v>153</v>
      </c>
      <c r="G432" s="4">
        <f t="shared" si="26"/>
        <v>2.3409</v>
      </c>
      <c r="H432" s="4">
        <f t="shared" si="27"/>
        <v>23409</v>
      </c>
      <c r="I432" s="5">
        <f>SQRT(SUM('p-native-multi'!$C$3:C432)/COUNTIF($A$3:A432,"&lt;&gt;0"))</f>
        <v>15.787101004919645</v>
      </c>
    </row>
    <row r="433" spans="1:9">
      <c r="A433">
        <v>431</v>
      </c>
      <c r="B433">
        <v>100</v>
      </c>
      <c r="C433">
        <v>273</v>
      </c>
      <c r="D433">
        <v>233</v>
      </c>
      <c r="E433" s="4">
        <f t="shared" si="24"/>
        <v>0</v>
      </c>
      <c r="F433" s="4">
        <f t="shared" si="25"/>
        <v>173</v>
      </c>
      <c r="G433" s="4">
        <f t="shared" si="26"/>
        <v>2.9929000000000001</v>
      </c>
      <c r="H433" s="4">
        <f t="shared" si="27"/>
        <v>29929</v>
      </c>
      <c r="I433" s="5">
        <f>SQRT(SUM('p-native-multi'!$C$3:C433)/COUNTIF($A$3:A433,"&lt;&gt;0"))</f>
        <v>15.788847425199894</v>
      </c>
    </row>
    <row r="434" spans="1:9">
      <c r="A434">
        <v>432</v>
      </c>
      <c r="B434">
        <v>100</v>
      </c>
      <c r="C434">
        <v>273</v>
      </c>
      <c r="D434">
        <v>233</v>
      </c>
      <c r="E434" s="4">
        <f t="shared" si="24"/>
        <v>0</v>
      </c>
      <c r="F434" s="4">
        <f t="shared" si="25"/>
        <v>173</v>
      </c>
      <c r="G434" s="4">
        <f t="shared" si="26"/>
        <v>2.9929000000000001</v>
      </c>
      <c r="H434" s="4">
        <f t="shared" si="27"/>
        <v>29929</v>
      </c>
      <c r="I434" s="5">
        <f>SQRT(SUM('p-native-multi'!$C$3:C434)/COUNTIF($A$3:A434,"&lt;&gt;0"))</f>
        <v>15.790585568388291</v>
      </c>
    </row>
    <row r="435" spans="1:9">
      <c r="A435">
        <v>433</v>
      </c>
      <c r="B435">
        <v>100</v>
      </c>
      <c r="C435">
        <v>253</v>
      </c>
      <c r="D435">
        <v>233</v>
      </c>
      <c r="E435" s="4">
        <f t="shared" si="24"/>
        <v>0</v>
      </c>
      <c r="F435" s="4">
        <f t="shared" si="25"/>
        <v>153</v>
      </c>
      <c r="G435" s="4">
        <f t="shared" si="26"/>
        <v>2.3409</v>
      </c>
      <c r="H435" s="4">
        <f t="shared" si="27"/>
        <v>23409</v>
      </c>
      <c r="I435" s="5">
        <f>SQRT(SUM('p-native-multi'!$C$3:C435)/COUNTIF($A$3:A435,"&lt;&gt;0"))</f>
        <v>15.790853025120903</v>
      </c>
    </row>
    <row r="436" spans="1:9">
      <c r="A436">
        <v>434</v>
      </c>
      <c r="B436">
        <v>100</v>
      </c>
      <c r="C436">
        <v>273</v>
      </c>
      <c r="D436">
        <v>233</v>
      </c>
      <c r="E436" s="4">
        <f t="shared" si="24"/>
        <v>0</v>
      </c>
      <c r="F436" s="4">
        <f t="shared" si="25"/>
        <v>173</v>
      </c>
      <c r="G436" s="4">
        <f t="shared" si="26"/>
        <v>2.9929000000000001</v>
      </c>
      <c r="H436" s="4">
        <f t="shared" si="27"/>
        <v>29929</v>
      </c>
      <c r="I436" s="5">
        <f>SQRT(SUM('p-native-multi'!$C$3:C436)/COUNTIF($A$3:A436,"&lt;&gt;0"))</f>
        <v>15.792578318752041</v>
      </c>
    </row>
    <row r="437" spans="1:9">
      <c r="A437">
        <v>435</v>
      </c>
      <c r="B437">
        <v>100</v>
      </c>
      <c r="C437">
        <v>279</v>
      </c>
      <c r="D437">
        <v>233</v>
      </c>
      <c r="E437" s="4">
        <f t="shared" si="24"/>
        <v>0</v>
      </c>
      <c r="F437" s="4">
        <f t="shared" si="25"/>
        <v>179</v>
      </c>
      <c r="G437" s="4">
        <f t="shared" si="26"/>
        <v>3.2040999999999999</v>
      </c>
      <c r="H437" s="4">
        <f t="shared" si="27"/>
        <v>32041</v>
      </c>
      <c r="I437" s="5">
        <f>SQRT(SUM('p-native-multi'!$C$3:C437)/COUNTIF($A$3:A437,"&lt;&gt;0"))</f>
        <v>15.794732135062969</v>
      </c>
    </row>
    <row r="438" spans="1:9">
      <c r="A438">
        <v>436</v>
      </c>
      <c r="B438">
        <v>100</v>
      </c>
      <c r="C438">
        <v>273</v>
      </c>
      <c r="D438">
        <v>233</v>
      </c>
      <c r="E438" s="4">
        <f t="shared" si="24"/>
        <v>0</v>
      </c>
      <c r="F438" s="4">
        <f t="shared" si="25"/>
        <v>173</v>
      </c>
      <c r="G438" s="4">
        <f t="shared" si="26"/>
        <v>2.9929000000000001</v>
      </c>
      <c r="H438" s="4">
        <f t="shared" si="27"/>
        <v>29929</v>
      </c>
      <c r="I438" s="5">
        <f>SQRT(SUM('p-native-multi'!$C$3:C438)/COUNTIF($A$3:A438,"&lt;&gt;0"))</f>
        <v>15.796440198214906</v>
      </c>
    </row>
    <row r="439" spans="1:9">
      <c r="A439">
        <v>437</v>
      </c>
      <c r="B439">
        <v>100</v>
      </c>
      <c r="C439">
        <v>233</v>
      </c>
      <c r="D439">
        <v>233</v>
      </c>
      <c r="E439" s="4">
        <f t="shared" si="24"/>
        <v>0</v>
      </c>
      <c r="F439" s="4">
        <f t="shared" si="25"/>
        <v>133</v>
      </c>
      <c r="G439" s="4">
        <f t="shared" si="26"/>
        <v>1.7689000000000001</v>
      </c>
      <c r="H439" s="4">
        <f t="shared" si="27"/>
        <v>17689</v>
      </c>
      <c r="I439" s="5">
        <f>SQRT(SUM('p-native-multi'!$C$3:C439)/COUNTIF($A$3:A439,"&lt;&gt;0"))</f>
        <v>15.795243034444342</v>
      </c>
    </row>
    <row r="440" spans="1:9">
      <c r="A440">
        <v>438</v>
      </c>
      <c r="B440">
        <v>100</v>
      </c>
      <c r="C440">
        <v>233</v>
      </c>
      <c r="D440">
        <v>233</v>
      </c>
      <c r="E440" s="4">
        <f t="shared" si="24"/>
        <v>0</v>
      </c>
      <c r="F440" s="4">
        <f t="shared" si="25"/>
        <v>133</v>
      </c>
      <c r="G440" s="4">
        <f t="shared" si="26"/>
        <v>1.7689000000000001</v>
      </c>
      <c r="H440" s="4">
        <f t="shared" si="27"/>
        <v>17689</v>
      </c>
      <c r="I440" s="5">
        <f>SQRT(SUM('p-native-multi'!$C$3:C440)/COUNTIF($A$3:A440,"&lt;&gt;0"))</f>
        <v>15.794051247052497</v>
      </c>
    </row>
    <row r="441" spans="1:9">
      <c r="A441">
        <v>439</v>
      </c>
      <c r="B441">
        <v>100</v>
      </c>
      <c r="C441">
        <v>233</v>
      </c>
      <c r="D441">
        <v>233</v>
      </c>
      <c r="E441" s="4">
        <f t="shared" si="24"/>
        <v>0</v>
      </c>
      <c r="F441" s="4">
        <f t="shared" si="25"/>
        <v>133</v>
      </c>
      <c r="G441" s="4">
        <f t="shared" si="26"/>
        <v>1.7689000000000001</v>
      </c>
      <c r="H441" s="4">
        <f t="shared" si="27"/>
        <v>17689</v>
      </c>
      <c r="I441" s="5">
        <f>SQRT(SUM('p-native-multi'!$C$3:C441)/COUNTIF($A$3:A441,"&lt;&gt;0"))</f>
        <v>15.792864799892998</v>
      </c>
    </row>
    <row r="442" spans="1:9">
      <c r="A442">
        <v>440</v>
      </c>
      <c r="B442">
        <v>100</v>
      </c>
      <c r="C442">
        <v>273</v>
      </c>
      <c r="D442">
        <v>233</v>
      </c>
      <c r="E442" s="4">
        <f t="shared" si="24"/>
        <v>0</v>
      </c>
      <c r="F442" s="4">
        <f t="shared" si="25"/>
        <v>173</v>
      </c>
      <c r="G442" s="4">
        <f t="shared" si="26"/>
        <v>2.9929000000000001</v>
      </c>
      <c r="H442" s="4">
        <f t="shared" si="27"/>
        <v>29929</v>
      </c>
      <c r="I442" s="5">
        <f>SQRT(SUM('p-native-multi'!$C$3:C442)/COUNTIF($A$3:A442,"&lt;&gt;0"))</f>
        <v>15.794561779871634</v>
      </c>
    </row>
    <row r="443" spans="1:9">
      <c r="A443">
        <v>441</v>
      </c>
      <c r="B443">
        <v>100</v>
      </c>
      <c r="C443">
        <v>233</v>
      </c>
      <c r="D443">
        <v>233</v>
      </c>
      <c r="E443" s="4">
        <f t="shared" si="24"/>
        <v>0</v>
      </c>
      <c r="F443" s="4">
        <f t="shared" si="25"/>
        <v>133</v>
      </c>
      <c r="G443" s="4">
        <f t="shared" si="26"/>
        <v>1.7689000000000001</v>
      </c>
      <c r="H443" s="4">
        <f t="shared" si="27"/>
        <v>17689</v>
      </c>
      <c r="I443" s="5">
        <f>SQRT(SUM('p-native-multi'!$C$3:C443)/COUNTIF($A$3:A443,"&lt;&gt;0"))</f>
        <v>15.793379594066229</v>
      </c>
    </row>
    <row r="444" spans="1:9">
      <c r="A444">
        <v>442</v>
      </c>
      <c r="B444">
        <v>100</v>
      </c>
      <c r="C444">
        <v>233</v>
      </c>
      <c r="D444">
        <v>233</v>
      </c>
      <c r="E444" s="4">
        <f t="shared" si="24"/>
        <v>0</v>
      </c>
      <c r="F444" s="4">
        <f t="shared" si="25"/>
        <v>133</v>
      </c>
      <c r="G444" s="4">
        <f t="shared" si="26"/>
        <v>1.7689000000000001</v>
      </c>
      <c r="H444" s="4">
        <f t="shared" si="27"/>
        <v>17689</v>
      </c>
      <c r="I444" s="5">
        <f>SQRT(SUM('p-native-multi'!$C$3:C444)/COUNTIF($A$3:A444,"&lt;&gt;0"))</f>
        <v>15.79220266962057</v>
      </c>
    </row>
    <row r="445" spans="1:9">
      <c r="A445">
        <v>443</v>
      </c>
      <c r="B445">
        <v>100</v>
      </c>
      <c r="C445">
        <v>279</v>
      </c>
      <c r="D445">
        <v>233</v>
      </c>
      <c r="E445" s="4">
        <f t="shared" si="24"/>
        <v>0</v>
      </c>
      <c r="F445" s="4">
        <f t="shared" si="25"/>
        <v>179</v>
      </c>
      <c r="G445" s="4">
        <f t="shared" si="26"/>
        <v>3.2040999999999999</v>
      </c>
      <c r="H445" s="4">
        <f t="shared" si="27"/>
        <v>32041</v>
      </c>
      <c r="I445" s="5">
        <f>SQRT(SUM('p-native-multi'!$C$3:C445)/COUNTIF($A$3:A445,"&lt;&gt;0"))</f>
        <v>15.794318491596764</v>
      </c>
    </row>
    <row r="446" spans="1:9">
      <c r="A446">
        <v>444</v>
      </c>
      <c r="B446">
        <v>100</v>
      </c>
      <c r="C446">
        <v>253</v>
      </c>
      <c r="D446">
        <v>233</v>
      </c>
      <c r="E446" s="4">
        <f t="shared" si="24"/>
        <v>0</v>
      </c>
      <c r="F446" s="4">
        <f t="shared" si="25"/>
        <v>153</v>
      </c>
      <c r="G446" s="4">
        <f t="shared" si="26"/>
        <v>2.3409</v>
      </c>
      <c r="H446" s="4">
        <f t="shared" si="27"/>
        <v>23409</v>
      </c>
      <c r="I446" s="5">
        <f>SQRT(SUM('p-native-multi'!$C$3:C446)/COUNTIF($A$3:A446,"&lt;&gt;0"))</f>
        <v>15.794570854203936</v>
      </c>
    </row>
    <row r="447" spans="1:9">
      <c r="A447">
        <v>445</v>
      </c>
      <c r="B447">
        <v>100</v>
      </c>
      <c r="C447">
        <v>233</v>
      </c>
      <c r="D447">
        <v>233</v>
      </c>
      <c r="E447" s="4">
        <f t="shared" si="24"/>
        <v>0</v>
      </c>
      <c r="F447" s="4">
        <f t="shared" si="25"/>
        <v>133</v>
      </c>
      <c r="G447" s="4">
        <f t="shared" si="26"/>
        <v>1.7689000000000001</v>
      </c>
      <c r="H447" s="4">
        <f t="shared" si="27"/>
        <v>17689</v>
      </c>
      <c r="I447" s="5">
        <f>SQRT(SUM('p-native-multi'!$C$3:C447)/COUNTIF($A$3:A447,"&lt;&gt;0"))</f>
        <v>15.7933992754618</v>
      </c>
    </row>
    <row r="448" spans="1:9">
      <c r="A448">
        <v>446</v>
      </c>
      <c r="B448">
        <v>100</v>
      </c>
      <c r="C448">
        <v>273</v>
      </c>
      <c r="D448">
        <v>233</v>
      </c>
      <c r="E448" s="4">
        <f t="shared" si="24"/>
        <v>0</v>
      </c>
      <c r="F448" s="4">
        <f t="shared" si="25"/>
        <v>173</v>
      </c>
      <c r="G448" s="4">
        <f t="shared" si="26"/>
        <v>2.9929000000000001</v>
      </c>
      <c r="H448" s="4">
        <f t="shared" si="27"/>
        <v>29929</v>
      </c>
      <c r="I448" s="5">
        <f>SQRT(SUM('p-native-multi'!$C$3:C448)/COUNTIF($A$3:A448,"&lt;&gt;0"))</f>
        <v>15.795072172444652</v>
      </c>
    </row>
    <row r="449" spans="1:9">
      <c r="A449">
        <v>447</v>
      </c>
      <c r="B449">
        <v>100</v>
      </c>
      <c r="C449">
        <v>273</v>
      </c>
      <c r="D449">
        <v>233</v>
      </c>
      <c r="E449" s="4">
        <f t="shared" si="24"/>
        <v>0</v>
      </c>
      <c r="F449" s="4">
        <f t="shared" si="25"/>
        <v>173</v>
      </c>
      <c r="G449" s="4">
        <f t="shared" si="26"/>
        <v>2.9929000000000001</v>
      </c>
      <c r="H449" s="4">
        <f t="shared" si="27"/>
        <v>29929</v>
      </c>
      <c r="I449" s="5">
        <f>SQRT(SUM('p-native-multi'!$C$3:C449)/COUNTIF($A$3:A449,"&lt;&gt;0"))</f>
        <v>15.796737408454881</v>
      </c>
    </row>
    <row r="450" spans="1:9">
      <c r="A450">
        <v>448</v>
      </c>
      <c r="B450">
        <v>100</v>
      </c>
      <c r="C450">
        <v>253</v>
      </c>
      <c r="D450">
        <v>233</v>
      </c>
      <c r="E450" s="4">
        <f t="shared" si="24"/>
        <v>0</v>
      </c>
      <c r="F450" s="4">
        <f t="shared" si="25"/>
        <v>153</v>
      </c>
      <c r="G450" s="4">
        <f t="shared" si="26"/>
        <v>2.3409</v>
      </c>
      <c r="H450" s="4">
        <f t="shared" si="27"/>
        <v>23409</v>
      </c>
      <c r="I450" s="5">
        <f>SQRT(SUM('p-native-multi'!$C$3:C450)/COUNTIF($A$3:A450,"&lt;&gt;0"))</f>
        <v>15.796982080674235</v>
      </c>
    </row>
    <row r="451" spans="1:9">
      <c r="A451">
        <v>449</v>
      </c>
      <c r="B451">
        <v>100</v>
      </c>
      <c r="C451">
        <v>233</v>
      </c>
      <c r="D451">
        <v>233</v>
      </c>
      <c r="E451" s="4">
        <f t="shared" si="24"/>
        <v>0</v>
      </c>
      <c r="F451" s="4">
        <f t="shared" si="25"/>
        <v>133</v>
      </c>
      <c r="G451" s="4">
        <f t="shared" si="26"/>
        <v>1.7689000000000001</v>
      </c>
      <c r="H451" s="4">
        <f t="shared" si="27"/>
        <v>17689</v>
      </c>
      <c r="I451" s="5">
        <f>SQRT(SUM('p-native-multi'!$C$3:C451)/COUNTIF($A$3:A451,"&lt;&gt;0"))</f>
        <v>15.795815746590067</v>
      </c>
    </row>
    <row r="452" spans="1:9">
      <c r="A452">
        <v>450</v>
      </c>
      <c r="B452">
        <v>100</v>
      </c>
      <c r="C452">
        <v>233</v>
      </c>
      <c r="D452">
        <v>233</v>
      </c>
      <c r="E452" s="4">
        <f t="shared" ref="E452:E515" si="28">IF(AND(C452&lt;=B452*1.2,C452&gt;=B452*0.8),1,0)</f>
        <v>0</v>
      </c>
      <c r="F452" s="4">
        <f t="shared" ref="F452:F515" si="29">ABS(B452-C452)</f>
        <v>133</v>
      </c>
      <c r="G452" s="4">
        <f t="shared" ref="G452:G515" si="30">POWER(ABS(B452-C452)/B452,2)</f>
        <v>1.7689000000000001</v>
      </c>
      <c r="H452" s="4">
        <f t="shared" ref="H452:H515" si="31">POWER(F452,2)</f>
        <v>17689</v>
      </c>
      <c r="I452" s="5">
        <f>SQRT(SUM('p-native-multi'!$C$3:C452)/COUNTIF($A$3:A452,"&lt;&gt;0"))</f>
        <v>15.794654510659962</v>
      </c>
    </row>
    <row r="453" spans="1:9">
      <c r="A453">
        <v>451</v>
      </c>
      <c r="B453">
        <v>453</v>
      </c>
      <c r="C453">
        <v>233</v>
      </c>
      <c r="D453">
        <v>233</v>
      </c>
      <c r="E453" s="4">
        <f t="shared" si="28"/>
        <v>0</v>
      </c>
      <c r="F453" s="4">
        <f t="shared" si="29"/>
        <v>220</v>
      </c>
      <c r="G453" s="4">
        <f t="shared" si="30"/>
        <v>0.23585710178403479</v>
      </c>
      <c r="H453" s="4">
        <f t="shared" si="31"/>
        <v>48400</v>
      </c>
      <c r="I453" s="5">
        <f>SQRT(SUM('p-native-multi'!$C$3:C453)/COUNTIF($A$3:A453,"&lt;&gt;0"))</f>
        <v>15.793498339520712</v>
      </c>
    </row>
    <row r="454" spans="1:9">
      <c r="A454">
        <v>452</v>
      </c>
      <c r="B454">
        <v>453</v>
      </c>
      <c r="C454">
        <v>273</v>
      </c>
      <c r="D454">
        <v>233</v>
      </c>
      <c r="E454" s="4">
        <f t="shared" si="28"/>
        <v>0</v>
      </c>
      <c r="F454" s="4">
        <f t="shared" si="29"/>
        <v>180</v>
      </c>
      <c r="G454" s="4">
        <f t="shared" si="30"/>
        <v>0.15788781193807286</v>
      </c>
      <c r="H454" s="4">
        <f t="shared" si="31"/>
        <v>32400</v>
      </c>
      <c r="I454" s="5">
        <f>SQRT(SUM('p-native-multi'!$C$3:C454)/COUNTIF($A$3:A454,"&lt;&gt;0"))</f>
        <v>15.795148801569322</v>
      </c>
    </row>
    <row r="455" spans="1:9">
      <c r="A455">
        <v>453</v>
      </c>
      <c r="B455">
        <v>453</v>
      </c>
      <c r="C455">
        <v>233</v>
      </c>
      <c r="D455">
        <v>233</v>
      </c>
      <c r="E455" s="4">
        <f t="shared" si="28"/>
        <v>0</v>
      </c>
      <c r="F455" s="4">
        <f t="shared" si="29"/>
        <v>220</v>
      </c>
      <c r="G455" s="4">
        <f t="shared" si="30"/>
        <v>0.23585710178403479</v>
      </c>
      <c r="H455" s="4">
        <f t="shared" si="31"/>
        <v>48400</v>
      </c>
      <c r="I455" s="5">
        <f>SQRT(SUM('p-native-multi'!$C$3:C455)/COUNTIF($A$3:A455,"&lt;&gt;0"))</f>
        <v>15.793996679935949</v>
      </c>
    </row>
    <row r="456" spans="1:9">
      <c r="A456">
        <v>454</v>
      </c>
      <c r="B456">
        <v>453</v>
      </c>
      <c r="C456">
        <v>279</v>
      </c>
      <c r="D456">
        <v>233</v>
      </c>
      <c r="E456" s="4">
        <f t="shared" si="28"/>
        <v>0</v>
      </c>
      <c r="F456" s="4">
        <f t="shared" si="29"/>
        <v>174</v>
      </c>
      <c r="G456" s="4">
        <f t="shared" si="30"/>
        <v>0.14753738871102146</v>
      </c>
      <c r="H456" s="4">
        <f t="shared" si="31"/>
        <v>30276</v>
      </c>
      <c r="I456" s="5">
        <f>SQRT(SUM('p-native-multi'!$C$3:C456)/COUNTIF($A$3:A456,"&lt;&gt;0"))</f>
        <v>15.796057055550371</v>
      </c>
    </row>
    <row r="457" spans="1:9">
      <c r="A457">
        <v>455</v>
      </c>
      <c r="B457">
        <v>453</v>
      </c>
      <c r="C457">
        <v>279</v>
      </c>
      <c r="D457">
        <v>233</v>
      </c>
      <c r="E457" s="4">
        <f t="shared" si="28"/>
        <v>0</v>
      </c>
      <c r="F457" s="4">
        <f t="shared" si="29"/>
        <v>174</v>
      </c>
      <c r="G457" s="4">
        <f t="shared" si="30"/>
        <v>0.14753738871102146</v>
      </c>
      <c r="H457" s="4">
        <f t="shared" si="31"/>
        <v>30276</v>
      </c>
      <c r="I457" s="5">
        <f>SQRT(SUM('p-native-multi'!$C$3:C457)/COUNTIF($A$3:A457,"&lt;&gt;0"))</f>
        <v>15.798108107625412</v>
      </c>
    </row>
    <row r="458" spans="1:9">
      <c r="A458">
        <v>456</v>
      </c>
      <c r="B458">
        <v>453</v>
      </c>
      <c r="C458">
        <v>233</v>
      </c>
      <c r="D458">
        <v>233</v>
      </c>
      <c r="E458" s="4">
        <f t="shared" si="28"/>
        <v>0</v>
      </c>
      <c r="F458" s="4">
        <f t="shared" si="29"/>
        <v>220</v>
      </c>
      <c r="G458" s="4">
        <f t="shared" si="30"/>
        <v>0.23585710178403479</v>
      </c>
      <c r="H458" s="4">
        <f t="shared" si="31"/>
        <v>48400</v>
      </c>
      <c r="I458" s="5">
        <f>SQRT(SUM('p-native-multi'!$C$3:C458)/COUNTIF($A$3:A458,"&lt;&gt;0"))</f>
        <v>15.796957290855818</v>
      </c>
    </row>
    <row r="459" spans="1:9">
      <c r="A459">
        <v>457</v>
      </c>
      <c r="B459">
        <v>453</v>
      </c>
      <c r="C459">
        <v>233</v>
      </c>
      <c r="D459">
        <v>233</v>
      </c>
      <c r="E459" s="4">
        <f t="shared" si="28"/>
        <v>0</v>
      </c>
      <c r="F459" s="4">
        <f t="shared" si="29"/>
        <v>220</v>
      </c>
      <c r="G459" s="4">
        <f t="shared" si="30"/>
        <v>0.23585710178403479</v>
      </c>
      <c r="H459" s="4">
        <f t="shared" si="31"/>
        <v>48400</v>
      </c>
      <c r="I459" s="5">
        <f>SQRT(SUM('p-native-multi'!$C$3:C459)/COUNTIF($A$3:A459,"&lt;&gt;0"))</f>
        <v>15.795811427189362</v>
      </c>
    </row>
    <row r="460" spans="1:9">
      <c r="A460">
        <v>458</v>
      </c>
      <c r="B460">
        <v>453</v>
      </c>
      <c r="C460">
        <v>233</v>
      </c>
      <c r="D460">
        <v>233</v>
      </c>
      <c r="E460" s="4">
        <f t="shared" si="28"/>
        <v>0</v>
      </c>
      <c r="F460" s="4">
        <f t="shared" si="29"/>
        <v>220</v>
      </c>
      <c r="G460" s="4">
        <f t="shared" si="30"/>
        <v>0.23585710178403479</v>
      </c>
      <c r="H460" s="4">
        <f t="shared" si="31"/>
        <v>48400</v>
      </c>
      <c r="I460" s="5">
        <f>SQRT(SUM('p-native-multi'!$C$3:C460)/COUNTIF($A$3:A460,"&lt;&gt;0"))</f>
        <v>15.794670484708568</v>
      </c>
    </row>
    <row r="461" spans="1:9">
      <c r="A461">
        <v>459</v>
      </c>
      <c r="B461">
        <v>453</v>
      </c>
      <c r="C461">
        <v>279</v>
      </c>
      <c r="D461">
        <v>233</v>
      </c>
      <c r="E461" s="4">
        <f t="shared" si="28"/>
        <v>0</v>
      </c>
      <c r="F461" s="4">
        <f t="shared" si="29"/>
        <v>174</v>
      </c>
      <c r="G461" s="4">
        <f t="shared" si="30"/>
        <v>0.14753738871102146</v>
      </c>
      <c r="H461" s="4">
        <f t="shared" si="31"/>
        <v>30276</v>
      </c>
      <c r="I461" s="5">
        <f>SQRT(SUM('p-native-multi'!$C$3:C461)/COUNTIF($A$3:A461,"&lt;&gt;0"))</f>
        <v>15.796706862900834</v>
      </c>
    </row>
    <row r="462" spans="1:9">
      <c r="A462">
        <v>460</v>
      </c>
      <c r="B462">
        <v>453</v>
      </c>
      <c r="C462">
        <v>253</v>
      </c>
      <c r="D462">
        <v>233</v>
      </c>
      <c r="E462" s="4">
        <f t="shared" si="28"/>
        <v>0</v>
      </c>
      <c r="F462" s="4">
        <f t="shared" si="29"/>
        <v>200</v>
      </c>
      <c r="G462" s="4">
        <f t="shared" si="30"/>
        <v>0.19492322461490477</v>
      </c>
      <c r="H462" s="4">
        <f t="shared" si="31"/>
        <v>40000</v>
      </c>
      <c r="I462" s="5">
        <f>SQRT(SUM('p-native-multi'!$C$3:C462)/COUNTIF($A$3:A462,"&lt;&gt;0"))</f>
        <v>15.796945219277985</v>
      </c>
    </row>
    <row r="463" spans="1:9">
      <c r="A463">
        <v>461</v>
      </c>
      <c r="B463">
        <v>453</v>
      </c>
      <c r="C463">
        <v>233</v>
      </c>
      <c r="D463">
        <v>233</v>
      </c>
      <c r="E463" s="4">
        <f t="shared" si="28"/>
        <v>0</v>
      </c>
      <c r="F463" s="4">
        <f t="shared" si="29"/>
        <v>220</v>
      </c>
      <c r="G463" s="4">
        <f t="shared" si="30"/>
        <v>0.23585710178403479</v>
      </c>
      <c r="H463" s="4">
        <f t="shared" si="31"/>
        <v>48400</v>
      </c>
      <c r="I463" s="5">
        <f>SQRT(SUM('p-native-multi'!$C$3:C463)/COUNTIF($A$3:A463,"&lt;&gt;0"))</f>
        <v>15.795809323706379</v>
      </c>
    </row>
    <row r="464" spans="1:9">
      <c r="A464">
        <v>462</v>
      </c>
      <c r="B464">
        <v>453</v>
      </c>
      <c r="C464">
        <v>233</v>
      </c>
      <c r="D464">
        <v>233</v>
      </c>
      <c r="E464" s="4">
        <f t="shared" si="28"/>
        <v>0</v>
      </c>
      <c r="F464" s="4">
        <f t="shared" si="29"/>
        <v>220</v>
      </c>
      <c r="G464" s="4">
        <f t="shared" si="30"/>
        <v>0.23585710178403479</v>
      </c>
      <c r="H464" s="4">
        <f t="shared" si="31"/>
        <v>48400</v>
      </c>
      <c r="I464" s="5">
        <f>SQRT(SUM('p-native-multi'!$C$3:C464)/COUNTIF($A$3:A464,"&lt;&gt;0"))</f>
        <v>15.794678264271845</v>
      </c>
    </row>
    <row r="465" spans="1:9">
      <c r="A465">
        <v>463</v>
      </c>
      <c r="B465">
        <v>453</v>
      </c>
      <c r="C465">
        <v>233</v>
      </c>
      <c r="D465">
        <v>233</v>
      </c>
      <c r="E465" s="4">
        <f t="shared" si="28"/>
        <v>0</v>
      </c>
      <c r="F465" s="4">
        <f t="shared" si="29"/>
        <v>220</v>
      </c>
      <c r="G465" s="4">
        <f t="shared" si="30"/>
        <v>0.23585710178403479</v>
      </c>
      <c r="H465" s="4">
        <f t="shared" si="31"/>
        <v>48400</v>
      </c>
      <c r="I465" s="5">
        <f>SQRT(SUM('p-native-multi'!$C$3:C465)/COUNTIF($A$3:A465,"&lt;&gt;0"))</f>
        <v>15.793552010146172</v>
      </c>
    </row>
    <row r="466" spans="1:9">
      <c r="A466">
        <v>464</v>
      </c>
      <c r="B466">
        <v>453</v>
      </c>
      <c r="C466">
        <v>253</v>
      </c>
      <c r="D466">
        <v>233</v>
      </c>
      <c r="E466" s="4">
        <f t="shared" si="28"/>
        <v>0</v>
      </c>
      <c r="F466" s="4">
        <f t="shared" si="29"/>
        <v>200</v>
      </c>
      <c r="G466" s="4">
        <f t="shared" si="30"/>
        <v>0.19492322461490477</v>
      </c>
      <c r="H466" s="4">
        <f t="shared" si="31"/>
        <v>40000</v>
      </c>
      <c r="I466" s="5">
        <f>SQRT(SUM('p-native-multi'!$C$3:C466)/COUNTIF($A$3:A466,"&lt;&gt;0"))</f>
        <v>15.793795158771731</v>
      </c>
    </row>
    <row r="467" spans="1:9">
      <c r="A467">
        <v>465</v>
      </c>
      <c r="B467">
        <v>453</v>
      </c>
      <c r="C467">
        <v>253</v>
      </c>
      <c r="D467">
        <v>233</v>
      </c>
      <c r="E467" s="4">
        <f t="shared" si="28"/>
        <v>0</v>
      </c>
      <c r="F467" s="4">
        <f t="shared" si="29"/>
        <v>200</v>
      </c>
      <c r="G467" s="4">
        <f t="shared" si="30"/>
        <v>0.19492322461490477</v>
      </c>
      <c r="H467" s="4">
        <f t="shared" si="31"/>
        <v>40000</v>
      </c>
      <c r="I467" s="5">
        <f>SQRT(SUM('p-native-multi'!$C$3:C467)/COUNTIF($A$3:A467,"&lt;&gt;0"))</f>
        <v>15.7940372578776</v>
      </c>
    </row>
    <row r="468" spans="1:9">
      <c r="A468">
        <v>466</v>
      </c>
      <c r="B468">
        <v>453</v>
      </c>
      <c r="C468">
        <v>233</v>
      </c>
      <c r="D468">
        <v>233</v>
      </c>
      <c r="E468" s="4">
        <f t="shared" si="28"/>
        <v>0</v>
      </c>
      <c r="F468" s="4">
        <f t="shared" si="29"/>
        <v>220</v>
      </c>
      <c r="G468" s="4">
        <f t="shared" si="30"/>
        <v>0.23585710178403479</v>
      </c>
      <c r="H468" s="4">
        <f t="shared" si="31"/>
        <v>48400</v>
      </c>
      <c r="I468" s="5">
        <f>SQRT(SUM('p-native-multi'!$C$3:C468)/COUNTIF($A$3:A468,"&lt;&gt;0"))</f>
        <v>15.792919584829004</v>
      </c>
    </row>
    <row r="469" spans="1:9">
      <c r="A469">
        <v>467</v>
      </c>
      <c r="B469">
        <v>453</v>
      </c>
      <c r="C469">
        <v>273</v>
      </c>
      <c r="D469">
        <v>233</v>
      </c>
      <c r="E469" s="4">
        <f t="shared" si="28"/>
        <v>0</v>
      </c>
      <c r="F469" s="4">
        <f t="shared" si="29"/>
        <v>180</v>
      </c>
      <c r="G469" s="4">
        <f t="shared" si="30"/>
        <v>0.15788781193807286</v>
      </c>
      <c r="H469" s="4">
        <f t="shared" si="31"/>
        <v>32400</v>
      </c>
      <c r="I469" s="5">
        <f>SQRT(SUM('p-native-multi'!$C$3:C469)/COUNTIF($A$3:A469,"&lt;&gt;0"))</f>
        <v>15.794518334594491</v>
      </c>
    </row>
    <row r="470" spans="1:9">
      <c r="A470">
        <v>468</v>
      </c>
      <c r="B470">
        <v>453</v>
      </c>
      <c r="C470">
        <v>273</v>
      </c>
      <c r="D470">
        <v>233</v>
      </c>
      <c r="E470" s="4">
        <f t="shared" si="28"/>
        <v>0</v>
      </c>
      <c r="F470" s="4">
        <f t="shared" si="29"/>
        <v>180</v>
      </c>
      <c r="G470" s="4">
        <f t="shared" si="30"/>
        <v>0.15788781193807286</v>
      </c>
      <c r="H470" s="4">
        <f t="shared" si="31"/>
        <v>32400</v>
      </c>
      <c r="I470" s="5">
        <f>SQRT(SUM('p-native-multi'!$C$3:C470)/COUNTIF($A$3:A470,"&lt;&gt;0"))</f>
        <v>15.796110091319763</v>
      </c>
    </row>
    <row r="471" spans="1:9">
      <c r="A471">
        <v>469</v>
      </c>
      <c r="B471">
        <v>453</v>
      </c>
      <c r="C471">
        <v>279</v>
      </c>
      <c r="D471">
        <v>233</v>
      </c>
      <c r="E471" s="4">
        <f t="shared" si="28"/>
        <v>0</v>
      </c>
      <c r="F471" s="4">
        <f t="shared" si="29"/>
        <v>174</v>
      </c>
      <c r="G471" s="4">
        <f t="shared" si="30"/>
        <v>0.14753738871102146</v>
      </c>
      <c r="H471" s="4">
        <f t="shared" si="31"/>
        <v>30276</v>
      </c>
      <c r="I471" s="5">
        <f>SQRT(SUM('p-native-multi'!$C$3:C471)/COUNTIF($A$3:A471,"&lt;&gt;0"))</f>
        <v>15.798099802067233</v>
      </c>
    </row>
    <row r="472" spans="1:9">
      <c r="A472">
        <v>470</v>
      </c>
      <c r="B472">
        <v>453</v>
      </c>
      <c r="C472">
        <v>233</v>
      </c>
      <c r="D472">
        <v>233</v>
      </c>
      <c r="E472" s="4">
        <f t="shared" si="28"/>
        <v>0</v>
      </c>
      <c r="F472" s="4">
        <f t="shared" si="29"/>
        <v>220</v>
      </c>
      <c r="G472" s="4">
        <f t="shared" si="30"/>
        <v>0.23585710178403479</v>
      </c>
      <c r="H472" s="4">
        <f t="shared" si="31"/>
        <v>48400</v>
      </c>
      <c r="I472" s="5">
        <f>SQRT(SUM('p-native-multi'!$C$3:C472)/COUNTIF($A$3:A472,"&lt;&gt;0"))</f>
        <v>15.79698328324316</v>
      </c>
    </row>
    <row r="473" spans="1:9">
      <c r="A473">
        <v>471</v>
      </c>
      <c r="B473">
        <v>453</v>
      </c>
      <c r="C473">
        <v>279</v>
      </c>
      <c r="D473">
        <v>233</v>
      </c>
      <c r="E473" s="4">
        <f t="shared" si="28"/>
        <v>0</v>
      </c>
      <c r="F473" s="4">
        <f t="shared" si="29"/>
        <v>174</v>
      </c>
      <c r="G473" s="4">
        <f t="shared" si="30"/>
        <v>0.14753738871102146</v>
      </c>
      <c r="H473" s="4">
        <f t="shared" si="31"/>
        <v>30276</v>
      </c>
      <c r="I473" s="5">
        <f>SQRT(SUM('p-native-multi'!$C$3:C473)/COUNTIF($A$3:A473,"&lt;&gt;0"))</f>
        <v>15.798962582513189</v>
      </c>
    </row>
    <row r="474" spans="1:9">
      <c r="A474">
        <v>472</v>
      </c>
      <c r="B474">
        <v>453</v>
      </c>
      <c r="C474">
        <v>233</v>
      </c>
      <c r="D474">
        <v>233</v>
      </c>
      <c r="E474" s="4">
        <f t="shared" si="28"/>
        <v>0</v>
      </c>
      <c r="F474" s="4">
        <f t="shared" si="29"/>
        <v>220</v>
      </c>
      <c r="G474" s="4">
        <f t="shared" si="30"/>
        <v>0.23585710178403479</v>
      </c>
      <c r="H474" s="4">
        <f t="shared" si="31"/>
        <v>48400</v>
      </c>
      <c r="I474" s="5">
        <f>SQRT(SUM('p-native-multi'!$C$3:C474)/COUNTIF($A$3:A474,"&lt;&gt;0"))</f>
        <v>15.797849027582998</v>
      </c>
    </row>
    <row r="475" spans="1:9">
      <c r="A475">
        <v>473</v>
      </c>
      <c r="B475">
        <v>453</v>
      </c>
      <c r="C475">
        <v>233</v>
      </c>
      <c r="D475">
        <v>233</v>
      </c>
      <c r="E475" s="4">
        <f t="shared" si="28"/>
        <v>0</v>
      </c>
      <c r="F475" s="4">
        <f t="shared" si="29"/>
        <v>220</v>
      </c>
      <c r="G475" s="4">
        <f t="shared" si="30"/>
        <v>0.23585710178403479</v>
      </c>
      <c r="H475" s="4">
        <f t="shared" si="31"/>
        <v>48400</v>
      </c>
      <c r="I475" s="5">
        <f>SQRT(SUM('p-native-multi'!$C$3:C475)/COUNTIF($A$3:A475,"&lt;&gt;0"))</f>
        <v>15.796740103129984</v>
      </c>
    </row>
    <row r="476" spans="1:9">
      <c r="A476">
        <v>474</v>
      </c>
      <c r="B476">
        <v>453</v>
      </c>
      <c r="C476">
        <v>233</v>
      </c>
      <c r="D476">
        <v>233</v>
      </c>
      <c r="E476" s="4">
        <f t="shared" si="28"/>
        <v>0</v>
      </c>
      <c r="F476" s="4">
        <f t="shared" si="29"/>
        <v>220</v>
      </c>
      <c r="G476" s="4">
        <f t="shared" si="30"/>
        <v>0.23585710178403479</v>
      </c>
      <c r="H476" s="4">
        <f t="shared" si="31"/>
        <v>48400</v>
      </c>
      <c r="I476" s="5">
        <f>SQRT(SUM('p-native-multi'!$C$3:C476)/COUNTIF($A$3:A476,"&lt;&gt;0"))</f>
        <v>15.79563578032367</v>
      </c>
    </row>
    <row r="477" spans="1:9">
      <c r="A477">
        <v>475</v>
      </c>
      <c r="B477">
        <v>453</v>
      </c>
      <c r="C477">
        <v>279</v>
      </c>
      <c r="D477">
        <v>233</v>
      </c>
      <c r="E477" s="4">
        <f t="shared" si="28"/>
        <v>0</v>
      </c>
      <c r="F477" s="4">
        <f t="shared" si="29"/>
        <v>174</v>
      </c>
      <c r="G477" s="4">
        <f t="shared" si="30"/>
        <v>0.14753738871102146</v>
      </c>
      <c r="H477" s="4">
        <f t="shared" si="31"/>
        <v>30276</v>
      </c>
      <c r="I477" s="5">
        <f>SQRT(SUM('p-native-multi'!$C$3:C477)/COUNTIF($A$3:A477,"&lt;&gt;0"))</f>
        <v>15.79760141687072</v>
      </c>
    </row>
    <row r="478" spans="1:9">
      <c r="A478">
        <v>476</v>
      </c>
      <c r="B478">
        <v>453</v>
      </c>
      <c r="C478">
        <v>253</v>
      </c>
      <c r="D478">
        <v>233</v>
      </c>
      <c r="E478" s="4">
        <f t="shared" si="28"/>
        <v>0</v>
      </c>
      <c r="F478" s="4">
        <f t="shared" si="29"/>
        <v>200</v>
      </c>
      <c r="G478" s="4">
        <f t="shared" si="30"/>
        <v>0.19492322461490477</v>
      </c>
      <c r="H478" s="4">
        <f t="shared" si="31"/>
        <v>40000</v>
      </c>
      <c r="I478" s="5">
        <f>SQRT(SUM('p-native-multi'!$C$3:C478)/COUNTIF($A$3:A478,"&lt;&gt;0"))</f>
        <v>15.797829869049375</v>
      </c>
    </row>
    <row r="479" spans="1:9">
      <c r="A479">
        <v>477</v>
      </c>
      <c r="B479">
        <v>453</v>
      </c>
      <c r="C479">
        <v>279</v>
      </c>
      <c r="D479">
        <v>233</v>
      </c>
      <c r="E479" s="4">
        <f t="shared" si="28"/>
        <v>0</v>
      </c>
      <c r="F479" s="4">
        <f t="shared" si="29"/>
        <v>174</v>
      </c>
      <c r="G479" s="4">
        <f t="shared" si="30"/>
        <v>0.14753738871102146</v>
      </c>
      <c r="H479" s="4">
        <f t="shared" si="31"/>
        <v>30276</v>
      </c>
      <c r="I479" s="5">
        <f>SQRT(SUM('p-native-multi'!$C$3:C479)/COUNTIF($A$3:A479,"&lt;&gt;0"))</f>
        <v>15.799782393746044</v>
      </c>
    </row>
    <row r="480" spans="1:9">
      <c r="A480">
        <v>478</v>
      </c>
      <c r="B480">
        <v>453</v>
      </c>
      <c r="C480">
        <v>233</v>
      </c>
      <c r="D480">
        <v>233</v>
      </c>
      <c r="E480" s="4">
        <f t="shared" si="28"/>
        <v>0</v>
      </c>
      <c r="F480" s="4">
        <f t="shared" si="29"/>
        <v>220</v>
      </c>
      <c r="G480" s="4">
        <f t="shared" si="30"/>
        <v>0.23585710178403479</v>
      </c>
      <c r="H480" s="4">
        <f t="shared" si="31"/>
        <v>48400</v>
      </c>
      <c r="I480" s="5">
        <f>SQRT(SUM('p-native-multi'!$C$3:C480)/COUNTIF($A$3:A480,"&lt;&gt;0"))</f>
        <v>15.798681158876288</v>
      </c>
    </row>
    <row r="481" spans="1:9">
      <c r="A481">
        <v>479</v>
      </c>
      <c r="B481">
        <v>453</v>
      </c>
      <c r="C481">
        <v>233</v>
      </c>
      <c r="D481">
        <v>233</v>
      </c>
      <c r="E481" s="4">
        <f t="shared" si="28"/>
        <v>0</v>
      </c>
      <c r="F481" s="4">
        <f t="shared" si="29"/>
        <v>220</v>
      </c>
      <c r="G481" s="4">
        <f t="shared" si="30"/>
        <v>0.23585710178403479</v>
      </c>
      <c r="H481" s="4">
        <f t="shared" si="31"/>
        <v>48400</v>
      </c>
      <c r="I481" s="5">
        <f>SQRT(SUM('p-native-multi'!$C$3:C481)/COUNTIF($A$3:A481,"&lt;&gt;0"))</f>
        <v>15.79758444577851</v>
      </c>
    </row>
    <row r="482" spans="1:9">
      <c r="A482">
        <v>480</v>
      </c>
      <c r="B482">
        <v>453</v>
      </c>
      <c r="C482">
        <v>253</v>
      </c>
      <c r="D482">
        <v>233</v>
      </c>
      <c r="E482" s="4">
        <f t="shared" si="28"/>
        <v>0</v>
      </c>
      <c r="F482" s="4">
        <f t="shared" si="29"/>
        <v>200</v>
      </c>
      <c r="G482" s="4">
        <f t="shared" si="30"/>
        <v>0.19492322461490477</v>
      </c>
      <c r="H482" s="4">
        <f t="shared" si="31"/>
        <v>40000</v>
      </c>
      <c r="I482" s="5">
        <f>SQRT(SUM('p-native-multi'!$C$3:C482)/COUNTIF($A$3:A482,"&lt;&gt;0"))</f>
        <v>15.797811029801988</v>
      </c>
    </row>
    <row r="483" spans="1:9">
      <c r="A483">
        <v>481</v>
      </c>
      <c r="B483">
        <v>453</v>
      </c>
      <c r="C483">
        <v>233</v>
      </c>
      <c r="D483">
        <v>233</v>
      </c>
      <c r="E483" s="4">
        <f t="shared" si="28"/>
        <v>0</v>
      </c>
      <c r="F483" s="4">
        <f t="shared" si="29"/>
        <v>220</v>
      </c>
      <c r="G483" s="4">
        <f t="shared" si="30"/>
        <v>0.23585710178403479</v>
      </c>
      <c r="H483" s="4">
        <f t="shared" si="31"/>
        <v>48400</v>
      </c>
      <c r="I483" s="5">
        <f>SQRT(SUM('p-native-multi'!$C$3:C483)/COUNTIF($A$3:A483,"&lt;&gt;0"))</f>
        <v>15.796720626015469</v>
      </c>
    </row>
    <row r="484" spans="1:9">
      <c r="A484">
        <v>482</v>
      </c>
      <c r="B484">
        <v>453</v>
      </c>
      <c r="C484">
        <v>273</v>
      </c>
      <c r="D484">
        <v>233</v>
      </c>
      <c r="E484" s="4">
        <f t="shared" si="28"/>
        <v>0</v>
      </c>
      <c r="F484" s="4">
        <f t="shared" si="29"/>
        <v>180</v>
      </c>
      <c r="G484" s="4">
        <f t="shared" si="30"/>
        <v>0.15788781193807286</v>
      </c>
      <c r="H484" s="4">
        <f t="shared" si="31"/>
        <v>32400</v>
      </c>
      <c r="I484" s="5">
        <f>SQRT(SUM('p-native-multi'!$C$3:C484)/COUNTIF($A$3:A484,"&lt;&gt;0"))</f>
        <v>15.798261367652577</v>
      </c>
    </row>
    <row r="485" spans="1:9">
      <c r="A485">
        <v>483</v>
      </c>
      <c r="B485">
        <v>453</v>
      </c>
      <c r="C485">
        <v>273</v>
      </c>
      <c r="D485">
        <v>233</v>
      </c>
      <c r="E485" s="4">
        <f t="shared" si="28"/>
        <v>0</v>
      </c>
      <c r="F485" s="4">
        <f t="shared" si="29"/>
        <v>180</v>
      </c>
      <c r="G485" s="4">
        <f t="shared" si="30"/>
        <v>0.15788781193807286</v>
      </c>
      <c r="H485" s="4">
        <f t="shared" si="31"/>
        <v>32400</v>
      </c>
      <c r="I485" s="5">
        <f>SQRT(SUM('p-native-multi'!$C$3:C485)/COUNTIF($A$3:A485,"&lt;&gt;0"))</f>
        <v>15.799795580091244</v>
      </c>
    </row>
    <row r="486" spans="1:9">
      <c r="A486">
        <v>484</v>
      </c>
      <c r="B486">
        <v>453</v>
      </c>
      <c r="C486">
        <v>279</v>
      </c>
      <c r="D486">
        <v>233</v>
      </c>
      <c r="E486" s="4">
        <f t="shared" si="28"/>
        <v>0</v>
      </c>
      <c r="F486" s="4">
        <f t="shared" si="29"/>
        <v>174</v>
      </c>
      <c r="G486" s="4">
        <f t="shared" si="30"/>
        <v>0.14753738871102146</v>
      </c>
      <c r="H486" s="4">
        <f t="shared" si="31"/>
        <v>30276</v>
      </c>
      <c r="I486" s="5">
        <f>SQRT(SUM('p-native-multi'!$C$3:C486)/COUNTIF($A$3:A486,"&lt;&gt;0"))</f>
        <v>15.801715567495608</v>
      </c>
    </row>
    <row r="487" spans="1:9">
      <c r="A487">
        <v>485</v>
      </c>
      <c r="B487">
        <v>453</v>
      </c>
      <c r="C487">
        <v>233</v>
      </c>
      <c r="D487">
        <v>233</v>
      </c>
      <c r="E487" s="4">
        <f t="shared" si="28"/>
        <v>0</v>
      </c>
      <c r="F487" s="4">
        <f t="shared" si="29"/>
        <v>220</v>
      </c>
      <c r="G487" s="4">
        <f t="shared" si="30"/>
        <v>0.23585710178403479</v>
      </c>
      <c r="H487" s="4">
        <f t="shared" si="31"/>
        <v>48400</v>
      </c>
      <c r="I487" s="5">
        <f>SQRT(SUM('p-native-multi'!$C$3:C487)/COUNTIF($A$3:A487,"&lt;&gt;0"))</f>
        <v>15.800626374116723</v>
      </c>
    </row>
    <row r="488" spans="1:9">
      <c r="A488">
        <v>486</v>
      </c>
      <c r="B488">
        <v>453</v>
      </c>
      <c r="C488">
        <v>279</v>
      </c>
      <c r="D488">
        <v>233</v>
      </c>
      <c r="E488" s="4">
        <f t="shared" si="28"/>
        <v>0</v>
      </c>
      <c r="F488" s="4">
        <f t="shared" si="29"/>
        <v>174</v>
      </c>
      <c r="G488" s="4">
        <f t="shared" si="30"/>
        <v>0.14753738871102146</v>
      </c>
      <c r="H488" s="4">
        <f t="shared" si="31"/>
        <v>30276</v>
      </c>
      <c r="I488" s="5">
        <f>SQRT(SUM('p-native-multi'!$C$3:C488)/COUNTIF($A$3:A488,"&lt;&gt;0"))</f>
        <v>15.802536651090341</v>
      </c>
    </row>
    <row r="489" spans="1:9">
      <c r="A489">
        <v>487</v>
      </c>
      <c r="B489">
        <v>453</v>
      </c>
      <c r="C489">
        <v>233</v>
      </c>
      <c r="D489">
        <v>233</v>
      </c>
      <c r="E489" s="4">
        <f t="shared" si="28"/>
        <v>0</v>
      </c>
      <c r="F489" s="4">
        <f t="shared" si="29"/>
        <v>220</v>
      </c>
      <c r="G489" s="4">
        <f t="shared" si="30"/>
        <v>0.23585710178403479</v>
      </c>
      <c r="H489" s="4">
        <f t="shared" si="31"/>
        <v>48400</v>
      </c>
      <c r="I489" s="5">
        <f>SQRT(SUM('p-native-multi'!$C$3:C489)/COUNTIF($A$3:A489,"&lt;&gt;0"))</f>
        <v>15.801450301227941</v>
      </c>
    </row>
    <row r="490" spans="1:9">
      <c r="A490">
        <v>488</v>
      </c>
      <c r="B490">
        <v>453</v>
      </c>
      <c r="C490">
        <v>273</v>
      </c>
      <c r="D490">
        <v>233</v>
      </c>
      <c r="E490" s="4">
        <f t="shared" si="28"/>
        <v>0</v>
      </c>
      <c r="F490" s="4">
        <f t="shared" si="29"/>
        <v>180</v>
      </c>
      <c r="G490" s="4">
        <f t="shared" si="30"/>
        <v>0.15788781193807286</v>
      </c>
      <c r="H490" s="4">
        <f t="shared" si="31"/>
        <v>32400</v>
      </c>
      <c r="I490" s="5">
        <f>SQRT(SUM('p-native-multi'!$C$3:C490)/COUNTIF($A$3:A490,"&lt;&gt;0"))</f>
        <v>15.802961955196153</v>
      </c>
    </row>
    <row r="491" spans="1:9">
      <c r="A491">
        <v>489</v>
      </c>
      <c r="B491">
        <v>453</v>
      </c>
      <c r="C491">
        <v>279</v>
      </c>
      <c r="D491">
        <v>233</v>
      </c>
      <c r="E491" s="4">
        <f t="shared" si="28"/>
        <v>0</v>
      </c>
      <c r="F491" s="4">
        <f t="shared" si="29"/>
        <v>174</v>
      </c>
      <c r="G491" s="4">
        <f t="shared" si="30"/>
        <v>0.14753738871102146</v>
      </c>
      <c r="H491" s="4">
        <f t="shared" si="31"/>
        <v>30276</v>
      </c>
      <c r="I491" s="5">
        <f>SQRT(SUM('p-native-multi'!$C$3:C491)/COUNTIF($A$3:A491,"&lt;&gt;0"))</f>
        <v>15.804855457507982</v>
      </c>
    </row>
    <row r="492" spans="1:9">
      <c r="A492">
        <v>490</v>
      </c>
      <c r="B492">
        <v>453</v>
      </c>
      <c r="C492">
        <v>253</v>
      </c>
      <c r="D492">
        <v>233</v>
      </c>
      <c r="E492" s="4">
        <f t="shared" si="28"/>
        <v>0</v>
      </c>
      <c r="F492" s="4">
        <f t="shared" si="29"/>
        <v>200</v>
      </c>
      <c r="G492" s="4">
        <f t="shared" si="30"/>
        <v>0.19492322461490477</v>
      </c>
      <c r="H492" s="4">
        <f t="shared" si="31"/>
        <v>40000</v>
      </c>
      <c r="I492" s="5">
        <f>SQRT(SUM('p-native-multi'!$C$3:C492)/COUNTIF($A$3:A492,"&lt;&gt;0"))</f>
        <v>15.805062480104279</v>
      </c>
    </row>
    <row r="493" spans="1:9">
      <c r="A493">
        <v>491</v>
      </c>
      <c r="B493">
        <v>453</v>
      </c>
      <c r="C493">
        <v>233</v>
      </c>
      <c r="D493">
        <v>233</v>
      </c>
      <c r="E493" s="4">
        <f t="shared" si="28"/>
        <v>0</v>
      </c>
      <c r="F493" s="4">
        <f t="shared" si="29"/>
        <v>220</v>
      </c>
      <c r="G493" s="4">
        <f t="shared" si="30"/>
        <v>0.23585710178403479</v>
      </c>
      <c r="H493" s="4">
        <f t="shared" si="31"/>
        <v>48400</v>
      </c>
      <c r="I493" s="5">
        <f>SQRT(SUM('p-native-multi'!$C$3:C493)/COUNTIF($A$3:A493,"&lt;&gt;0"))</f>
        <v>15.803980008657723</v>
      </c>
    </row>
    <row r="494" spans="1:9">
      <c r="A494">
        <v>492</v>
      </c>
      <c r="B494">
        <v>453</v>
      </c>
      <c r="C494">
        <v>233</v>
      </c>
      <c r="D494">
        <v>233</v>
      </c>
      <c r="E494" s="4">
        <f t="shared" si="28"/>
        <v>0</v>
      </c>
      <c r="F494" s="4">
        <f t="shared" si="29"/>
        <v>220</v>
      </c>
      <c r="G494" s="4">
        <f t="shared" si="30"/>
        <v>0.23585710178403479</v>
      </c>
      <c r="H494" s="4">
        <f t="shared" si="31"/>
        <v>48400</v>
      </c>
      <c r="I494" s="5">
        <f>SQRT(SUM('p-native-multi'!$C$3:C494)/COUNTIF($A$3:A494,"&lt;&gt;0"))</f>
        <v>15.802901863805683</v>
      </c>
    </row>
    <row r="495" spans="1:9">
      <c r="A495">
        <v>493</v>
      </c>
      <c r="B495">
        <v>453</v>
      </c>
      <c r="C495">
        <v>233</v>
      </c>
      <c r="D495">
        <v>233</v>
      </c>
      <c r="E495" s="4">
        <f t="shared" si="28"/>
        <v>0</v>
      </c>
      <c r="F495" s="4">
        <f t="shared" si="29"/>
        <v>220</v>
      </c>
      <c r="G495" s="4">
        <f t="shared" si="30"/>
        <v>0.23585710178403479</v>
      </c>
      <c r="H495" s="4">
        <f t="shared" si="31"/>
        <v>48400</v>
      </c>
      <c r="I495" s="5">
        <f>SQRT(SUM('p-native-multi'!$C$3:C495)/COUNTIF($A$3:A495,"&lt;&gt;0"))</f>
        <v>15.801828019652584</v>
      </c>
    </row>
    <row r="496" spans="1:9">
      <c r="A496">
        <v>494</v>
      </c>
      <c r="B496">
        <v>453</v>
      </c>
      <c r="C496">
        <v>273</v>
      </c>
      <c r="D496">
        <v>233</v>
      </c>
      <c r="E496" s="4">
        <f t="shared" si="28"/>
        <v>0</v>
      </c>
      <c r="F496" s="4">
        <f t="shared" si="29"/>
        <v>180</v>
      </c>
      <c r="G496" s="4">
        <f t="shared" si="30"/>
        <v>0.15788781193807286</v>
      </c>
      <c r="H496" s="4">
        <f t="shared" si="31"/>
        <v>32400</v>
      </c>
      <c r="I496" s="5">
        <f>SQRT(SUM('p-native-multi'!$C$3:C496)/COUNTIF($A$3:A496,"&lt;&gt;0"))</f>
        <v>15.803320514096241</v>
      </c>
    </row>
    <row r="497" spans="1:9">
      <c r="A497">
        <v>495</v>
      </c>
      <c r="B497">
        <v>453</v>
      </c>
      <c r="C497">
        <v>233</v>
      </c>
      <c r="D497">
        <v>233</v>
      </c>
      <c r="E497" s="4">
        <f t="shared" si="28"/>
        <v>0</v>
      </c>
      <c r="F497" s="4">
        <f t="shared" si="29"/>
        <v>220</v>
      </c>
      <c r="G497" s="4">
        <f t="shared" si="30"/>
        <v>0.23585710178403479</v>
      </c>
      <c r="H497" s="4">
        <f t="shared" si="31"/>
        <v>48400</v>
      </c>
      <c r="I497" s="5">
        <f>SQRT(SUM('p-native-multi'!$C$3:C497)/COUNTIF($A$3:A497,"&lt;&gt;0"))</f>
        <v>15.802250191384489</v>
      </c>
    </row>
    <row r="498" spans="1:9">
      <c r="A498">
        <v>496</v>
      </c>
      <c r="B498">
        <v>453</v>
      </c>
      <c r="C498">
        <v>233</v>
      </c>
      <c r="D498">
        <v>233</v>
      </c>
      <c r="E498" s="4">
        <f t="shared" si="28"/>
        <v>0</v>
      </c>
      <c r="F498" s="4">
        <f t="shared" si="29"/>
        <v>220</v>
      </c>
      <c r="G498" s="4">
        <f t="shared" si="30"/>
        <v>0.23585710178403479</v>
      </c>
      <c r="H498" s="4">
        <f t="shared" si="31"/>
        <v>48400</v>
      </c>
      <c r="I498" s="5">
        <f>SQRT(SUM('p-native-multi'!$C$3:C498)/COUNTIF($A$3:A498,"&lt;&gt;0"))</f>
        <v>15.801184112427737</v>
      </c>
    </row>
    <row r="499" spans="1:9">
      <c r="A499">
        <v>497</v>
      </c>
      <c r="B499">
        <v>453</v>
      </c>
      <c r="C499">
        <v>233</v>
      </c>
      <c r="D499">
        <v>233</v>
      </c>
      <c r="E499" s="4">
        <f t="shared" si="28"/>
        <v>0</v>
      </c>
      <c r="F499" s="4">
        <f t="shared" si="29"/>
        <v>220</v>
      </c>
      <c r="G499" s="4">
        <f t="shared" si="30"/>
        <v>0.23585710178403479</v>
      </c>
      <c r="H499" s="4">
        <f t="shared" si="31"/>
        <v>48400</v>
      </c>
      <c r="I499" s="5">
        <f>SQRT(SUM('p-native-multi'!$C$3:C499)/COUNTIF($A$3:A499,"&lt;&gt;0"))</f>
        <v>15.800122252029395</v>
      </c>
    </row>
    <row r="500" spans="1:9">
      <c r="A500">
        <v>498</v>
      </c>
      <c r="B500">
        <v>453</v>
      </c>
      <c r="C500">
        <v>279</v>
      </c>
      <c r="D500">
        <v>233</v>
      </c>
      <c r="E500" s="4">
        <f t="shared" si="28"/>
        <v>0</v>
      </c>
      <c r="F500" s="4">
        <f t="shared" si="29"/>
        <v>174</v>
      </c>
      <c r="G500" s="4">
        <f t="shared" si="30"/>
        <v>0.14753738871102146</v>
      </c>
      <c r="H500" s="4">
        <f t="shared" si="31"/>
        <v>30276</v>
      </c>
      <c r="I500" s="5">
        <f>SQRT(SUM('p-native-multi'!$C$3:C500)/COUNTIF($A$3:A500,"&lt;&gt;0"))</f>
        <v>15.801987572611868</v>
      </c>
    </row>
    <row r="501" spans="1:9">
      <c r="A501">
        <v>499</v>
      </c>
      <c r="B501">
        <v>453</v>
      </c>
      <c r="C501">
        <v>253</v>
      </c>
      <c r="D501">
        <v>233</v>
      </c>
      <c r="E501" s="4">
        <f t="shared" si="28"/>
        <v>0</v>
      </c>
      <c r="F501" s="4">
        <f t="shared" si="29"/>
        <v>200</v>
      </c>
      <c r="G501" s="4">
        <f t="shared" si="30"/>
        <v>0.19492322461490477</v>
      </c>
      <c r="H501" s="4">
        <f t="shared" si="31"/>
        <v>40000</v>
      </c>
      <c r="I501" s="5">
        <f>SQRT(SUM('p-native-multi'!$C$3:C501)/COUNTIF($A$3:A501,"&lt;&gt;0"))</f>
        <v>15.802196645962717</v>
      </c>
    </row>
    <row r="502" spans="1:9">
      <c r="A502">
        <v>500</v>
      </c>
      <c r="B502">
        <v>453</v>
      </c>
      <c r="C502">
        <v>233</v>
      </c>
      <c r="D502">
        <v>233</v>
      </c>
      <c r="E502" s="4">
        <f t="shared" si="28"/>
        <v>0</v>
      </c>
      <c r="F502" s="4">
        <f t="shared" si="29"/>
        <v>220</v>
      </c>
      <c r="G502" s="4">
        <f t="shared" si="30"/>
        <v>0.23585710178403479</v>
      </c>
      <c r="H502" s="4">
        <f t="shared" si="31"/>
        <v>48400</v>
      </c>
      <c r="I502" s="5">
        <f>SQRT(SUM('p-native-multi'!$C$3:C502)/COUNTIF($A$3:A502,"&lt;&gt;0"))</f>
        <v>15.801139199437488</v>
      </c>
    </row>
    <row r="503" spans="1:9">
      <c r="A503">
        <v>501</v>
      </c>
      <c r="B503">
        <v>453</v>
      </c>
      <c r="C503">
        <v>279</v>
      </c>
      <c r="D503">
        <v>233</v>
      </c>
      <c r="E503" s="4">
        <f t="shared" si="28"/>
        <v>0</v>
      </c>
      <c r="F503" s="4">
        <f t="shared" si="29"/>
        <v>174</v>
      </c>
      <c r="G503" s="4">
        <f t="shared" si="30"/>
        <v>0.14753738871102146</v>
      </c>
      <c r="H503" s="4">
        <f t="shared" si="31"/>
        <v>30276</v>
      </c>
      <c r="I503" s="5">
        <f>SQRT(SUM('p-native-multi'!$C$3:C503)/COUNTIF($A$3:A503,"&lt;&gt;0"))</f>
        <v>15.802991202241548</v>
      </c>
    </row>
    <row r="504" spans="1:9">
      <c r="A504">
        <v>502</v>
      </c>
      <c r="B504">
        <v>453</v>
      </c>
      <c r="C504">
        <v>253</v>
      </c>
      <c r="D504">
        <v>233</v>
      </c>
      <c r="E504" s="4">
        <f t="shared" si="28"/>
        <v>0</v>
      </c>
      <c r="F504" s="4">
        <f t="shared" si="29"/>
        <v>200</v>
      </c>
      <c r="G504" s="4">
        <f t="shared" si="30"/>
        <v>0.19492322461490477</v>
      </c>
      <c r="H504" s="4">
        <f t="shared" si="31"/>
        <v>40000</v>
      </c>
      <c r="I504" s="5">
        <f>SQRT(SUM('p-native-multi'!$C$3:C504)/COUNTIF($A$3:A504,"&lt;&gt;0"))</f>
        <v>15.803197013787234</v>
      </c>
    </row>
    <row r="505" spans="1:9">
      <c r="A505">
        <v>503</v>
      </c>
      <c r="B505">
        <v>453</v>
      </c>
      <c r="C505">
        <v>253</v>
      </c>
      <c r="D505">
        <v>233</v>
      </c>
      <c r="E505" s="4">
        <f t="shared" si="28"/>
        <v>0</v>
      </c>
      <c r="F505" s="4">
        <f t="shared" si="29"/>
        <v>200</v>
      </c>
      <c r="G505" s="4">
        <f t="shared" si="30"/>
        <v>0.19492322461490477</v>
      </c>
      <c r="H505" s="4">
        <f t="shared" si="31"/>
        <v>40000</v>
      </c>
      <c r="I505" s="5">
        <f>SQRT(SUM('p-native-multi'!$C$3:C505)/COUNTIF($A$3:A505,"&lt;&gt;0"))</f>
        <v>15.803402004332384</v>
      </c>
    </row>
    <row r="506" spans="1:9">
      <c r="A506">
        <v>504</v>
      </c>
      <c r="B506">
        <v>453</v>
      </c>
      <c r="C506">
        <v>273</v>
      </c>
      <c r="D506">
        <v>233</v>
      </c>
      <c r="E506" s="4">
        <f t="shared" si="28"/>
        <v>0</v>
      </c>
      <c r="F506" s="4">
        <f t="shared" si="29"/>
        <v>180</v>
      </c>
      <c r="G506" s="4">
        <f t="shared" si="30"/>
        <v>0.15788781193807286</v>
      </c>
      <c r="H506" s="4">
        <f t="shared" si="31"/>
        <v>32400</v>
      </c>
      <c r="I506" s="5">
        <f>SQRT(SUM('p-native-multi'!$C$3:C506)/COUNTIF($A$3:A506,"&lt;&gt;0"))</f>
        <v>15.804861618933929</v>
      </c>
    </row>
    <row r="507" spans="1:9">
      <c r="A507">
        <v>505</v>
      </c>
      <c r="B507">
        <v>453</v>
      </c>
      <c r="C507">
        <v>273</v>
      </c>
      <c r="D507">
        <v>233</v>
      </c>
      <c r="E507" s="4">
        <f t="shared" si="28"/>
        <v>0</v>
      </c>
      <c r="F507" s="4">
        <f t="shared" si="29"/>
        <v>180</v>
      </c>
      <c r="G507" s="4">
        <f t="shared" si="30"/>
        <v>0.15788781193807286</v>
      </c>
      <c r="H507" s="4">
        <f t="shared" si="31"/>
        <v>32400</v>
      </c>
      <c r="I507" s="5">
        <f>SQRT(SUM('p-native-multi'!$C$3:C507)/COUNTIF($A$3:A507,"&lt;&gt;0"))</f>
        <v>15.806315318896939</v>
      </c>
    </row>
    <row r="508" spans="1:9">
      <c r="A508">
        <v>506</v>
      </c>
      <c r="B508">
        <v>453</v>
      </c>
      <c r="C508">
        <v>273</v>
      </c>
      <c r="D508">
        <v>233</v>
      </c>
      <c r="E508" s="4">
        <f t="shared" si="28"/>
        <v>0</v>
      </c>
      <c r="F508" s="4">
        <f t="shared" si="29"/>
        <v>180</v>
      </c>
      <c r="G508" s="4">
        <f t="shared" si="30"/>
        <v>0.15788781193807286</v>
      </c>
      <c r="H508" s="4">
        <f t="shared" si="31"/>
        <v>32400</v>
      </c>
      <c r="I508" s="5">
        <f>SQRT(SUM('p-native-multi'!$C$3:C508)/COUNTIF($A$3:A508,"&lt;&gt;0"))</f>
        <v>15.807763140117933</v>
      </c>
    </row>
    <row r="509" spans="1:9">
      <c r="A509">
        <v>507</v>
      </c>
      <c r="B509">
        <v>453</v>
      </c>
      <c r="C509">
        <v>233</v>
      </c>
      <c r="D509">
        <v>233</v>
      </c>
      <c r="E509" s="4">
        <f t="shared" si="28"/>
        <v>0</v>
      </c>
      <c r="F509" s="4">
        <f t="shared" si="29"/>
        <v>220</v>
      </c>
      <c r="G509" s="4">
        <f t="shared" si="30"/>
        <v>0.23585710178403479</v>
      </c>
      <c r="H509" s="4">
        <f t="shared" si="31"/>
        <v>48400</v>
      </c>
      <c r="I509" s="5">
        <f>SQRT(SUM('p-native-multi'!$C$3:C509)/COUNTIF($A$3:A509,"&lt;&gt;0"))</f>
        <v>15.806709683103476</v>
      </c>
    </row>
    <row r="510" spans="1:9">
      <c r="A510">
        <v>508</v>
      </c>
      <c r="B510">
        <v>453</v>
      </c>
      <c r="C510">
        <v>279</v>
      </c>
      <c r="D510">
        <v>233</v>
      </c>
      <c r="E510" s="4">
        <f t="shared" si="28"/>
        <v>0</v>
      </c>
      <c r="F510" s="4">
        <f t="shared" si="29"/>
        <v>174</v>
      </c>
      <c r="G510" s="4">
        <f t="shared" si="30"/>
        <v>0.14753738871102146</v>
      </c>
      <c r="H510" s="4">
        <f t="shared" si="31"/>
        <v>30276</v>
      </c>
      <c r="I510" s="5">
        <f>SQRT(SUM('p-native-multi'!$C$3:C510)/COUNTIF($A$3:A510,"&lt;&gt;0"))</f>
        <v>15.808524561732433</v>
      </c>
    </row>
    <row r="511" spans="1:9">
      <c r="A511">
        <v>509</v>
      </c>
      <c r="B511">
        <v>453</v>
      </c>
      <c r="C511">
        <v>253</v>
      </c>
      <c r="D511">
        <v>233</v>
      </c>
      <c r="E511" s="4">
        <f t="shared" si="28"/>
        <v>0</v>
      </c>
      <c r="F511" s="4">
        <f t="shared" si="29"/>
        <v>200</v>
      </c>
      <c r="G511" s="4">
        <f t="shared" si="30"/>
        <v>0.19492322461490477</v>
      </c>
      <c r="H511" s="4">
        <f t="shared" si="31"/>
        <v>40000</v>
      </c>
      <c r="I511" s="5">
        <f>SQRT(SUM('p-native-multi'!$C$3:C511)/COUNTIF($A$3:A511,"&lt;&gt;0"))</f>
        <v>15.808716602832872</v>
      </c>
    </row>
    <row r="512" spans="1:9">
      <c r="A512">
        <v>510</v>
      </c>
      <c r="B512">
        <v>453</v>
      </c>
      <c r="C512">
        <v>233</v>
      </c>
      <c r="D512">
        <v>233</v>
      </c>
      <c r="E512" s="4">
        <f t="shared" si="28"/>
        <v>0</v>
      </c>
      <c r="F512" s="4">
        <f t="shared" si="29"/>
        <v>220</v>
      </c>
      <c r="G512" s="4">
        <f t="shared" si="30"/>
        <v>0.23585710178403479</v>
      </c>
      <c r="H512" s="4">
        <f t="shared" si="31"/>
        <v>48400</v>
      </c>
      <c r="I512" s="5">
        <f>SQRT(SUM('p-native-multi'!$C$3:C512)/COUNTIF($A$3:A512,"&lt;&gt;0"))</f>
        <v>15.807667536394371</v>
      </c>
    </row>
    <row r="513" spans="1:9">
      <c r="A513">
        <v>511</v>
      </c>
      <c r="B513">
        <v>453</v>
      </c>
      <c r="C513">
        <v>233</v>
      </c>
      <c r="D513">
        <v>233</v>
      </c>
      <c r="E513" s="4">
        <f t="shared" si="28"/>
        <v>0</v>
      </c>
      <c r="F513" s="4">
        <f t="shared" si="29"/>
        <v>220</v>
      </c>
      <c r="G513" s="4">
        <f t="shared" si="30"/>
        <v>0.23585710178403479</v>
      </c>
      <c r="H513" s="4">
        <f t="shared" si="31"/>
        <v>48400</v>
      </c>
      <c r="I513" s="5">
        <f>SQRT(SUM('p-native-multi'!$C$3:C513)/COUNTIF($A$3:A513,"&lt;&gt;0"))</f>
        <v>15.806622506674003</v>
      </c>
    </row>
    <row r="514" spans="1:9">
      <c r="A514">
        <v>512</v>
      </c>
      <c r="B514">
        <v>453</v>
      </c>
      <c r="C514">
        <v>233</v>
      </c>
      <c r="D514">
        <v>233</v>
      </c>
      <c r="E514" s="4">
        <f t="shared" si="28"/>
        <v>0</v>
      </c>
      <c r="F514" s="4">
        <f t="shared" si="29"/>
        <v>220</v>
      </c>
      <c r="G514" s="4">
        <f t="shared" si="30"/>
        <v>0.23585710178403479</v>
      </c>
      <c r="H514" s="4">
        <f t="shared" si="31"/>
        <v>48400</v>
      </c>
      <c r="I514" s="5">
        <f>SQRT(SUM('p-native-multi'!$C$3:C514)/COUNTIF($A$3:A514,"&lt;&gt;0"))</f>
        <v>15.805581490410278</v>
      </c>
    </row>
    <row r="515" spans="1:9">
      <c r="A515">
        <v>513</v>
      </c>
      <c r="B515">
        <v>453</v>
      </c>
      <c r="C515">
        <v>273</v>
      </c>
      <c r="D515">
        <v>233</v>
      </c>
      <c r="E515" s="4">
        <f t="shared" si="28"/>
        <v>0</v>
      </c>
      <c r="F515" s="4">
        <f t="shared" si="29"/>
        <v>180</v>
      </c>
      <c r="G515" s="4">
        <f t="shared" si="30"/>
        <v>0.15788781193807286</v>
      </c>
      <c r="H515" s="4">
        <f t="shared" si="31"/>
        <v>32400</v>
      </c>
      <c r="I515" s="5">
        <f>SQRT(SUM('p-native-multi'!$C$3:C515)/COUNTIF($A$3:A515,"&lt;&gt;0"))</f>
        <v>15.807011053344203</v>
      </c>
    </row>
    <row r="516" spans="1:9">
      <c r="A516">
        <v>514</v>
      </c>
      <c r="B516">
        <v>453</v>
      </c>
      <c r="C516">
        <v>253</v>
      </c>
      <c r="D516">
        <v>233</v>
      </c>
      <c r="E516" s="4">
        <f t="shared" ref="E516:E579" si="32">IF(AND(C516&lt;=B516*1.2,C516&gt;=B516*0.8),1,0)</f>
        <v>0</v>
      </c>
      <c r="F516" s="4">
        <f t="shared" ref="F516:F579" si="33">ABS(B516-C516)</f>
        <v>200</v>
      </c>
      <c r="G516" s="4">
        <f t="shared" ref="G516:G579" si="34">POWER(ABS(B516-C516)/B516,2)</f>
        <v>0.19492322461490477</v>
      </c>
      <c r="H516" s="4">
        <f t="shared" ref="H516:H579" si="35">POWER(F516,2)</f>
        <v>40000</v>
      </c>
      <c r="I516" s="5">
        <f>SQRT(SUM('p-native-multi'!$C$3:C516)/COUNTIF($A$3:A516,"&lt;&gt;0"))</f>
        <v>15.807204189234591</v>
      </c>
    </row>
    <row r="517" spans="1:9">
      <c r="A517">
        <v>515</v>
      </c>
      <c r="B517">
        <v>453</v>
      </c>
      <c r="C517">
        <v>279</v>
      </c>
      <c r="D517">
        <v>233</v>
      </c>
      <c r="E517" s="4">
        <f t="shared" si="32"/>
        <v>0</v>
      </c>
      <c r="F517" s="4">
        <f t="shared" si="33"/>
        <v>174</v>
      </c>
      <c r="G517" s="4">
        <f t="shared" si="34"/>
        <v>0.14753738871102146</v>
      </c>
      <c r="H517" s="4">
        <f t="shared" si="35"/>
        <v>30276</v>
      </c>
      <c r="I517" s="5">
        <f>SQRT(SUM('p-native-multi'!$C$3:C517)/COUNTIF($A$3:A517,"&lt;&gt;0"))</f>
        <v>15.808993384926827</v>
      </c>
    </row>
    <row r="518" spans="1:9">
      <c r="A518">
        <v>516</v>
      </c>
      <c r="B518">
        <v>453</v>
      </c>
      <c r="C518">
        <v>233</v>
      </c>
      <c r="D518">
        <v>233</v>
      </c>
      <c r="E518" s="4">
        <f t="shared" si="32"/>
        <v>0</v>
      </c>
      <c r="F518" s="4">
        <f t="shared" si="33"/>
        <v>220</v>
      </c>
      <c r="G518" s="4">
        <f t="shared" si="34"/>
        <v>0.23585710178403479</v>
      </c>
      <c r="H518" s="4">
        <f t="shared" si="35"/>
        <v>48400</v>
      </c>
      <c r="I518" s="5">
        <f>SQRT(SUM('p-native-multi'!$C$3:C518)/COUNTIF($A$3:A518,"&lt;&gt;0"))</f>
        <v>15.807955999060001</v>
      </c>
    </row>
    <row r="519" spans="1:9">
      <c r="A519">
        <v>517</v>
      </c>
      <c r="B519">
        <v>453</v>
      </c>
      <c r="C519">
        <v>253</v>
      </c>
      <c r="D519">
        <v>233</v>
      </c>
      <c r="E519" s="4">
        <f t="shared" si="32"/>
        <v>0</v>
      </c>
      <c r="F519" s="4">
        <f t="shared" si="33"/>
        <v>200</v>
      </c>
      <c r="G519" s="4">
        <f t="shared" si="34"/>
        <v>0.19492322461490477</v>
      </c>
      <c r="H519" s="4">
        <f t="shared" si="35"/>
        <v>40000</v>
      </c>
      <c r="I519" s="5">
        <f>SQRT(SUM('p-native-multi'!$C$3:C519)/COUNTIF($A$3:A519,"&lt;&gt;0"))</f>
        <v>15.808146175096882</v>
      </c>
    </row>
    <row r="520" spans="1:9">
      <c r="A520">
        <v>518</v>
      </c>
      <c r="B520">
        <v>453</v>
      </c>
      <c r="C520">
        <v>233</v>
      </c>
      <c r="D520">
        <v>233</v>
      </c>
      <c r="E520" s="4">
        <f t="shared" si="32"/>
        <v>0</v>
      </c>
      <c r="F520" s="4">
        <f t="shared" si="33"/>
        <v>220</v>
      </c>
      <c r="G520" s="4">
        <f t="shared" si="34"/>
        <v>0.23585710178403479</v>
      </c>
      <c r="H520" s="4">
        <f t="shared" si="35"/>
        <v>48400</v>
      </c>
      <c r="I520" s="5">
        <f>SQRT(SUM('p-native-multi'!$C$3:C520)/COUNTIF($A$3:A520,"&lt;&gt;0"))</f>
        <v>15.807114375016866</v>
      </c>
    </row>
    <row r="521" spans="1:9">
      <c r="A521">
        <v>519</v>
      </c>
      <c r="B521">
        <v>453</v>
      </c>
      <c r="C521">
        <v>279</v>
      </c>
      <c r="D521">
        <v>233</v>
      </c>
      <c r="E521" s="4">
        <f t="shared" si="32"/>
        <v>0</v>
      </c>
      <c r="F521" s="4">
        <f t="shared" si="33"/>
        <v>174</v>
      </c>
      <c r="G521" s="4">
        <f t="shared" si="34"/>
        <v>0.14753738871102146</v>
      </c>
      <c r="H521" s="4">
        <f t="shared" si="35"/>
        <v>30276</v>
      </c>
      <c r="I521" s="5">
        <f>SQRT(SUM('p-native-multi'!$C$3:C521)/COUNTIF($A$3:A521,"&lt;&gt;0"))</f>
        <v>15.808889965041262</v>
      </c>
    </row>
    <row r="522" spans="1:9">
      <c r="A522">
        <v>520</v>
      </c>
      <c r="B522">
        <v>453</v>
      </c>
      <c r="C522">
        <v>273</v>
      </c>
      <c r="D522">
        <v>233</v>
      </c>
      <c r="E522" s="4">
        <f t="shared" si="32"/>
        <v>0</v>
      </c>
      <c r="F522" s="4">
        <f t="shared" si="33"/>
        <v>180</v>
      </c>
      <c r="G522" s="4">
        <f t="shared" si="34"/>
        <v>0.15788781193807286</v>
      </c>
      <c r="H522" s="4">
        <f t="shared" si="35"/>
        <v>32400</v>
      </c>
      <c r="I522" s="5">
        <f>SQRT(SUM('p-native-multi'!$C$3:C522)/COUNTIF($A$3:A522,"&lt;&gt;0"))</f>
        <v>15.810293628373403</v>
      </c>
    </row>
    <row r="523" spans="1:9">
      <c r="A523">
        <v>521</v>
      </c>
      <c r="B523">
        <v>453</v>
      </c>
      <c r="C523">
        <v>273</v>
      </c>
      <c r="D523">
        <v>233</v>
      </c>
      <c r="E523" s="4">
        <f t="shared" si="32"/>
        <v>0</v>
      </c>
      <c r="F523" s="4">
        <f t="shared" si="33"/>
        <v>180</v>
      </c>
      <c r="G523" s="4">
        <f t="shared" si="34"/>
        <v>0.15788781193807286</v>
      </c>
      <c r="H523" s="4">
        <f t="shared" si="35"/>
        <v>32400</v>
      </c>
      <c r="I523" s="5">
        <f>SQRT(SUM('p-native-multi'!$C$3:C523)/COUNTIF($A$3:A523,"&lt;&gt;0"))</f>
        <v>15.811691779470744</v>
      </c>
    </row>
    <row r="524" spans="1:9">
      <c r="A524">
        <v>522</v>
      </c>
      <c r="B524">
        <v>453</v>
      </c>
      <c r="C524">
        <v>233</v>
      </c>
      <c r="D524">
        <v>233</v>
      </c>
      <c r="E524" s="4">
        <f t="shared" si="32"/>
        <v>0</v>
      </c>
      <c r="F524" s="4">
        <f t="shared" si="33"/>
        <v>220</v>
      </c>
      <c r="G524" s="4">
        <f t="shared" si="34"/>
        <v>0.23585710178403479</v>
      </c>
      <c r="H524" s="4">
        <f t="shared" si="35"/>
        <v>48400</v>
      </c>
      <c r="I524" s="5">
        <f>SQRT(SUM('p-native-multi'!$C$3:C524)/COUNTIF($A$3:A524,"&lt;&gt;0"))</f>
        <v>15.810661323747748</v>
      </c>
    </row>
    <row r="525" spans="1:9">
      <c r="A525">
        <v>523</v>
      </c>
      <c r="B525">
        <v>453</v>
      </c>
      <c r="C525">
        <v>279</v>
      </c>
      <c r="D525">
        <v>233</v>
      </c>
      <c r="E525" s="4">
        <f t="shared" si="32"/>
        <v>0</v>
      </c>
      <c r="F525" s="4">
        <f t="shared" si="33"/>
        <v>174</v>
      </c>
      <c r="G525" s="4">
        <f t="shared" si="34"/>
        <v>0.14753738871102146</v>
      </c>
      <c r="H525" s="4">
        <f t="shared" si="35"/>
        <v>30276</v>
      </c>
      <c r="I525" s="5">
        <f>SQRT(SUM('p-native-multi'!$C$3:C525)/COUNTIF($A$3:A525,"&lt;&gt;0"))</f>
        <v>15.81241615883274</v>
      </c>
    </row>
    <row r="526" spans="1:9">
      <c r="A526">
        <v>524</v>
      </c>
      <c r="B526">
        <v>453</v>
      </c>
      <c r="C526">
        <v>273</v>
      </c>
      <c r="D526">
        <v>233</v>
      </c>
      <c r="E526" s="4">
        <f t="shared" si="32"/>
        <v>0</v>
      </c>
      <c r="F526" s="4">
        <f t="shared" si="33"/>
        <v>180</v>
      </c>
      <c r="G526" s="4">
        <f t="shared" si="34"/>
        <v>0.15788781193807286</v>
      </c>
      <c r="H526" s="4">
        <f t="shared" si="35"/>
        <v>32400</v>
      </c>
      <c r="I526" s="5">
        <f>SQRT(SUM('p-native-multi'!$C$3:C526)/COUNTIF($A$3:A526,"&lt;&gt;0"))</f>
        <v>15.81380206901119</v>
      </c>
    </row>
    <row r="527" spans="1:9">
      <c r="A527">
        <v>525</v>
      </c>
      <c r="B527">
        <v>453</v>
      </c>
      <c r="C527">
        <v>233</v>
      </c>
      <c r="D527">
        <v>233</v>
      </c>
      <c r="E527" s="4">
        <f t="shared" si="32"/>
        <v>0</v>
      </c>
      <c r="F527" s="4">
        <f t="shared" si="33"/>
        <v>220</v>
      </c>
      <c r="G527" s="4">
        <f t="shared" si="34"/>
        <v>0.23585710178403479</v>
      </c>
      <c r="H527" s="4">
        <f t="shared" si="35"/>
        <v>48400</v>
      </c>
      <c r="I527" s="5">
        <f>SQRT(SUM('p-native-multi'!$C$3:C527)/COUNTIF($A$3:A527,"&lt;&gt;0"))</f>
        <v>15.812773618938884</v>
      </c>
    </row>
    <row r="528" spans="1:9">
      <c r="A528">
        <v>526</v>
      </c>
      <c r="B528">
        <v>453</v>
      </c>
      <c r="C528">
        <v>253</v>
      </c>
      <c r="D528">
        <v>233</v>
      </c>
      <c r="E528" s="4">
        <f t="shared" si="32"/>
        <v>0</v>
      </c>
      <c r="F528" s="4">
        <f t="shared" si="33"/>
        <v>200</v>
      </c>
      <c r="G528" s="4">
        <f t="shared" si="34"/>
        <v>0.19492322461490477</v>
      </c>
      <c r="H528" s="4">
        <f t="shared" si="35"/>
        <v>40000</v>
      </c>
      <c r="I528" s="5">
        <f>SQRT(SUM('p-native-multi'!$C$3:C528)/COUNTIF($A$3:A528,"&lt;&gt;0"))</f>
        <v>15.812951326611826</v>
      </c>
    </row>
    <row r="529" spans="1:9">
      <c r="A529">
        <v>527</v>
      </c>
      <c r="B529">
        <v>453</v>
      </c>
      <c r="C529">
        <v>253</v>
      </c>
      <c r="D529">
        <v>233</v>
      </c>
      <c r="E529" s="4">
        <f t="shared" si="32"/>
        <v>0</v>
      </c>
      <c r="F529" s="4">
        <f t="shared" si="33"/>
        <v>200</v>
      </c>
      <c r="G529" s="4">
        <f t="shared" si="34"/>
        <v>0.19492322461490477</v>
      </c>
      <c r="H529" s="4">
        <f t="shared" si="35"/>
        <v>40000</v>
      </c>
      <c r="I529" s="5">
        <f>SQRT(SUM('p-native-multi'!$C$3:C529)/COUNTIF($A$3:A529,"&lt;&gt;0"))</f>
        <v>15.813128357886624</v>
      </c>
    </row>
    <row r="530" spans="1:9">
      <c r="A530">
        <v>528</v>
      </c>
      <c r="B530">
        <v>453</v>
      </c>
      <c r="C530">
        <v>233</v>
      </c>
      <c r="D530">
        <v>233</v>
      </c>
      <c r="E530" s="4">
        <f t="shared" si="32"/>
        <v>0</v>
      </c>
      <c r="F530" s="4">
        <f t="shared" si="33"/>
        <v>220</v>
      </c>
      <c r="G530" s="4">
        <f t="shared" si="34"/>
        <v>0.23585710178403479</v>
      </c>
      <c r="H530" s="4">
        <f t="shared" si="35"/>
        <v>48400</v>
      </c>
      <c r="I530" s="5">
        <f>SQRT(SUM('p-native-multi'!$C$3:C530)/COUNTIF($A$3:A530,"&lt;&gt;0"))</f>
        <v>15.812106983976781</v>
      </c>
    </row>
    <row r="531" spans="1:9">
      <c r="A531">
        <v>529</v>
      </c>
      <c r="B531">
        <v>453</v>
      </c>
      <c r="C531">
        <v>253</v>
      </c>
      <c r="D531">
        <v>233</v>
      </c>
      <c r="E531" s="4">
        <f t="shared" si="32"/>
        <v>0</v>
      </c>
      <c r="F531" s="4">
        <f t="shared" si="33"/>
        <v>200</v>
      </c>
      <c r="G531" s="4">
        <f t="shared" si="34"/>
        <v>0.19492322461490477</v>
      </c>
      <c r="H531" s="4">
        <f t="shared" si="35"/>
        <v>40000</v>
      </c>
      <c r="I531" s="5">
        <f>SQRT(SUM('p-native-multi'!$C$3:C531)/COUNTIF($A$3:A531,"&lt;&gt;0"))</f>
        <v>15.812284951502853</v>
      </c>
    </row>
    <row r="532" spans="1:9">
      <c r="A532">
        <v>530</v>
      </c>
      <c r="B532">
        <v>453</v>
      </c>
      <c r="C532">
        <v>253</v>
      </c>
      <c r="D532">
        <v>233</v>
      </c>
      <c r="E532" s="4">
        <f t="shared" si="32"/>
        <v>0</v>
      </c>
      <c r="F532" s="4">
        <f t="shared" si="33"/>
        <v>200</v>
      </c>
      <c r="G532" s="4">
        <f t="shared" si="34"/>
        <v>0.19492322461490477</v>
      </c>
      <c r="H532" s="4">
        <f t="shared" si="35"/>
        <v>40000</v>
      </c>
      <c r="I532" s="5">
        <f>SQRT(SUM('p-native-multi'!$C$3:C532)/COUNTIF($A$3:A532,"&lt;&gt;0"))</f>
        <v>15.812462245461678</v>
      </c>
    </row>
    <row r="533" spans="1:9">
      <c r="A533">
        <v>531</v>
      </c>
      <c r="B533">
        <v>453</v>
      </c>
      <c r="C533">
        <v>233</v>
      </c>
      <c r="D533">
        <v>233</v>
      </c>
      <c r="E533" s="4">
        <f t="shared" si="32"/>
        <v>0</v>
      </c>
      <c r="F533" s="4">
        <f t="shared" si="33"/>
        <v>220</v>
      </c>
      <c r="G533" s="4">
        <f t="shared" si="34"/>
        <v>0.23585710178403479</v>
      </c>
      <c r="H533" s="4">
        <f t="shared" si="35"/>
        <v>48400</v>
      </c>
      <c r="I533" s="5">
        <f>SQRT(SUM('p-native-multi'!$C$3:C533)/COUNTIF($A$3:A533,"&lt;&gt;0"))</f>
        <v>15.811447853981347</v>
      </c>
    </row>
    <row r="534" spans="1:9">
      <c r="A534">
        <v>532</v>
      </c>
      <c r="B534">
        <v>453</v>
      </c>
      <c r="C534">
        <v>253</v>
      </c>
      <c r="D534">
        <v>233</v>
      </c>
      <c r="E534" s="4">
        <f t="shared" si="32"/>
        <v>0</v>
      </c>
      <c r="F534" s="4">
        <f t="shared" si="33"/>
        <v>200</v>
      </c>
      <c r="G534" s="4">
        <f t="shared" si="34"/>
        <v>0.19492322461490477</v>
      </c>
      <c r="H534" s="4">
        <f t="shared" si="35"/>
        <v>40000</v>
      </c>
      <c r="I534" s="5">
        <f>SQRT(SUM('p-native-multi'!$C$3:C534)/COUNTIF($A$3:A534,"&lt;&gt;0"))</f>
        <v>15.811626064291822</v>
      </c>
    </row>
    <row r="535" spans="1:9">
      <c r="A535">
        <v>533</v>
      </c>
      <c r="B535">
        <v>453</v>
      </c>
      <c r="C535">
        <v>233</v>
      </c>
      <c r="D535">
        <v>233</v>
      </c>
      <c r="E535" s="4">
        <f t="shared" si="32"/>
        <v>0</v>
      </c>
      <c r="F535" s="4">
        <f t="shared" si="33"/>
        <v>220</v>
      </c>
      <c r="G535" s="4">
        <f t="shared" si="34"/>
        <v>0.23585710178403479</v>
      </c>
      <c r="H535" s="4">
        <f t="shared" si="35"/>
        <v>48400</v>
      </c>
      <c r="I535" s="5">
        <f>SQRT(SUM('p-native-multi'!$C$3:C535)/COUNTIF($A$3:A535,"&lt;&gt;0"))</f>
        <v>15.810616994794907</v>
      </c>
    </row>
    <row r="536" spans="1:9">
      <c r="A536">
        <v>534</v>
      </c>
      <c r="B536">
        <v>453</v>
      </c>
      <c r="C536">
        <v>253</v>
      </c>
      <c r="D536">
        <v>233</v>
      </c>
      <c r="E536" s="4">
        <f t="shared" si="32"/>
        <v>0</v>
      </c>
      <c r="F536" s="4">
        <f t="shared" si="33"/>
        <v>200</v>
      </c>
      <c r="G536" s="4">
        <f t="shared" si="34"/>
        <v>0.19492322461490477</v>
      </c>
      <c r="H536" s="4">
        <f t="shared" si="35"/>
        <v>40000</v>
      </c>
      <c r="I536" s="5">
        <f>SQRT(SUM('p-native-multi'!$C$3:C536)/COUNTIF($A$3:A536,"&lt;&gt;0"))</f>
        <v>15.810796102924094</v>
      </c>
    </row>
    <row r="537" spans="1:9">
      <c r="A537">
        <v>535</v>
      </c>
      <c r="B537">
        <v>453</v>
      </c>
      <c r="C537">
        <v>233</v>
      </c>
      <c r="D537">
        <v>233</v>
      </c>
      <c r="E537" s="4">
        <f t="shared" si="32"/>
        <v>0</v>
      </c>
      <c r="F537" s="4">
        <f t="shared" si="33"/>
        <v>220</v>
      </c>
      <c r="G537" s="4">
        <f t="shared" si="34"/>
        <v>0.23585710178403479</v>
      </c>
      <c r="H537" s="4">
        <f t="shared" si="35"/>
        <v>48400</v>
      </c>
      <c r="I537" s="5">
        <f>SQRT(SUM('p-native-multi'!$C$3:C537)/COUNTIF($A$3:A537,"&lt;&gt;0"))</f>
        <v>15.809792304463723</v>
      </c>
    </row>
    <row r="538" spans="1:9">
      <c r="A538">
        <v>536</v>
      </c>
      <c r="B538">
        <v>453</v>
      </c>
      <c r="C538">
        <v>253</v>
      </c>
      <c r="D538">
        <v>233</v>
      </c>
      <c r="E538" s="4">
        <f t="shared" si="32"/>
        <v>0</v>
      </c>
      <c r="F538" s="4">
        <f t="shared" si="33"/>
        <v>200</v>
      </c>
      <c r="G538" s="4">
        <f t="shared" si="34"/>
        <v>0.19492322461490477</v>
      </c>
      <c r="H538" s="4">
        <f t="shared" si="35"/>
        <v>40000</v>
      </c>
      <c r="I538" s="5">
        <f>SQRT(SUM('p-native-multi'!$C$3:C538)/COUNTIF($A$3:A538,"&lt;&gt;0"))</f>
        <v>15.809972292214715</v>
      </c>
    </row>
    <row r="539" spans="1:9">
      <c r="A539">
        <v>537</v>
      </c>
      <c r="B539">
        <v>453</v>
      </c>
      <c r="C539">
        <v>253</v>
      </c>
      <c r="D539">
        <v>233</v>
      </c>
      <c r="E539" s="4">
        <f t="shared" si="32"/>
        <v>0</v>
      </c>
      <c r="F539" s="4">
        <f t="shared" si="33"/>
        <v>200</v>
      </c>
      <c r="G539" s="4">
        <f t="shared" si="34"/>
        <v>0.19492322461490477</v>
      </c>
      <c r="H539" s="4">
        <f t="shared" si="35"/>
        <v>40000</v>
      </c>
      <c r="I539" s="5">
        <f>SQRT(SUM('p-native-multi'!$C$3:C539)/COUNTIF($A$3:A539,"&lt;&gt;0"))</f>
        <v>15.810151607582661</v>
      </c>
    </row>
    <row r="540" spans="1:9">
      <c r="A540">
        <v>538</v>
      </c>
      <c r="B540">
        <v>453</v>
      </c>
      <c r="C540">
        <v>233</v>
      </c>
      <c r="D540">
        <v>233</v>
      </c>
      <c r="E540" s="4">
        <f t="shared" si="32"/>
        <v>0</v>
      </c>
      <c r="F540" s="4">
        <f t="shared" si="33"/>
        <v>220</v>
      </c>
      <c r="G540" s="4">
        <f t="shared" si="34"/>
        <v>0.23585710178403479</v>
      </c>
      <c r="H540" s="4">
        <f t="shared" si="35"/>
        <v>48400</v>
      </c>
      <c r="I540" s="5">
        <f>SQRT(SUM('p-native-multi'!$C$3:C540)/COUNTIF($A$3:A540,"&lt;&gt;0"))</f>
        <v>15.809154564041044</v>
      </c>
    </row>
    <row r="541" spans="1:9">
      <c r="A541">
        <v>539</v>
      </c>
      <c r="B541">
        <v>453</v>
      </c>
      <c r="C541">
        <v>233</v>
      </c>
      <c r="D541">
        <v>233</v>
      </c>
      <c r="E541" s="4">
        <f t="shared" si="32"/>
        <v>0</v>
      </c>
      <c r="F541" s="4">
        <f t="shared" si="33"/>
        <v>220</v>
      </c>
      <c r="G541" s="4">
        <f t="shared" si="34"/>
        <v>0.23585710178403479</v>
      </c>
      <c r="H541" s="4">
        <f t="shared" si="35"/>
        <v>48400</v>
      </c>
      <c r="I541" s="5">
        <f>SQRT(SUM('p-native-multi'!$C$3:C541)/COUNTIF($A$3:A541,"&lt;&gt;0"))</f>
        <v>15.808161157569007</v>
      </c>
    </row>
    <row r="542" spans="1:9">
      <c r="A542">
        <v>540</v>
      </c>
      <c r="B542">
        <v>453</v>
      </c>
      <c r="C542">
        <v>253</v>
      </c>
      <c r="D542">
        <v>233</v>
      </c>
      <c r="E542" s="4">
        <f t="shared" si="32"/>
        <v>0</v>
      </c>
      <c r="F542" s="4">
        <f t="shared" si="33"/>
        <v>200</v>
      </c>
      <c r="G542" s="4">
        <f t="shared" si="34"/>
        <v>0.19492322461490477</v>
      </c>
      <c r="H542" s="4">
        <f t="shared" si="35"/>
        <v>40000</v>
      </c>
      <c r="I542" s="5">
        <f>SQRT(SUM('p-native-multi'!$C$3:C542)/COUNTIF($A$3:A542,"&lt;&gt;0"))</f>
        <v>15.808342851282791</v>
      </c>
    </row>
    <row r="543" spans="1:9">
      <c r="A543">
        <v>541</v>
      </c>
      <c r="B543">
        <v>453</v>
      </c>
      <c r="C543">
        <v>253</v>
      </c>
      <c r="D543">
        <v>233</v>
      </c>
      <c r="E543" s="4">
        <f t="shared" si="32"/>
        <v>0</v>
      </c>
      <c r="F543" s="4">
        <f t="shared" si="33"/>
        <v>200</v>
      </c>
      <c r="G543" s="4">
        <f t="shared" si="34"/>
        <v>0.19492322461490477</v>
      </c>
      <c r="H543" s="4">
        <f t="shared" si="35"/>
        <v>40000</v>
      </c>
      <c r="I543" s="5">
        <f>SQRT(SUM('p-native-multi'!$C$3:C543)/COUNTIF($A$3:A543,"&lt;&gt;0"))</f>
        <v>15.808523871224063</v>
      </c>
    </row>
    <row r="544" spans="1:9">
      <c r="A544">
        <v>542</v>
      </c>
      <c r="B544">
        <v>453</v>
      </c>
      <c r="C544">
        <v>233</v>
      </c>
      <c r="D544">
        <v>233</v>
      </c>
      <c r="E544" s="4">
        <f t="shared" si="32"/>
        <v>0</v>
      </c>
      <c r="F544" s="4">
        <f t="shared" si="33"/>
        <v>220</v>
      </c>
      <c r="G544" s="4">
        <f t="shared" si="34"/>
        <v>0.23585710178403479</v>
      </c>
      <c r="H544" s="4">
        <f t="shared" si="35"/>
        <v>48400</v>
      </c>
      <c r="I544" s="5">
        <f>SQRT(SUM('p-native-multi'!$C$3:C544)/COUNTIF($A$3:A544,"&lt;&gt;0"))</f>
        <v>15.807537087803649</v>
      </c>
    </row>
    <row r="545" spans="1:9">
      <c r="A545">
        <v>543</v>
      </c>
      <c r="B545">
        <v>453</v>
      </c>
      <c r="C545">
        <v>233</v>
      </c>
      <c r="D545">
        <v>233</v>
      </c>
      <c r="E545" s="4">
        <f t="shared" si="32"/>
        <v>0</v>
      </c>
      <c r="F545" s="4">
        <f t="shared" si="33"/>
        <v>220</v>
      </c>
      <c r="G545" s="4">
        <f t="shared" si="34"/>
        <v>0.23585710178403479</v>
      </c>
      <c r="H545" s="4">
        <f t="shared" si="35"/>
        <v>48400</v>
      </c>
      <c r="I545" s="5">
        <f>SQRT(SUM('p-native-multi'!$C$3:C545)/COUNTIF($A$3:A545,"&lt;&gt;0"))</f>
        <v>15.806553877680912</v>
      </c>
    </row>
    <row r="546" spans="1:9">
      <c r="A546">
        <v>544</v>
      </c>
      <c r="B546">
        <v>453</v>
      </c>
      <c r="C546">
        <v>233</v>
      </c>
      <c r="D546">
        <v>233</v>
      </c>
      <c r="E546" s="4">
        <f t="shared" si="32"/>
        <v>0</v>
      </c>
      <c r="F546" s="4">
        <f t="shared" si="33"/>
        <v>220</v>
      </c>
      <c r="G546" s="4">
        <f t="shared" si="34"/>
        <v>0.23585710178403479</v>
      </c>
      <c r="H546" s="4">
        <f t="shared" si="35"/>
        <v>48400</v>
      </c>
      <c r="I546" s="5">
        <f>SQRT(SUM('p-native-multi'!$C$3:C546)/COUNTIF($A$3:A546,"&lt;&gt;0"))</f>
        <v>15.80557422147605</v>
      </c>
    </row>
    <row r="547" spans="1:9">
      <c r="A547">
        <v>545</v>
      </c>
      <c r="B547">
        <v>453</v>
      </c>
      <c r="C547">
        <v>273</v>
      </c>
      <c r="D547">
        <v>233</v>
      </c>
      <c r="E547" s="4">
        <f t="shared" si="32"/>
        <v>0</v>
      </c>
      <c r="F547" s="4">
        <f t="shared" si="33"/>
        <v>180</v>
      </c>
      <c r="G547" s="4">
        <f t="shared" si="34"/>
        <v>0.15788781193807286</v>
      </c>
      <c r="H547" s="4">
        <f t="shared" si="35"/>
        <v>32400</v>
      </c>
      <c r="I547" s="5">
        <f>SQRT(SUM('p-native-multi'!$C$3:C547)/COUNTIF($A$3:A547,"&lt;&gt;0"))</f>
        <v>15.806919864297734</v>
      </c>
    </row>
    <row r="548" spans="1:9">
      <c r="A548">
        <v>546</v>
      </c>
      <c r="B548">
        <v>453</v>
      </c>
      <c r="C548">
        <v>233</v>
      </c>
      <c r="D548">
        <v>233</v>
      </c>
      <c r="E548" s="4">
        <f t="shared" si="32"/>
        <v>0</v>
      </c>
      <c r="F548" s="4">
        <f t="shared" si="33"/>
        <v>220</v>
      </c>
      <c r="G548" s="4">
        <f t="shared" si="34"/>
        <v>0.23585710178403479</v>
      </c>
      <c r="H548" s="4">
        <f t="shared" si="35"/>
        <v>48400</v>
      </c>
      <c r="I548" s="5">
        <f>SQRT(SUM('p-native-multi'!$C$3:C548)/COUNTIF($A$3:A548,"&lt;&gt;0"))</f>
        <v>15.80594314894998</v>
      </c>
    </row>
    <row r="549" spans="1:9">
      <c r="A549">
        <v>547</v>
      </c>
      <c r="B549">
        <v>453</v>
      </c>
      <c r="C549">
        <v>279</v>
      </c>
      <c r="D549">
        <v>233</v>
      </c>
      <c r="E549" s="4">
        <f t="shared" si="32"/>
        <v>0</v>
      </c>
      <c r="F549" s="4">
        <f t="shared" si="33"/>
        <v>174</v>
      </c>
      <c r="G549" s="4">
        <f t="shared" si="34"/>
        <v>0.14753738871102146</v>
      </c>
      <c r="H549" s="4">
        <f t="shared" si="35"/>
        <v>30276</v>
      </c>
      <c r="I549" s="5">
        <f>SQRT(SUM('p-native-multi'!$C$3:C549)/COUNTIF($A$3:A549,"&lt;&gt;0"))</f>
        <v>15.807630120238818</v>
      </c>
    </row>
    <row r="550" spans="1:9">
      <c r="A550">
        <v>548</v>
      </c>
      <c r="B550">
        <v>453</v>
      </c>
      <c r="C550">
        <v>273</v>
      </c>
      <c r="D550">
        <v>233</v>
      </c>
      <c r="E550" s="4">
        <f t="shared" si="32"/>
        <v>0</v>
      </c>
      <c r="F550" s="4">
        <f t="shared" si="33"/>
        <v>180</v>
      </c>
      <c r="G550" s="4">
        <f t="shared" si="34"/>
        <v>0.15788781193807286</v>
      </c>
      <c r="H550" s="4">
        <f t="shared" si="35"/>
        <v>32400</v>
      </c>
      <c r="I550" s="5">
        <f>SQRT(SUM('p-native-multi'!$C$3:C550)/COUNTIF($A$3:A550,"&lt;&gt;0"))</f>
        <v>15.80896447159755</v>
      </c>
    </row>
    <row r="551" spans="1:9">
      <c r="A551">
        <v>549</v>
      </c>
      <c r="B551">
        <v>453</v>
      </c>
      <c r="C551">
        <v>253</v>
      </c>
      <c r="D551">
        <v>233</v>
      </c>
      <c r="E551" s="4">
        <f t="shared" si="32"/>
        <v>0</v>
      </c>
      <c r="F551" s="4">
        <f t="shared" si="33"/>
        <v>200</v>
      </c>
      <c r="G551" s="4">
        <f t="shared" si="34"/>
        <v>0.19492322461490477</v>
      </c>
      <c r="H551" s="4">
        <f t="shared" si="35"/>
        <v>40000</v>
      </c>
      <c r="I551" s="5">
        <f>SQRT(SUM('p-native-multi'!$C$3:C551)/COUNTIF($A$3:A551,"&lt;&gt;0"))</f>
        <v>15.809141714483866</v>
      </c>
    </row>
    <row r="552" spans="1:9">
      <c r="A552">
        <v>550</v>
      </c>
      <c r="B552">
        <v>453</v>
      </c>
      <c r="C552">
        <v>233</v>
      </c>
      <c r="D552">
        <v>233</v>
      </c>
      <c r="E552" s="4">
        <f t="shared" si="32"/>
        <v>0</v>
      </c>
      <c r="F552" s="4">
        <f t="shared" si="33"/>
        <v>220</v>
      </c>
      <c r="G552" s="4">
        <f t="shared" si="34"/>
        <v>0.23585710178403479</v>
      </c>
      <c r="H552" s="4">
        <f t="shared" si="35"/>
        <v>48400</v>
      </c>
      <c r="I552" s="5">
        <f>SQRT(SUM('p-native-multi'!$C$3:C552)/COUNTIF($A$3:A552,"&lt;&gt;0"))</f>
        <v>15.808168199325999</v>
      </c>
    </row>
    <row r="553" spans="1:9">
      <c r="A553">
        <v>551</v>
      </c>
      <c r="B553">
        <v>453</v>
      </c>
      <c r="C553">
        <v>279</v>
      </c>
      <c r="D553">
        <v>233</v>
      </c>
      <c r="E553" s="4">
        <f t="shared" si="32"/>
        <v>0</v>
      </c>
      <c r="F553" s="4">
        <f t="shared" si="33"/>
        <v>174</v>
      </c>
      <c r="G553" s="4">
        <f t="shared" si="34"/>
        <v>0.14753738871102146</v>
      </c>
      <c r="H553" s="4">
        <f t="shared" si="35"/>
        <v>30276</v>
      </c>
      <c r="I553" s="5">
        <f>SQRT(SUM('p-native-multi'!$C$3:C553)/COUNTIF($A$3:A553,"&lt;&gt;0"))</f>
        <v>15.809838651457451</v>
      </c>
    </row>
    <row r="554" spans="1:9">
      <c r="A554">
        <v>552</v>
      </c>
      <c r="B554">
        <v>453</v>
      </c>
      <c r="C554">
        <v>253</v>
      </c>
      <c r="D554">
        <v>233</v>
      </c>
      <c r="E554" s="4">
        <f t="shared" si="32"/>
        <v>0</v>
      </c>
      <c r="F554" s="4">
        <f t="shared" si="33"/>
        <v>200</v>
      </c>
      <c r="G554" s="4">
        <f t="shared" si="34"/>
        <v>0.19492322461490477</v>
      </c>
      <c r="H554" s="4">
        <f t="shared" si="35"/>
        <v>40000</v>
      </c>
      <c r="I554" s="5">
        <f>SQRT(SUM('p-native-multi'!$C$3:C554)/COUNTIF($A$3:A554,"&lt;&gt;0"))</f>
        <v>15.810013337727785</v>
      </c>
    </row>
    <row r="555" spans="1:9">
      <c r="A555">
        <v>553</v>
      </c>
      <c r="B555">
        <v>453</v>
      </c>
      <c r="C555">
        <v>233</v>
      </c>
      <c r="D555">
        <v>233</v>
      </c>
      <c r="E555" s="4">
        <f t="shared" si="32"/>
        <v>0</v>
      </c>
      <c r="F555" s="4">
        <f t="shared" si="33"/>
        <v>220</v>
      </c>
      <c r="G555" s="4">
        <f t="shared" si="34"/>
        <v>0.23585710178403479</v>
      </c>
      <c r="H555" s="4">
        <f t="shared" si="35"/>
        <v>48400</v>
      </c>
      <c r="I555" s="5">
        <f>SQRT(SUM('p-native-multi'!$C$3:C555)/COUNTIF($A$3:A555,"&lt;&gt;0"))</f>
        <v>15.809043581165035</v>
      </c>
    </row>
    <row r="556" spans="1:9">
      <c r="A556">
        <v>554</v>
      </c>
      <c r="B556">
        <v>453</v>
      </c>
      <c r="C556">
        <v>233</v>
      </c>
      <c r="D556">
        <v>233</v>
      </c>
      <c r="E556" s="4">
        <f t="shared" si="32"/>
        <v>0</v>
      </c>
      <c r="F556" s="4">
        <f t="shared" si="33"/>
        <v>220</v>
      </c>
      <c r="G556" s="4">
        <f t="shared" si="34"/>
        <v>0.23585710178403479</v>
      </c>
      <c r="H556" s="4">
        <f t="shared" si="35"/>
        <v>48400</v>
      </c>
      <c r="I556" s="5">
        <f>SQRT(SUM('p-native-multi'!$C$3:C556)/COUNTIF($A$3:A556,"&lt;&gt;0"))</f>
        <v>15.808077266359934</v>
      </c>
    </row>
    <row r="557" spans="1:9">
      <c r="A557">
        <v>555</v>
      </c>
      <c r="B557">
        <v>453</v>
      </c>
      <c r="C557">
        <v>233</v>
      </c>
      <c r="D557">
        <v>233</v>
      </c>
      <c r="E557" s="4">
        <f t="shared" si="32"/>
        <v>0</v>
      </c>
      <c r="F557" s="4">
        <f t="shared" si="33"/>
        <v>220</v>
      </c>
      <c r="G557" s="4">
        <f t="shared" si="34"/>
        <v>0.23585710178403479</v>
      </c>
      <c r="H557" s="4">
        <f t="shared" si="35"/>
        <v>48400</v>
      </c>
      <c r="I557" s="5">
        <f>SQRT(SUM('p-native-multi'!$C$3:C557)/COUNTIF($A$3:A557,"&lt;&gt;0"))</f>
        <v>15.807114375016866</v>
      </c>
    </row>
    <row r="558" spans="1:9">
      <c r="A558">
        <v>556</v>
      </c>
      <c r="B558">
        <v>453</v>
      </c>
      <c r="C558">
        <v>273</v>
      </c>
      <c r="D558">
        <v>233</v>
      </c>
      <c r="E558" s="4">
        <f t="shared" si="32"/>
        <v>0</v>
      </c>
      <c r="F558" s="4">
        <f t="shared" si="33"/>
        <v>180</v>
      </c>
      <c r="G558" s="4">
        <f t="shared" si="34"/>
        <v>0.15788781193807286</v>
      </c>
      <c r="H558" s="4">
        <f t="shared" si="35"/>
        <v>32400</v>
      </c>
      <c r="I558" s="5">
        <f>SQRT(SUM('p-native-multi'!$C$3:C558)/COUNTIF($A$3:A558,"&lt;&gt;0"))</f>
        <v>15.808430498317785</v>
      </c>
    </row>
    <row r="559" spans="1:9">
      <c r="A559">
        <v>557</v>
      </c>
      <c r="B559">
        <v>453</v>
      </c>
      <c r="C559">
        <v>253</v>
      </c>
      <c r="D559">
        <v>233</v>
      </c>
      <c r="E559" s="4">
        <f t="shared" si="32"/>
        <v>0</v>
      </c>
      <c r="F559" s="4">
        <f t="shared" si="33"/>
        <v>200</v>
      </c>
      <c r="G559" s="4">
        <f t="shared" si="34"/>
        <v>0.19492322461490477</v>
      </c>
      <c r="H559" s="4">
        <f t="shared" si="35"/>
        <v>40000</v>
      </c>
      <c r="I559" s="5">
        <f>SQRT(SUM('p-native-multi'!$C$3:C559)/COUNTIF($A$3:A559,"&lt;&gt;0"))</f>
        <v>15.808606160105139</v>
      </c>
    </row>
    <row r="560" spans="1:9">
      <c r="A560">
        <v>558</v>
      </c>
      <c r="B560">
        <v>453</v>
      </c>
      <c r="C560">
        <v>273</v>
      </c>
      <c r="D560">
        <v>233</v>
      </c>
      <c r="E560" s="4">
        <f t="shared" si="32"/>
        <v>0</v>
      </c>
      <c r="F560" s="4">
        <f t="shared" si="33"/>
        <v>180</v>
      </c>
      <c r="G560" s="4">
        <f t="shared" si="34"/>
        <v>0.15788781193807286</v>
      </c>
      <c r="H560" s="4">
        <f t="shared" si="35"/>
        <v>32400</v>
      </c>
      <c r="I560" s="5">
        <f>SQRT(SUM('p-native-multi'!$C$3:C560)/COUNTIF($A$3:A560,"&lt;&gt;0"))</f>
        <v>15.80991476947049</v>
      </c>
    </row>
    <row r="561" spans="1:9">
      <c r="A561">
        <v>559</v>
      </c>
      <c r="B561">
        <v>453</v>
      </c>
      <c r="C561">
        <v>233</v>
      </c>
      <c r="D561">
        <v>233</v>
      </c>
      <c r="E561" s="4">
        <f t="shared" si="32"/>
        <v>0</v>
      </c>
      <c r="F561" s="4">
        <f t="shared" si="33"/>
        <v>220</v>
      </c>
      <c r="G561" s="4">
        <f t="shared" si="34"/>
        <v>0.23585710178403479</v>
      </c>
      <c r="H561" s="4">
        <f t="shared" si="35"/>
        <v>48400</v>
      </c>
      <c r="I561" s="5">
        <f>SQRT(SUM('p-native-multi'!$C$3:C561)/COUNTIF($A$3:A561,"&lt;&gt;0"))</f>
        <v>15.80895559241903</v>
      </c>
    </row>
    <row r="562" spans="1:9">
      <c r="A562">
        <v>560</v>
      </c>
      <c r="B562">
        <v>453</v>
      </c>
      <c r="C562">
        <v>273</v>
      </c>
      <c r="D562">
        <v>233</v>
      </c>
      <c r="E562" s="4">
        <f t="shared" si="32"/>
        <v>0</v>
      </c>
      <c r="F562" s="4">
        <f t="shared" si="33"/>
        <v>180</v>
      </c>
      <c r="G562" s="4">
        <f t="shared" si="34"/>
        <v>0.15788781193807286</v>
      </c>
      <c r="H562" s="4">
        <f t="shared" si="35"/>
        <v>32400</v>
      </c>
      <c r="I562" s="5">
        <f>SQRT(SUM('p-native-multi'!$C$3:C562)/COUNTIF($A$3:A562,"&lt;&gt;0"))</f>
        <v>15.810258875625209</v>
      </c>
    </row>
    <row r="563" spans="1:9">
      <c r="A563">
        <v>561</v>
      </c>
      <c r="B563">
        <v>453</v>
      </c>
      <c r="C563">
        <v>233</v>
      </c>
      <c r="D563">
        <v>233</v>
      </c>
      <c r="E563" s="4">
        <f t="shared" si="32"/>
        <v>0</v>
      </c>
      <c r="F563" s="4">
        <f t="shared" si="33"/>
        <v>220</v>
      </c>
      <c r="G563" s="4">
        <f t="shared" si="34"/>
        <v>0.23585710178403479</v>
      </c>
      <c r="H563" s="4">
        <f t="shared" si="35"/>
        <v>48400</v>
      </c>
      <c r="I563" s="5">
        <f>SQRT(SUM('p-native-multi'!$C$3:C563)/COUNTIF($A$3:A563,"&lt;&gt;0"))</f>
        <v>15.809302525595841</v>
      </c>
    </row>
    <row r="564" spans="1:9">
      <c r="A564">
        <v>562</v>
      </c>
      <c r="B564">
        <v>453</v>
      </c>
      <c r="C564">
        <v>273</v>
      </c>
      <c r="D564">
        <v>233</v>
      </c>
      <c r="E564" s="4">
        <f t="shared" si="32"/>
        <v>0</v>
      </c>
      <c r="F564" s="4">
        <f t="shared" si="33"/>
        <v>180</v>
      </c>
      <c r="G564" s="4">
        <f t="shared" si="34"/>
        <v>0.15788781193807286</v>
      </c>
      <c r="H564" s="4">
        <f t="shared" si="35"/>
        <v>32400</v>
      </c>
      <c r="I564" s="5">
        <f>SQRT(SUM('p-native-multi'!$C$3:C564)/COUNTIF($A$3:A564,"&lt;&gt;0"))</f>
        <v>15.810600525216351</v>
      </c>
    </row>
    <row r="565" spans="1:9">
      <c r="A565">
        <v>563</v>
      </c>
      <c r="B565">
        <v>453</v>
      </c>
      <c r="C565">
        <v>279</v>
      </c>
      <c r="D565">
        <v>233</v>
      </c>
      <c r="E565" s="4">
        <f t="shared" si="32"/>
        <v>0</v>
      </c>
      <c r="F565" s="4">
        <f t="shared" si="33"/>
        <v>174</v>
      </c>
      <c r="G565" s="4">
        <f t="shared" si="34"/>
        <v>0.14753738871102146</v>
      </c>
      <c r="H565" s="4">
        <f t="shared" si="35"/>
        <v>30276</v>
      </c>
      <c r="I565" s="5">
        <f>SQRT(SUM('p-native-multi'!$C$3:C565)/COUNTIF($A$3:A565,"&lt;&gt;0"))</f>
        <v>15.812230803527193</v>
      </c>
    </row>
    <row r="566" spans="1:9">
      <c r="A566">
        <v>564</v>
      </c>
      <c r="B566">
        <v>453</v>
      </c>
      <c r="C566">
        <v>253</v>
      </c>
      <c r="D566">
        <v>233</v>
      </c>
      <c r="E566" s="4">
        <f t="shared" si="32"/>
        <v>0</v>
      </c>
      <c r="F566" s="4">
        <f t="shared" si="33"/>
        <v>200</v>
      </c>
      <c r="G566" s="4">
        <f t="shared" si="34"/>
        <v>0.19492322461490477</v>
      </c>
      <c r="H566" s="4">
        <f t="shared" si="35"/>
        <v>40000</v>
      </c>
      <c r="I566" s="5">
        <f>SQRT(SUM('p-native-multi'!$C$3:C566)/COUNTIF($A$3:A566,"&lt;&gt;0"))</f>
        <v>15.812397506185361</v>
      </c>
    </row>
    <row r="567" spans="1:9">
      <c r="A567">
        <v>565</v>
      </c>
      <c r="B567">
        <v>453</v>
      </c>
      <c r="C567">
        <v>233</v>
      </c>
      <c r="D567">
        <v>233</v>
      </c>
      <c r="E567" s="4">
        <f t="shared" si="32"/>
        <v>0</v>
      </c>
      <c r="F567" s="4">
        <f t="shared" si="33"/>
        <v>220</v>
      </c>
      <c r="G567" s="4">
        <f t="shared" si="34"/>
        <v>0.23585710178403479</v>
      </c>
      <c r="H567" s="4">
        <f t="shared" si="35"/>
        <v>48400</v>
      </c>
      <c r="I567" s="5">
        <f>SQRT(SUM('p-native-multi'!$C$3:C567)/COUNTIF($A$3:A567,"&lt;&gt;0"))</f>
        <v>15.811444270258946</v>
      </c>
    </row>
    <row r="568" spans="1:9">
      <c r="A568">
        <v>566</v>
      </c>
      <c r="B568">
        <v>453</v>
      </c>
      <c r="C568">
        <v>273</v>
      </c>
      <c r="D568">
        <v>233</v>
      </c>
      <c r="E568" s="4">
        <f t="shared" si="32"/>
        <v>0</v>
      </c>
      <c r="F568" s="4">
        <f t="shared" si="33"/>
        <v>180</v>
      </c>
      <c r="G568" s="4">
        <f t="shared" si="34"/>
        <v>0.15788781193807286</v>
      </c>
      <c r="H568" s="4">
        <f t="shared" si="35"/>
        <v>32400</v>
      </c>
      <c r="I568" s="5">
        <f>SQRT(SUM('p-native-multi'!$C$3:C568)/COUNTIF($A$3:A568,"&lt;&gt;0"))</f>
        <v>15.812729139109894</v>
      </c>
    </row>
    <row r="569" spans="1:9">
      <c r="A569">
        <v>567</v>
      </c>
      <c r="B569">
        <v>453</v>
      </c>
      <c r="C569">
        <v>253</v>
      </c>
      <c r="D569">
        <v>233</v>
      </c>
      <c r="E569" s="4">
        <f t="shared" si="32"/>
        <v>0</v>
      </c>
      <c r="F569" s="4">
        <f t="shared" si="33"/>
        <v>200</v>
      </c>
      <c r="G569" s="4">
        <f t="shared" si="34"/>
        <v>0.19492322461490477</v>
      </c>
      <c r="H569" s="4">
        <f t="shared" si="35"/>
        <v>40000</v>
      </c>
      <c r="I569" s="5">
        <f>SQRT(SUM('p-native-multi'!$C$3:C569)/COUNTIF($A$3:A569,"&lt;&gt;0"))</f>
        <v>15.812894075646591</v>
      </c>
    </row>
    <row r="570" spans="1:9">
      <c r="A570">
        <v>568</v>
      </c>
      <c r="B570">
        <v>453</v>
      </c>
      <c r="C570">
        <v>233</v>
      </c>
      <c r="D570">
        <v>233</v>
      </c>
      <c r="E570" s="4">
        <f t="shared" si="32"/>
        <v>0</v>
      </c>
      <c r="F570" s="4">
        <f t="shared" si="33"/>
        <v>220</v>
      </c>
      <c r="G570" s="4">
        <f t="shared" si="34"/>
        <v>0.23585710178403479</v>
      </c>
      <c r="H570" s="4">
        <f t="shared" si="35"/>
        <v>48400</v>
      </c>
      <c r="I570" s="5">
        <f>SQRT(SUM('p-native-multi'!$C$3:C570)/COUNTIF($A$3:A570,"&lt;&gt;0"))</f>
        <v>15.811945030065177</v>
      </c>
    </row>
    <row r="571" spans="1:9">
      <c r="A571">
        <v>569</v>
      </c>
      <c r="B571">
        <v>453</v>
      </c>
      <c r="C571">
        <v>273</v>
      </c>
      <c r="D571">
        <v>233</v>
      </c>
      <c r="E571" s="4">
        <f t="shared" si="32"/>
        <v>0</v>
      </c>
      <c r="F571" s="4">
        <f t="shared" si="33"/>
        <v>180</v>
      </c>
      <c r="G571" s="4">
        <f t="shared" si="34"/>
        <v>0.15788781193807286</v>
      </c>
      <c r="H571" s="4">
        <f t="shared" si="35"/>
        <v>32400</v>
      </c>
      <c r="I571" s="5">
        <f>SQRT(SUM('p-native-multi'!$C$3:C571)/COUNTIF($A$3:A571,"&lt;&gt;0"))</f>
        <v>15.813222204378889</v>
      </c>
    </row>
    <row r="572" spans="1:9">
      <c r="A572">
        <v>570</v>
      </c>
      <c r="B572">
        <v>453</v>
      </c>
      <c r="C572">
        <v>273</v>
      </c>
      <c r="D572">
        <v>233</v>
      </c>
      <c r="E572" s="4">
        <f t="shared" si="32"/>
        <v>0</v>
      </c>
      <c r="F572" s="4">
        <f t="shared" si="33"/>
        <v>180</v>
      </c>
      <c r="G572" s="4">
        <f t="shared" si="34"/>
        <v>0.15788781193807286</v>
      </c>
      <c r="H572" s="4">
        <f t="shared" si="35"/>
        <v>32400</v>
      </c>
      <c r="I572" s="5">
        <f>SQRT(SUM('p-native-multi'!$C$3:C572)/COUNTIF($A$3:A572,"&lt;&gt;0"))</f>
        <v>15.814494794777197</v>
      </c>
    </row>
    <row r="573" spans="1:9">
      <c r="A573">
        <v>571</v>
      </c>
      <c r="B573">
        <v>453</v>
      </c>
      <c r="C573">
        <v>253</v>
      </c>
      <c r="D573">
        <v>233</v>
      </c>
      <c r="E573" s="4">
        <f t="shared" si="32"/>
        <v>0</v>
      </c>
      <c r="F573" s="4">
        <f t="shared" si="33"/>
        <v>200</v>
      </c>
      <c r="G573" s="4">
        <f t="shared" si="34"/>
        <v>0.19492322461490477</v>
      </c>
      <c r="H573" s="4">
        <f t="shared" si="35"/>
        <v>40000</v>
      </c>
      <c r="I573" s="5">
        <f>SQRT(SUM('p-native-multi'!$C$3:C573)/COUNTIF($A$3:A573,"&lt;&gt;0"))</f>
        <v>15.814655465599676</v>
      </c>
    </row>
    <row r="574" spans="1:9">
      <c r="A574">
        <v>572</v>
      </c>
      <c r="B574">
        <v>453</v>
      </c>
      <c r="C574">
        <v>233</v>
      </c>
      <c r="D574">
        <v>233</v>
      </c>
      <c r="E574" s="4">
        <f t="shared" si="32"/>
        <v>0</v>
      </c>
      <c r="F574" s="4">
        <f t="shared" si="33"/>
        <v>220</v>
      </c>
      <c r="G574" s="4">
        <f t="shared" si="34"/>
        <v>0.23585710178403479</v>
      </c>
      <c r="H574" s="4">
        <f t="shared" si="35"/>
        <v>48400</v>
      </c>
      <c r="I574" s="5">
        <f>SQRT(SUM('p-native-multi'!$C$3:C574)/COUNTIF($A$3:A574,"&lt;&gt;0"))</f>
        <v>15.813710082502038</v>
      </c>
    </row>
    <row r="575" spans="1:9">
      <c r="A575">
        <v>573</v>
      </c>
      <c r="B575">
        <v>453</v>
      </c>
      <c r="C575">
        <v>279</v>
      </c>
      <c r="D575">
        <v>233</v>
      </c>
      <c r="E575" s="4">
        <f t="shared" si="32"/>
        <v>0</v>
      </c>
      <c r="F575" s="4">
        <f t="shared" si="33"/>
        <v>174</v>
      </c>
      <c r="G575" s="4">
        <f t="shared" si="34"/>
        <v>0.14753738871102146</v>
      </c>
      <c r="H575" s="4">
        <f t="shared" si="35"/>
        <v>30276</v>
      </c>
      <c r="I575" s="5">
        <f>SQRT(SUM('p-native-multi'!$C$3:C575)/COUNTIF($A$3:A575,"&lt;&gt;0"))</f>
        <v>15.815306169959648</v>
      </c>
    </row>
    <row r="576" spans="1:9">
      <c r="A576">
        <v>574</v>
      </c>
      <c r="B576">
        <v>453</v>
      </c>
      <c r="C576">
        <v>273</v>
      </c>
      <c r="D576">
        <v>233</v>
      </c>
      <c r="E576" s="4">
        <f t="shared" si="32"/>
        <v>0</v>
      </c>
      <c r="F576" s="4">
        <f t="shared" si="33"/>
        <v>180</v>
      </c>
      <c r="G576" s="4">
        <f t="shared" si="34"/>
        <v>0.15788781193807286</v>
      </c>
      <c r="H576" s="4">
        <f t="shared" si="35"/>
        <v>32400</v>
      </c>
      <c r="I576" s="5">
        <f>SQRT(SUM('p-native-multi'!$C$3:C576)/COUNTIF($A$3:A576,"&lt;&gt;0"))</f>
        <v>15.816566095907231</v>
      </c>
    </row>
    <row r="577" spans="1:9">
      <c r="A577">
        <v>575</v>
      </c>
      <c r="B577">
        <v>453</v>
      </c>
      <c r="C577">
        <v>233</v>
      </c>
      <c r="D577">
        <v>233</v>
      </c>
      <c r="E577" s="4">
        <f t="shared" si="32"/>
        <v>0</v>
      </c>
      <c r="F577" s="4">
        <f t="shared" si="33"/>
        <v>220</v>
      </c>
      <c r="G577" s="4">
        <f t="shared" si="34"/>
        <v>0.23585710178403479</v>
      </c>
      <c r="H577" s="4">
        <f t="shared" si="35"/>
        <v>48400</v>
      </c>
      <c r="I577" s="5">
        <f>SQRT(SUM('p-native-multi'!$C$3:C577)/COUNTIF($A$3:A577,"&lt;&gt;0"))</f>
        <v>15.815622436169821</v>
      </c>
    </row>
    <row r="578" spans="1:9">
      <c r="A578">
        <v>576</v>
      </c>
      <c r="B578">
        <v>453</v>
      </c>
      <c r="C578">
        <v>233</v>
      </c>
      <c r="D578">
        <v>233</v>
      </c>
      <c r="E578" s="4">
        <f t="shared" si="32"/>
        <v>0</v>
      </c>
      <c r="F578" s="4">
        <f t="shared" si="33"/>
        <v>220</v>
      </c>
      <c r="G578" s="4">
        <f t="shared" si="34"/>
        <v>0.23585710178403479</v>
      </c>
      <c r="H578" s="4">
        <f t="shared" si="35"/>
        <v>48400</v>
      </c>
      <c r="I578" s="5">
        <f>SQRT(SUM('p-native-multi'!$C$3:C578)/COUNTIF($A$3:A578,"&lt;&gt;0"))</f>
        <v>15.814681997013619</v>
      </c>
    </row>
    <row r="579" spans="1:9">
      <c r="A579">
        <v>577</v>
      </c>
      <c r="B579">
        <v>453</v>
      </c>
      <c r="C579">
        <v>233</v>
      </c>
      <c r="D579">
        <v>233</v>
      </c>
      <c r="E579" s="4">
        <f t="shared" si="32"/>
        <v>0</v>
      </c>
      <c r="F579" s="4">
        <f t="shared" si="33"/>
        <v>220</v>
      </c>
      <c r="G579" s="4">
        <f t="shared" si="34"/>
        <v>0.23585710178403479</v>
      </c>
      <c r="H579" s="4">
        <f t="shared" si="35"/>
        <v>48400</v>
      </c>
      <c r="I579" s="5">
        <f>SQRT(SUM('p-native-multi'!$C$3:C579)/COUNTIF($A$3:A579,"&lt;&gt;0"))</f>
        <v>15.813744761974641</v>
      </c>
    </row>
    <row r="580" spans="1:9">
      <c r="A580">
        <v>578</v>
      </c>
      <c r="B580">
        <v>453</v>
      </c>
      <c r="C580">
        <v>233</v>
      </c>
      <c r="D580">
        <v>233</v>
      </c>
      <c r="E580" s="4">
        <f t="shared" ref="E580:E643" si="36">IF(AND(C580&lt;=B580*1.2,C580&gt;=B580*0.8),1,0)</f>
        <v>0</v>
      </c>
      <c r="F580" s="4">
        <f t="shared" ref="F580:F643" si="37">ABS(B580-C580)</f>
        <v>220</v>
      </c>
      <c r="G580" s="4">
        <f t="shared" ref="G580:G643" si="38">POWER(ABS(B580-C580)/B580,2)</f>
        <v>0.23585710178403479</v>
      </c>
      <c r="H580" s="4">
        <f t="shared" ref="H580:H643" si="39">POWER(F580,2)</f>
        <v>48400</v>
      </c>
      <c r="I580" s="5">
        <f>SQRT(SUM('p-native-multi'!$C$3:C580)/COUNTIF($A$3:A580,"&lt;&gt;0"))</f>
        <v>15.812810714700975</v>
      </c>
    </row>
    <row r="581" spans="1:9">
      <c r="A581">
        <v>579</v>
      </c>
      <c r="B581">
        <v>453</v>
      </c>
      <c r="C581">
        <v>253</v>
      </c>
      <c r="D581">
        <v>233</v>
      </c>
      <c r="E581" s="4">
        <f t="shared" si="36"/>
        <v>0</v>
      </c>
      <c r="F581" s="4">
        <f t="shared" si="37"/>
        <v>200</v>
      </c>
      <c r="G581" s="4">
        <f t="shared" si="38"/>
        <v>0.19492322461490477</v>
      </c>
      <c r="H581" s="4">
        <f t="shared" si="39"/>
        <v>40000</v>
      </c>
      <c r="I581" s="5">
        <f>SQRT(SUM('p-native-multi'!$C$3:C581)/COUNTIF($A$3:A581,"&lt;&gt;0"))</f>
        <v>15.812972091159393</v>
      </c>
    </row>
    <row r="582" spans="1:9">
      <c r="A582">
        <v>580</v>
      </c>
      <c r="B582">
        <v>453</v>
      </c>
      <c r="C582">
        <v>279</v>
      </c>
      <c r="D582">
        <v>233</v>
      </c>
      <c r="E582" s="4">
        <f t="shared" si="36"/>
        <v>0</v>
      </c>
      <c r="F582" s="4">
        <f t="shared" si="37"/>
        <v>174</v>
      </c>
      <c r="G582" s="4">
        <f t="shared" si="38"/>
        <v>0.14753738871102146</v>
      </c>
      <c r="H582" s="4">
        <f t="shared" si="39"/>
        <v>30276</v>
      </c>
      <c r="I582" s="5">
        <f>SQRT(SUM('p-native-multi'!$C$3:C582)/COUNTIF($A$3:A582,"&lt;&gt;0"))</f>
        <v>15.814550262337528</v>
      </c>
    </row>
    <row r="583" spans="1:9">
      <c r="A583">
        <v>581</v>
      </c>
      <c r="B583">
        <v>453</v>
      </c>
      <c r="C583">
        <v>279</v>
      </c>
      <c r="D583">
        <v>233</v>
      </c>
      <c r="E583" s="4">
        <f t="shared" si="36"/>
        <v>0</v>
      </c>
      <c r="F583" s="4">
        <f t="shared" si="37"/>
        <v>174</v>
      </c>
      <c r="G583" s="4">
        <f t="shared" si="38"/>
        <v>0.14753738871102146</v>
      </c>
      <c r="H583" s="4">
        <f t="shared" si="39"/>
        <v>30276</v>
      </c>
      <c r="I583" s="5">
        <f>SQRT(SUM('p-native-multi'!$C$3:C583)/COUNTIF($A$3:A583,"&lt;&gt;0"))</f>
        <v>15.816122844251071</v>
      </c>
    </row>
    <row r="584" spans="1:9">
      <c r="A584">
        <v>582</v>
      </c>
      <c r="B584">
        <v>453</v>
      </c>
      <c r="C584">
        <v>253</v>
      </c>
      <c r="D584">
        <v>233</v>
      </c>
      <c r="E584" s="4">
        <f t="shared" si="36"/>
        <v>0</v>
      </c>
      <c r="F584" s="4">
        <f t="shared" si="37"/>
        <v>200</v>
      </c>
      <c r="G584" s="4">
        <f t="shared" si="38"/>
        <v>0.19492322461490477</v>
      </c>
      <c r="H584" s="4">
        <f t="shared" si="39"/>
        <v>40000</v>
      </c>
      <c r="I584" s="5">
        <f>SQRT(SUM('p-native-multi'!$C$3:C584)/COUNTIF($A$3:A584,"&lt;&gt;0"))</f>
        <v>15.81627766496459</v>
      </c>
    </row>
    <row r="585" spans="1:9">
      <c r="A585">
        <v>583</v>
      </c>
      <c r="B585">
        <v>453</v>
      </c>
      <c r="C585">
        <v>253</v>
      </c>
      <c r="D585">
        <v>233</v>
      </c>
      <c r="E585" s="4">
        <f t="shared" si="36"/>
        <v>0</v>
      </c>
      <c r="F585" s="4">
        <f t="shared" si="37"/>
        <v>200</v>
      </c>
      <c r="G585" s="4">
        <f t="shared" si="38"/>
        <v>0.19492322461490477</v>
      </c>
      <c r="H585" s="4">
        <f t="shared" si="39"/>
        <v>40000</v>
      </c>
      <c r="I585" s="5">
        <f>SQRT(SUM('p-native-multi'!$C$3:C585)/COUNTIF($A$3:A585,"&lt;&gt;0"))</f>
        <v>15.816431953053048</v>
      </c>
    </row>
    <row r="586" spans="1:9">
      <c r="A586">
        <v>584</v>
      </c>
      <c r="B586">
        <v>453</v>
      </c>
      <c r="C586">
        <v>273</v>
      </c>
      <c r="D586">
        <v>233</v>
      </c>
      <c r="E586" s="4">
        <f t="shared" si="36"/>
        <v>0</v>
      </c>
      <c r="F586" s="4">
        <f t="shared" si="37"/>
        <v>180</v>
      </c>
      <c r="G586" s="4">
        <f t="shared" si="38"/>
        <v>0.15788781193807286</v>
      </c>
      <c r="H586" s="4">
        <f t="shared" si="39"/>
        <v>32400</v>
      </c>
      <c r="I586" s="5">
        <f>SQRT(SUM('p-native-multi'!$C$3:C586)/COUNTIF($A$3:A586,"&lt;&gt;0"))</f>
        <v>15.817668290142713</v>
      </c>
    </row>
    <row r="587" spans="1:9">
      <c r="A587">
        <v>585</v>
      </c>
      <c r="B587">
        <v>453</v>
      </c>
      <c r="C587">
        <v>273</v>
      </c>
      <c r="D587">
        <v>233</v>
      </c>
      <c r="E587" s="4">
        <f t="shared" si="36"/>
        <v>0</v>
      </c>
      <c r="F587" s="4">
        <f t="shared" si="37"/>
        <v>180</v>
      </c>
      <c r="G587" s="4">
        <f t="shared" si="38"/>
        <v>0.15788781193807286</v>
      </c>
      <c r="H587" s="4">
        <f t="shared" si="39"/>
        <v>32400</v>
      </c>
      <c r="I587" s="5">
        <f>SQRT(SUM('p-native-multi'!$C$3:C587)/COUNTIF($A$3:A587,"&lt;&gt;0"))</f>
        <v>15.818900304307087</v>
      </c>
    </row>
    <row r="588" spans="1:9">
      <c r="A588">
        <v>586</v>
      </c>
      <c r="B588">
        <v>453</v>
      </c>
      <c r="C588">
        <v>273</v>
      </c>
      <c r="D588">
        <v>233</v>
      </c>
      <c r="E588" s="4">
        <f t="shared" si="36"/>
        <v>0</v>
      </c>
      <c r="F588" s="4">
        <f t="shared" si="37"/>
        <v>180</v>
      </c>
      <c r="G588" s="4">
        <f t="shared" si="38"/>
        <v>0.15788781193807286</v>
      </c>
      <c r="H588" s="4">
        <f t="shared" si="39"/>
        <v>32400</v>
      </c>
      <c r="I588" s="5">
        <f>SQRT(SUM('p-native-multi'!$C$3:C588)/COUNTIF($A$3:A588,"&lt;&gt;0"))</f>
        <v>15.820128018190795</v>
      </c>
    </row>
    <row r="589" spans="1:9">
      <c r="A589">
        <v>587</v>
      </c>
      <c r="B589">
        <v>453</v>
      </c>
      <c r="C589">
        <v>273</v>
      </c>
      <c r="D589">
        <v>233</v>
      </c>
      <c r="E589" s="4">
        <f t="shared" si="36"/>
        <v>0</v>
      </c>
      <c r="F589" s="4">
        <f t="shared" si="37"/>
        <v>180</v>
      </c>
      <c r="G589" s="4">
        <f t="shared" si="38"/>
        <v>0.15788781193807286</v>
      </c>
      <c r="H589" s="4">
        <f t="shared" si="39"/>
        <v>32400</v>
      </c>
      <c r="I589" s="5">
        <f>SQRT(SUM('p-native-multi'!$C$3:C589)/COUNTIF($A$3:A589,"&lt;&gt;0"))</f>
        <v>15.821351454280501</v>
      </c>
    </row>
    <row r="590" spans="1:9">
      <c r="A590">
        <v>588</v>
      </c>
      <c r="B590">
        <v>453</v>
      </c>
      <c r="C590">
        <v>273</v>
      </c>
      <c r="D590">
        <v>233</v>
      </c>
      <c r="E590" s="4">
        <f t="shared" si="36"/>
        <v>0</v>
      </c>
      <c r="F590" s="4">
        <f t="shared" si="37"/>
        <v>180</v>
      </c>
      <c r="G590" s="4">
        <f t="shared" si="38"/>
        <v>0.15788781193807286</v>
      </c>
      <c r="H590" s="4">
        <f t="shared" si="39"/>
        <v>32400</v>
      </c>
      <c r="I590" s="5">
        <f>SQRT(SUM('p-native-multi'!$C$3:C590)/COUNTIF($A$3:A590,"&lt;&gt;0"))</f>
        <v>15.822570634906285</v>
      </c>
    </row>
    <row r="591" spans="1:9">
      <c r="A591">
        <v>589</v>
      </c>
      <c r="B591">
        <v>453</v>
      </c>
      <c r="C591">
        <v>253</v>
      </c>
      <c r="D591">
        <v>233</v>
      </c>
      <c r="E591" s="4">
        <f t="shared" si="36"/>
        <v>0</v>
      </c>
      <c r="F591" s="4">
        <f t="shared" si="37"/>
        <v>200</v>
      </c>
      <c r="G591" s="4">
        <f t="shared" si="38"/>
        <v>0.19492322461490477</v>
      </c>
      <c r="H591" s="4">
        <f t="shared" si="39"/>
        <v>40000</v>
      </c>
      <c r="I591" s="5">
        <f>SQRT(SUM('p-native-multi'!$C$3:C591)/COUNTIF($A$3:A591,"&lt;&gt;0"))</f>
        <v>15.822712608633703</v>
      </c>
    </row>
    <row r="592" spans="1:9">
      <c r="A592">
        <v>590</v>
      </c>
      <c r="B592">
        <v>453</v>
      </c>
      <c r="C592">
        <v>253</v>
      </c>
      <c r="D592">
        <v>233</v>
      </c>
      <c r="E592" s="4">
        <f t="shared" si="36"/>
        <v>0</v>
      </c>
      <c r="F592" s="4">
        <f t="shared" si="37"/>
        <v>200</v>
      </c>
      <c r="G592" s="4">
        <f t="shared" si="38"/>
        <v>0.19492322461490477</v>
      </c>
      <c r="H592" s="4">
        <f t="shared" si="39"/>
        <v>40000</v>
      </c>
      <c r="I592" s="5">
        <f>SQRT(SUM('p-native-multi'!$C$3:C592)/COUNTIF($A$3:A592,"&lt;&gt;0"))</f>
        <v>15.822854099826833</v>
      </c>
    </row>
    <row r="593" spans="1:9">
      <c r="A593">
        <v>591</v>
      </c>
      <c r="B593">
        <v>453</v>
      </c>
      <c r="C593">
        <v>253</v>
      </c>
      <c r="D593">
        <v>233</v>
      </c>
      <c r="E593" s="4">
        <f t="shared" si="36"/>
        <v>0</v>
      </c>
      <c r="F593" s="4">
        <f t="shared" si="37"/>
        <v>200</v>
      </c>
      <c r="G593" s="4">
        <f t="shared" si="38"/>
        <v>0.19492322461490477</v>
      </c>
      <c r="H593" s="4">
        <f t="shared" si="39"/>
        <v>40000</v>
      </c>
      <c r="I593" s="5">
        <f>SQRT(SUM('p-native-multi'!$C$3:C593)/COUNTIF($A$3:A593,"&lt;&gt;0"))</f>
        <v>15.822995110941539</v>
      </c>
    </row>
    <row r="594" spans="1:9">
      <c r="A594">
        <v>592</v>
      </c>
      <c r="B594">
        <v>453</v>
      </c>
      <c r="C594">
        <v>253</v>
      </c>
      <c r="D594">
        <v>233</v>
      </c>
      <c r="E594" s="4">
        <f t="shared" si="36"/>
        <v>0</v>
      </c>
      <c r="F594" s="4">
        <f t="shared" si="37"/>
        <v>200</v>
      </c>
      <c r="G594" s="4">
        <f t="shared" si="38"/>
        <v>0.19492322461490477</v>
      </c>
      <c r="H594" s="4">
        <f t="shared" si="39"/>
        <v>40000</v>
      </c>
      <c r="I594" s="5">
        <f>SQRT(SUM('p-native-multi'!$C$3:C594)/COUNTIF($A$3:A594,"&lt;&gt;0"))</f>
        <v>15.823135644417057</v>
      </c>
    </row>
    <row r="595" spans="1:9">
      <c r="A595">
        <v>593</v>
      </c>
      <c r="B595">
        <v>453</v>
      </c>
      <c r="C595">
        <v>253</v>
      </c>
      <c r="D595">
        <v>233</v>
      </c>
      <c r="E595" s="4">
        <f t="shared" si="36"/>
        <v>0</v>
      </c>
      <c r="F595" s="4">
        <f t="shared" si="37"/>
        <v>200</v>
      </c>
      <c r="G595" s="4">
        <f t="shared" si="38"/>
        <v>0.19492322461490477</v>
      </c>
      <c r="H595" s="4">
        <f t="shared" si="39"/>
        <v>40000</v>
      </c>
      <c r="I595" s="5">
        <f>SQRT(SUM('p-native-multi'!$C$3:C595)/COUNTIF($A$3:A595,"&lt;&gt;0"))</f>
        <v>15.823275702676121</v>
      </c>
    </row>
    <row r="596" spans="1:9">
      <c r="A596">
        <v>594</v>
      </c>
      <c r="B596">
        <v>453</v>
      </c>
      <c r="C596">
        <v>253</v>
      </c>
      <c r="D596">
        <v>233</v>
      </c>
      <c r="E596" s="4">
        <f t="shared" si="36"/>
        <v>0</v>
      </c>
      <c r="F596" s="4">
        <f t="shared" si="37"/>
        <v>200</v>
      </c>
      <c r="G596" s="4">
        <f t="shared" si="38"/>
        <v>0.19492322461490477</v>
      </c>
      <c r="H596" s="4">
        <f t="shared" si="39"/>
        <v>40000</v>
      </c>
      <c r="I596" s="5">
        <f>SQRT(SUM('p-native-multi'!$C$3:C596)/COUNTIF($A$3:A596,"&lt;&gt;0"))</f>
        <v>15.823415288125108</v>
      </c>
    </row>
    <row r="597" spans="1:9">
      <c r="A597">
        <v>595</v>
      </c>
      <c r="B597">
        <v>453</v>
      </c>
      <c r="C597">
        <v>273</v>
      </c>
      <c r="D597">
        <v>233</v>
      </c>
      <c r="E597" s="4">
        <f t="shared" si="36"/>
        <v>0</v>
      </c>
      <c r="F597" s="4">
        <f t="shared" si="37"/>
        <v>180</v>
      </c>
      <c r="G597" s="4">
        <f t="shared" si="38"/>
        <v>0.15788781193807286</v>
      </c>
      <c r="H597" s="4">
        <f t="shared" si="39"/>
        <v>32400</v>
      </c>
      <c r="I597" s="5">
        <f>SQRT(SUM('p-native-multi'!$C$3:C597)/COUNTIF($A$3:A597,"&lt;&gt;0"))</f>
        <v>15.824616500723106</v>
      </c>
    </row>
    <row r="598" spans="1:9">
      <c r="A598">
        <v>596</v>
      </c>
      <c r="B598">
        <v>453</v>
      </c>
      <c r="C598">
        <v>273</v>
      </c>
      <c r="D598">
        <v>233</v>
      </c>
      <c r="E598" s="4">
        <f t="shared" si="36"/>
        <v>0</v>
      </c>
      <c r="F598" s="4">
        <f t="shared" si="37"/>
        <v>180</v>
      </c>
      <c r="G598" s="4">
        <f t="shared" si="38"/>
        <v>0.15788781193807286</v>
      </c>
      <c r="H598" s="4">
        <f t="shared" si="39"/>
        <v>32400</v>
      </c>
      <c r="I598" s="5">
        <f>SQRT(SUM('p-native-multi'!$C$3:C598)/COUNTIF($A$3:A598,"&lt;&gt;0"))</f>
        <v>15.825813591690197</v>
      </c>
    </row>
    <row r="599" spans="1:9">
      <c r="A599">
        <v>597</v>
      </c>
      <c r="B599">
        <v>453</v>
      </c>
      <c r="C599">
        <v>253</v>
      </c>
      <c r="D599">
        <v>233</v>
      </c>
      <c r="E599" s="4">
        <f t="shared" si="36"/>
        <v>0</v>
      </c>
      <c r="F599" s="4">
        <f t="shared" si="37"/>
        <v>200</v>
      </c>
      <c r="G599" s="4">
        <f t="shared" si="38"/>
        <v>0.19492322461490477</v>
      </c>
      <c r="H599" s="4">
        <f t="shared" si="39"/>
        <v>40000</v>
      </c>
      <c r="I599" s="5">
        <f>SQRT(SUM('p-native-multi'!$C$3:C599)/COUNTIF($A$3:A599,"&lt;&gt;0"))</f>
        <v>15.82594820274327</v>
      </c>
    </row>
    <row r="600" spans="1:9">
      <c r="A600">
        <v>598</v>
      </c>
      <c r="B600">
        <v>453</v>
      </c>
      <c r="C600">
        <v>273</v>
      </c>
      <c r="D600">
        <v>233</v>
      </c>
      <c r="E600" s="4">
        <f t="shared" si="36"/>
        <v>0</v>
      </c>
      <c r="F600" s="4">
        <f t="shared" si="37"/>
        <v>180</v>
      </c>
      <c r="G600" s="4">
        <f t="shared" si="38"/>
        <v>0.15788781193807286</v>
      </c>
      <c r="H600" s="4">
        <f t="shared" si="39"/>
        <v>32400</v>
      </c>
      <c r="I600" s="5">
        <f>SQRT(SUM('p-native-multi'!$C$3:C600)/COUNTIF($A$3:A600,"&lt;&gt;0"))</f>
        <v>15.82713896316063</v>
      </c>
    </row>
    <row r="601" spans="1:9">
      <c r="A601">
        <v>599</v>
      </c>
      <c r="B601">
        <v>453</v>
      </c>
      <c r="C601">
        <v>233</v>
      </c>
      <c r="D601">
        <v>233</v>
      </c>
      <c r="E601" s="4">
        <f t="shared" si="36"/>
        <v>0</v>
      </c>
      <c r="F601" s="4">
        <f t="shared" si="37"/>
        <v>220</v>
      </c>
      <c r="G601" s="4">
        <f t="shared" si="38"/>
        <v>0.23585710178403479</v>
      </c>
      <c r="H601" s="4">
        <f t="shared" si="39"/>
        <v>48400</v>
      </c>
      <c r="I601" s="5">
        <f>SQRT(SUM('p-native-multi'!$C$3:C601)/COUNTIF($A$3:A601,"&lt;&gt;0"))</f>
        <v>15.8262160730854</v>
      </c>
    </row>
    <row r="602" spans="1:9">
      <c r="A602">
        <v>600</v>
      </c>
      <c r="B602">
        <v>453</v>
      </c>
      <c r="C602">
        <v>279</v>
      </c>
      <c r="D602">
        <v>233</v>
      </c>
      <c r="E602" s="4">
        <f t="shared" si="36"/>
        <v>0</v>
      </c>
      <c r="F602" s="4">
        <f t="shared" si="37"/>
        <v>174</v>
      </c>
      <c r="G602" s="4">
        <f t="shared" si="38"/>
        <v>0.14753738871102146</v>
      </c>
      <c r="H602" s="4">
        <f t="shared" si="39"/>
        <v>30276</v>
      </c>
      <c r="I602" s="5">
        <f>SQRT(SUM('p-native-multi'!$C$3:C602)/COUNTIF($A$3:A602,"&lt;&gt;0"))</f>
        <v>15.827718302606559</v>
      </c>
    </row>
    <row r="603" spans="1:9">
      <c r="A603">
        <v>601</v>
      </c>
      <c r="B603">
        <v>343</v>
      </c>
      <c r="C603">
        <v>253</v>
      </c>
      <c r="D603">
        <v>233</v>
      </c>
      <c r="E603" s="4">
        <f t="shared" si="36"/>
        <v>0</v>
      </c>
      <c r="F603" s="4">
        <f t="shared" si="37"/>
        <v>90</v>
      </c>
      <c r="G603" s="4">
        <f t="shared" si="38"/>
        <v>6.8848863993744083E-2</v>
      </c>
      <c r="H603" s="4">
        <f t="shared" si="39"/>
        <v>8100</v>
      </c>
      <c r="I603" s="5">
        <f>SQRT(SUM('p-native-multi'!$C$3:C603)/COUNTIF($A$3:A603,"&lt;&gt;0"))</f>
        <v>15.827848832639425</v>
      </c>
    </row>
    <row r="604" spans="1:9">
      <c r="A604">
        <v>602</v>
      </c>
      <c r="B604">
        <v>343</v>
      </c>
      <c r="C604">
        <v>233</v>
      </c>
      <c r="D604">
        <v>233</v>
      </c>
      <c r="E604" s="4">
        <f t="shared" si="36"/>
        <v>0</v>
      </c>
      <c r="F604" s="4">
        <f t="shared" si="37"/>
        <v>110</v>
      </c>
      <c r="G604" s="4">
        <f t="shared" si="38"/>
        <v>0.10284830300300045</v>
      </c>
      <c r="H604" s="4">
        <f t="shared" si="39"/>
        <v>12100</v>
      </c>
      <c r="I604" s="5">
        <f>SQRT(SUM('p-native-multi'!$C$3:C604)/COUNTIF($A$3:A604,"&lt;&gt;0"))</f>
        <v>15.826929403777584</v>
      </c>
    </row>
    <row r="605" spans="1:9">
      <c r="A605">
        <v>603</v>
      </c>
      <c r="B605">
        <v>343</v>
      </c>
      <c r="C605">
        <v>233</v>
      </c>
      <c r="D605">
        <v>233</v>
      </c>
      <c r="E605" s="4">
        <f t="shared" si="36"/>
        <v>0</v>
      </c>
      <c r="F605" s="4">
        <f t="shared" si="37"/>
        <v>110</v>
      </c>
      <c r="G605" s="4">
        <f t="shared" si="38"/>
        <v>0.10284830300300045</v>
      </c>
      <c r="H605" s="4">
        <f t="shared" si="39"/>
        <v>12100</v>
      </c>
      <c r="I605" s="5">
        <f>SQRT(SUM('p-native-multi'!$C$3:C605)/COUNTIF($A$3:A605,"&lt;&gt;0"))</f>
        <v>15.826012971281306</v>
      </c>
    </row>
    <row r="606" spans="1:9">
      <c r="A606">
        <v>604</v>
      </c>
      <c r="B606">
        <v>343</v>
      </c>
      <c r="C606">
        <v>233</v>
      </c>
      <c r="D606">
        <v>233</v>
      </c>
      <c r="E606" s="4">
        <f t="shared" si="36"/>
        <v>0</v>
      </c>
      <c r="F606" s="4">
        <f t="shared" si="37"/>
        <v>110</v>
      </c>
      <c r="G606" s="4">
        <f t="shared" si="38"/>
        <v>0.10284830300300045</v>
      </c>
      <c r="H606" s="4">
        <f t="shared" si="39"/>
        <v>12100</v>
      </c>
      <c r="I606" s="5">
        <f>SQRT(SUM('p-native-multi'!$C$3:C606)/COUNTIF($A$3:A606,"&lt;&gt;0"))</f>
        <v>15.825099520522361</v>
      </c>
    </row>
    <row r="607" spans="1:9">
      <c r="A607">
        <v>605</v>
      </c>
      <c r="B607">
        <v>343</v>
      </c>
      <c r="C607">
        <v>273</v>
      </c>
      <c r="D607">
        <v>233</v>
      </c>
      <c r="E607" s="4">
        <f t="shared" si="36"/>
        <v>0</v>
      </c>
      <c r="F607" s="4">
        <f t="shared" si="37"/>
        <v>70</v>
      </c>
      <c r="G607" s="4">
        <f t="shared" si="38"/>
        <v>4.1649312786339029E-2</v>
      </c>
      <c r="H607" s="4">
        <f t="shared" si="39"/>
        <v>4900</v>
      </c>
      <c r="I607" s="5">
        <f>SQRT(SUM('p-native-multi'!$C$3:C607)/COUNTIF($A$3:A607,"&lt;&gt;0"))</f>
        <v>15.826277969888096</v>
      </c>
    </row>
    <row r="608" spans="1:9">
      <c r="A608">
        <v>606</v>
      </c>
      <c r="B608">
        <v>343</v>
      </c>
      <c r="C608">
        <v>273</v>
      </c>
      <c r="D608">
        <v>233</v>
      </c>
      <c r="E608" s="4">
        <f t="shared" si="36"/>
        <v>0</v>
      </c>
      <c r="F608" s="4">
        <f t="shared" si="37"/>
        <v>70</v>
      </c>
      <c r="G608" s="4">
        <f t="shared" si="38"/>
        <v>4.1649312786339029E-2</v>
      </c>
      <c r="H608" s="4">
        <f t="shared" si="39"/>
        <v>4900</v>
      </c>
      <c r="I608" s="5">
        <f>SQRT(SUM('p-native-multi'!$C$3:C608)/COUNTIF($A$3:A608,"&lt;&gt;0"))</f>
        <v>15.827452442673222</v>
      </c>
    </row>
    <row r="609" spans="1:9">
      <c r="A609">
        <v>607</v>
      </c>
      <c r="B609">
        <v>343</v>
      </c>
      <c r="C609">
        <v>279</v>
      </c>
      <c r="D609">
        <v>233</v>
      </c>
      <c r="E609" s="4">
        <f t="shared" si="36"/>
        <v>1</v>
      </c>
      <c r="F609" s="4">
        <f t="shared" si="37"/>
        <v>64</v>
      </c>
      <c r="G609" s="4">
        <f t="shared" si="38"/>
        <v>3.48154255454785E-2</v>
      </c>
      <c r="H609" s="4">
        <f t="shared" si="39"/>
        <v>4096</v>
      </c>
      <c r="I609" s="5">
        <f>SQRT(SUM('p-native-multi'!$C$3:C609)/COUNTIF($A$3:A609,"&lt;&gt;0"))</f>
        <v>15.828935196542522</v>
      </c>
    </row>
    <row r="610" spans="1:9">
      <c r="A610">
        <v>608</v>
      </c>
      <c r="B610">
        <v>343</v>
      </c>
      <c r="C610">
        <v>253</v>
      </c>
      <c r="D610">
        <v>233</v>
      </c>
      <c r="E610" s="4">
        <f t="shared" si="36"/>
        <v>0</v>
      </c>
      <c r="F610" s="4">
        <f t="shared" si="37"/>
        <v>90</v>
      </c>
      <c r="G610" s="4">
        <f t="shared" si="38"/>
        <v>6.8848863993744083E-2</v>
      </c>
      <c r="H610" s="4">
        <f t="shared" si="39"/>
        <v>8100</v>
      </c>
      <c r="I610" s="5">
        <f>SQRT(SUM('p-native-multi'!$C$3:C610)/COUNTIF($A$3:A610,"&lt;&gt;0"))</f>
        <v>15.829062212472214</v>
      </c>
    </row>
    <row r="611" spans="1:9">
      <c r="A611">
        <v>609</v>
      </c>
      <c r="B611">
        <v>343</v>
      </c>
      <c r="C611">
        <v>273</v>
      </c>
      <c r="D611">
        <v>233</v>
      </c>
      <c r="E611" s="4">
        <f t="shared" si="36"/>
        <v>0</v>
      </c>
      <c r="F611" s="4">
        <f t="shared" si="37"/>
        <v>70</v>
      </c>
      <c r="G611" s="4">
        <f t="shared" si="38"/>
        <v>4.1649312786339029E-2</v>
      </c>
      <c r="H611" s="4">
        <f t="shared" si="39"/>
        <v>4900</v>
      </c>
      <c r="I611" s="5">
        <f>SQRT(SUM('p-native-multi'!$C$3:C611)/COUNTIF($A$3:A611,"&lt;&gt;0"))</f>
        <v>15.830226123252331</v>
      </c>
    </row>
    <row r="612" spans="1:9">
      <c r="A612">
        <v>610</v>
      </c>
      <c r="B612">
        <v>343</v>
      </c>
      <c r="C612">
        <v>233</v>
      </c>
      <c r="D612">
        <v>233</v>
      </c>
      <c r="E612" s="4">
        <f t="shared" si="36"/>
        <v>0</v>
      </c>
      <c r="F612" s="4">
        <f t="shared" si="37"/>
        <v>110</v>
      </c>
      <c r="G612" s="4">
        <f t="shared" si="38"/>
        <v>0.10284830300300045</v>
      </c>
      <c r="H612" s="4">
        <f t="shared" si="39"/>
        <v>12100</v>
      </c>
      <c r="I612" s="5">
        <f>SQRT(SUM('p-native-multi'!$C$3:C612)/COUNTIF($A$3:A612,"&lt;&gt;0"))</f>
        <v>15.829314991962038</v>
      </c>
    </row>
    <row r="613" spans="1:9">
      <c r="A613">
        <v>611</v>
      </c>
      <c r="B613">
        <v>343</v>
      </c>
      <c r="C613">
        <v>273</v>
      </c>
      <c r="D613">
        <v>233</v>
      </c>
      <c r="E613" s="4">
        <f t="shared" si="36"/>
        <v>0</v>
      </c>
      <c r="F613" s="4">
        <f t="shared" si="37"/>
        <v>70</v>
      </c>
      <c r="G613" s="4">
        <f t="shared" si="38"/>
        <v>4.1649312786339029E-2</v>
      </c>
      <c r="H613" s="4">
        <f t="shared" si="39"/>
        <v>4900</v>
      </c>
      <c r="I613" s="5">
        <f>SQRT(SUM('p-native-multi'!$C$3:C613)/COUNTIF($A$3:A613,"&lt;&gt;0"))</f>
        <v>15.830474660821347</v>
      </c>
    </row>
    <row r="614" spans="1:9">
      <c r="A614">
        <v>612</v>
      </c>
      <c r="B614">
        <v>343</v>
      </c>
      <c r="C614">
        <v>233</v>
      </c>
      <c r="D614">
        <v>233</v>
      </c>
      <c r="E614" s="4">
        <f t="shared" si="36"/>
        <v>0</v>
      </c>
      <c r="F614" s="4">
        <f t="shared" si="37"/>
        <v>110</v>
      </c>
      <c r="G614" s="4">
        <f t="shared" si="38"/>
        <v>0.10284830300300045</v>
      </c>
      <c r="H614" s="4">
        <f t="shared" si="39"/>
        <v>12100</v>
      </c>
      <c r="I614" s="5">
        <f>SQRT(SUM('p-native-multi'!$C$3:C614)/COUNTIF($A$3:A614,"&lt;&gt;0"))</f>
        <v>15.829566115301228</v>
      </c>
    </row>
    <row r="615" spans="1:9">
      <c r="A615">
        <v>613</v>
      </c>
      <c r="B615">
        <v>343</v>
      </c>
      <c r="C615">
        <v>273</v>
      </c>
      <c r="D615">
        <v>233</v>
      </c>
      <c r="E615" s="4">
        <f t="shared" si="36"/>
        <v>0</v>
      </c>
      <c r="F615" s="4">
        <f t="shared" si="37"/>
        <v>70</v>
      </c>
      <c r="G615" s="4">
        <f t="shared" si="38"/>
        <v>4.1649312786339029E-2</v>
      </c>
      <c r="H615" s="4">
        <f t="shared" si="39"/>
        <v>4900</v>
      </c>
      <c r="I615" s="5">
        <f>SQRT(SUM('p-native-multi'!$C$3:C615)/COUNTIF($A$3:A615,"&lt;&gt;0"))</f>
        <v>15.830721572747915</v>
      </c>
    </row>
    <row r="616" spans="1:9">
      <c r="A616">
        <v>614</v>
      </c>
      <c r="B616">
        <v>343</v>
      </c>
      <c r="C616">
        <v>233</v>
      </c>
      <c r="D616">
        <v>233</v>
      </c>
      <c r="E616" s="4">
        <f t="shared" si="36"/>
        <v>0</v>
      </c>
      <c r="F616" s="4">
        <f t="shared" si="37"/>
        <v>110</v>
      </c>
      <c r="G616" s="4">
        <f t="shared" si="38"/>
        <v>0.10284830300300045</v>
      </c>
      <c r="H616" s="4">
        <f t="shared" si="39"/>
        <v>12100</v>
      </c>
      <c r="I616" s="5">
        <f>SQRT(SUM('p-native-multi'!$C$3:C616)/COUNTIF($A$3:A616,"&lt;&gt;0"))</f>
        <v>15.829815598712791</v>
      </c>
    </row>
    <row r="617" spans="1:9">
      <c r="A617">
        <v>615</v>
      </c>
      <c r="B617">
        <v>343</v>
      </c>
      <c r="C617">
        <v>273</v>
      </c>
      <c r="D617">
        <v>233</v>
      </c>
      <c r="E617" s="4">
        <f t="shared" si="36"/>
        <v>0</v>
      </c>
      <c r="F617" s="4">
        <f t="shared" si="37"/>
        <v>70</v>
      </c>
      <c r="G617" s="4">
        <f t="shared" si="38"/>
        <v>4.1649312786339029E-2</v>
      </c>
      <c r="H617" s="4">
        <f t="shared" si="39"/>
        <v>4900</v>
      </c>
      <c r="I617" s="5">
        <f>SQRT(SUM('p-native-multi'!$C$3:C617)/COUNTIF($A$3:A617,"&lt;&gt;0"))</f>
        <v>15.830966874929716</v>
      </c>
    </row>
    <row r="618" spans="1:9">
      <c r="A618">
        <v>616</v>
      </c>
      <c r="B618">
        <v>343</v>
      </c>
      <c r="C618">
        <v>233</v>
      </c>
      <c r="D618">
        <v>233</v>
      </c>
      <c r="E618" s="4">
        <f t="shared" si="36"/>
        <v>0</v>
      </c>
      <c r="F618" s="4">
        <f t="shared" si="37"/>
        <v>110</v>
      </c>
      <c r="G618" s="4">
        <f t="shared" si="38"/>
        <v>0.10284830300300045</v>
      </c>
      <c r="H618" s="4">
        <f t="shared" si="39"/>
        <v>12100</v>
      </c>
      <c r="I618" s="5">
        <f>SQRT(SUM('p-native-multi'!$C$3:C618)/COUNTIF($A$3:A618,"&lt;&gt;0"))</f>
        <v>15.830063458208533</v>
      </c>
    </row>
    <row r="619" spans="1:9">
      <c r="A619">
        <v>617</v>
      </c>
      <c r="B619">
        <v>343</v>
      </c>
      <c r="C619">
        <v>273</v>
      </c>
      <c r="D619">
        <v>233</v>
      </c>
      <c r="E619" s="4">
        <f t="shared" si="36"/>
        <v>0</v>
      </c>
      <c r="F619" s="4">
        <f t="shared" si="37"/>
        <v>70</v>
      </c>
      <c r="G619" s="4">
        <f t="shared" si="38"/>
        <v>4.1649312786339029E-2</v>
      </c>
      <c r="H619" s="4">
        <f t="shared" si="39"/>
        <v>4900</v>
      </c>
      <c r="I619" s="5">
        <f>SQRT(SUM('p-native-multi'!$C$3:C619)/COUNTIF($A$3:A619,"&lt;&gt;0"))</f>
        <v>15.831210583057809</v>
      </c>
    </row>
    <row r="620" spans="1:9">
      <c r="A620">
        <v>618</v>
      </c>
      <c r="B620">
        <v>343</v>
      </c>
      <c r="C620">
        <v>273</v>
      </c>
      <c r="D620">
        <v>233</v>
      </c>
      <c r="E620" s="4">
        <f t="shared" si="36"/>
        <v>0</v>
      </c>
      <c r="F620" s="4">
        <f t="shared" si="37"/>
        <v>70</v>
      </c>
      <c r="G620" s="4">
        <f t="shared" si="38"/>
        <v>4.1649312786339029E-2</v>
      </c>
      <c r="H620" s="4">
        <f t="shared" si="39"/>
        <v>4900</v>
      </c>
      <c r="I620" s="5">
        <f>SQRT(SUM('p-native-multi'!$C$3:C620)/COUNTIF($A$3:A620,"&lt;&gt;0"))</f>
        <v>15.832353912817638</v>
      </c>
    </row>
    <row r="621" spans="1:9">
      <c r="A621">
        <v>619</v>
      </c>
      <c r="B621">
        <v>343</v>
      </c>
      <c r="C621">
        <v>253</v>
      </c>
      <c r="D621">
        <v>233</v>
      </c>
      <c r="E621" s="4">
        <f t="shared" si="36"/>
        <v>0</v>
      </c>
      <c r="F621" s="4">
        <f t="shared" si="37"/>
        <v>90</v>
      </c>
      <c r="G621" s="4">
        <f t="shared" si="38"/>
        <v>6.8848863993744083E-2</v>
      </c>
      <c r="H621" s="4">
        <f t="shared" si="39"/>
        <v>8100</v>
      </c>
      <c r="I621" s="5">
        <f>SQRT(SUM('p-native-multi'!$C$3:C621)/COUNTIF($A$3:A621,"&lt;&gt;0"))</f>
        <v>15.832473122340314</v>
      </c>
    </row>
    <row r="622" spans="1:9">
      <c r="A622">
        <v>620</v>
      </c>
      <c r="B622">
        <v>343</v>
      </c>
      <c r="C622">
        <v>233</v>
      </c>
      <c r="D622">
        <v>233</v>
      </c>
      <c r="E622" s="4">
        <f t="shared" si="36"/>
        <v>0</v>
      </c>
      <c r="F622" s="4">
        <f t="shared" si="37"/>
        <v>110</v>
      </c>
      <c r="G622" s="4">
        <f t="shared" si="38"/>
        <v>0.10284830300300045</v>
      </c>
      <c r="H622" s="4">
        <f t="shared" si="39"/>
        <v>12100</v>
      </c>
      <c r="I622" s="5">
        <f>SQRT(SUM('p-native-multi'!$C$3:C622)/COUNTIF($A$3:A622,"&lt;&gt;0"))</f>
        <v>15.831573190224001</v>
      </c>
    </row>
    <row r="623" spans="1:9">
      <c r="A623">
        <v>621</v>
      </c>
      <c r="B623">
        <v>343</v>
      </c>
      <c r="C623">
        <v>233</v>
      </c>
      <c r="D623">
        <v>233</v>
      </c>
      <c r="E623" s="4">
        <f t="shared" si="36"/>
        <v>0</v>
      </c>
      <c r="F623" s="4">
        <f t="shared" si="37"/>
        <v>110</v>
      </c>
      <c r="G623" s="4">
        <f t="shared" si="38"/>
        <v>0.10284830300300045</v>
      </c>
      <c r="H623" s="4">
        <f t="shared" si="39"/>
        <v>12100</v>
      </c>
      <c r="I623" s="5">
        <f>SQRT(SUM('p-native-multi'!$C$3:C623)/COUNTIF($A$3:A623,"&lt;&gt;0"))</f>
        <v>15.830676105527901</v>
      </c>
    </row>
    <row r="624" spans="1:9">
      <c r="A624">
        <v>622</v>
      </c>
      <c r="B624">
        <v>343</v>
      </c>
      <c r="C624">
        <v>233</v>
      </c>
      <c r="D624">
        <v>233</v>
      </c>
      <c r="E624" s="4">
        <f t="shared" si="36"/>
        <v>0</v>
      </c>
      <c r="F624" s="4">
        <f t="shared" si="37"/>
        <v>110</v>
      </c>
      <c r="G624" s="4">
        <f t="shared" si="38"/>
        <v>0.10284830300300045</v>
      </c>
      <c r="H624" s="4">
        <f t="shared" si="39"/>
        <v>12100</v>
      </c>
      <c r="I624" s="5">
        <f>SQRT(SUM('p-native-multi'!$C$3:C624)/COUNTIF($A$3:A624,"&lt;&gt;0"))</f>
        <v>15.829781854755037</v>
      </c>
    </row>
    <row r="625" spans="1:9">
      <c r="A625">
        <v>623</v>
      </c>
      <c r="B625">
        <v>343</v>
      </c>
      <c r="C625">
        <v>253</v>
      </c>
      <c r="D625">
        <v>233</v>
      </c>
      <c r="E625" s="4">
        <f t="shared" si="36"/>
        <v>0</v>
      </c>
      <c r="F625" s="4">
        <f t="shared" si="37"/>
        <v>90</v>
      </c>
      <c r="G625" s="4">
        <f t="shared" si="38"/>
        <v>6.8848863993744083E-2</v>
      </c>
      <c r="H625" s="4">
        <f t="shared" si="39"/>
        <v>8100</v>
      </c>
      <c r="I625" s="5">
        <f>SQRT(SUM('p-native-multi'!$C$3:C625)/COUNTIF($A$3:A625,"&lt;&gt;0"))</f>
        <v>15.829904446943384</v>
      </c>
    </row>
    <row r="626" spans="1:9">
      <c r="A626">
        <v>624</v>
      </c>
      <c r="B626">
        <v>343</v>
      </c>
      <c r="C626">
        <v>253</v>
      </c>
      <c r="D626">
        <v>233</v>
      </c>
      <c r="E626" s="4">
        <f t="shared" si="36"/>
        <v>0</v>
      </c>
      <c r="F626" s="4">
        <f t="shared" si="37"/>
        <v>90</v>
      </c>
      <c r="G626" s="4">
        <f t="shared" si="38"/>
        <v>6.8848863993744083E-2</v>
      </c>
      <c r="H626" s="4">
        <f t="shared" si="39"/>
        <v>8100</v>
      </c>
      <c r="I626" s="5">
        <f>SQRT(SUM('p-native-multi'!$C$3:C626)/COUNTIF($A$3:A626,"&lt;&gt;0"))</f>
        <v>15.830026645263223</v>
      </c>
    </row>
    <row r="627" spans="1:9">
      <c r="A627">
        <v>625</v>
      </c>
      <c r="B627">
        <v>343</v>
      </c>
      <c r="C627">
        <v>233</v>
      </c>
      <c r="D627">
        <v>233</v>
      </c>
      <c r="E627" s="4">
        <f t="shared" si="36"/>
        <v>0</v>
      </c>
      <c r="F627" s="4">
        <f t="shared" si="37"/>
        <v>110</v>
      </c>
      <c r="G627" s="4">
        <f t="shared" si="38"/>
        <v>0.10284830300300045</v>
      </c>
      <c r="H627" s="4">
        <f t="shared" si="39"/>
        <v>12100</v>
      </c>
      <c r="I627" s="5">
        <f>SQRT(SUM('p-native-multi'!$C$3:C627)/COUNTIF($A$3:A627,"&lt;&gt;0"))</f>
        <v>15.829137689716392</v>
      </c>
    </row>
    <row r="628" spans="1:9">
      <c r="A628">
        <v>626</v>
      </c>
      <c r="B628">
        <v>343</v>
      </c>
      <c r="C628">
        <v>233</v>
      </c>
      <c r="D628">
        <v>233</v>
      </c>
      <c r="E628" s="4">
        <f t="shared" si="36"/>
        <v>0</v>
      </c>
      <c r="F628" s="4">
        <f t="shared" si="37"/>
        <v>110</v>
      </c>
      <c r="G628" s="4">
        <f t="shared" si="38"/>
        <v>0.10284830300300045</v>
      </c>
      <c r="H628" s="4">
        <f t="shared" si="39"/>
        <v>12100</v>
      </c>
      <c r="I628" s="5">
        <f>SQRT(SUM('p-native-multi'!$C$3:C628)/COUNTIF($A$3:A628,"&lt;&gt;0"))</f>
        <v>15.828251524596094</v>
      </c>
    </row>
    <row r="629" spans="1:9">
      <c r="A629">
        <v>627</v>
      </c>
      <c r="B629">
        <v>343</v>
      </c>
      <c r="C629">
        <v>233</v>
      </c>
      <c r="D629">
        <v>233</v>
      </c>
      <c r="E629" s="4">
        <f t="shared" si="36"/>
        <v>0</v>
      </c>
      <c r="F629" s="4">
        <f t="shared" si="37"/>
        <v>110</v>
      </c>
      <c r="G629" s="4">
        <f t="shared" si="38"/>
        <v>0.10284830300300045</v>
      </c>
      <c r="H629" s="4">
        <f t="shared" si="39"/>
        <v>12100</v>
      </c>
      <c r="I629" s="5">
        <f>SQRT(SUM('p-native-multi'!$C$3:C629)/COUNTIF($A$3:A629,"&lt;&gt;0"))</f>
        <v>15.827368136780072</v>
      </c>
    </row>
    <row r="630" spans="1:9">
      <c r="A630">
        <v>628</v>
      </c>
      <c r="B630">
        <v>343</v>
      </c>
      <c r="C630">
        <v>253</v>
      </c>
      <c r="D630">
        <v>233</v>
      </c>
      <c r="E630" s="4">
        <f t="shared" si="36"/>
        <v>0</v>
      </c>
      <c r="F630" s="4">
        <f t="shared" si="37"/>
        <v>90</v>
      </c>
      <c r="G630" s="4">
        <f t="shared" si="38"/>
        <v>6.8848863993744083E-2</v>
      </c>
      <c r="H630" s="4">
        <f t="shared" si="39"/>
        <v>8100</v>
      </c>
      <c r="I630" s="5">
        <f>SQRT(SUM('p-native-multi'!$C$3:C630)/COUNTIF($A$3:A630,"&lt;&gt;0"))</f>
        <v>15.827493615229399</v>
      </c>
    </row>
    <row r="631" spans="1:9">
      <c r="A631">
        <v>629</v>
      </c>
      <c r="B631">
        <v>343</v>
      </c>
      <c r="C631">
        <v>233</v>
      </c>
      <c r="D631">
        <v>233</v>
      </c>
      <c r="E631" s="4">
        <f t="shared" si="36"/>
        <v>0</v>
      </c>
      <c r="F631" s="4">
        <f t="shared" si="37"/>
        <v>110</v>
      </c>
      <c r="G631" s="4">
        <f t="shared" si="38"/>
        <v>0.10284830300300045</v>
      </c>
      <c r="H631" s="4">
        <f t="shared" si="39"/>
        <v>12100</v>
      </c>
      <c r="I631" s="5">
        <f>SQRT(SUM('p-native-multi'!$C$3:C631)/COUNTIF($A$3:A631,"&lt;&gt;0"))</f>
        <v>15.826614199225581</v>
      </c>
    </row>
    <row r="632" spans="1:9">
      <c r="A632">
        <v>630</v>
      </c>
      <c r="B632">
        <v>343</v>
      </c>
      <c r="C632">
        <v>273</v>
      </c>
      <c r="D632">
        <v>233</v>
      </c>
      <c r="E632" s="4">
        <f t="shared" si="36"/>
        <v>0</v>
      </c>
      <c r="F632" s="4">
        <f t="shared" si="37"/>
        <v>70</v>
      </c>
      <c r="G632" s="4">
        <f t="shared" si="38"/>
        <v>4.1649312786339029E-2</v>
      </c>
      <c r="H632" s="4">
        <f t="shared" si="39"/>
        <v>4900</v>
      </c>
      <c r="I632" s="5">
        <f>SQRT(SUM('p-native-multi'!$C$3:C632)/COUNTIF($A$3:A632,"&lt;&gt;0"))</f>
        <v>15.827743374134556</v>
      </c>
    </row>
    <row r="633" spans="1:9">
      <c r="A633">
        <v>631</v>
      </c>
      <c r="B633">
        <v>343</v>
      </c>
      <c r="C633">
        <v>233</v>
      </c>
      <c r="D633">
        <v>233</v>
      </c>
      <c r="E633" s="4">
        <f t="shared" si="36"/>
        <v>0</v>
      </c>
      <c r="F633" s="4">
        <f t="shared" si="37"/>
        <v>110</v>
      </c>
      <c r="G633" s="4">
        <f t="shared" si="38"/>
        <v>0.10284830300300045</v>
      </c>
      <c r="H633" s="4">
        <f t="shared" si="39"/>
        <v>12100</v>
      </c>
      <c r="I633" s="5">
        <f>SQRT(SUM('p-native-multi'!$C$3:C633)/COUNTIF($A$3:A633,"&lt;&gt;0"))</f>
        <v>15.826866363580939</v>
      </c>
    </row>
    <row r="634" spans="1:9">
      <c r="A634">
        <v>632</v>
      </c>
      <c r="B634">
        <v>343</v>
      </c>
      <c r="C634">
        <v>273</v>
      </c>
      <c r="D634">
        <v>233</v>
      </c>
      <c r="E634" s="4">
        <f t="shared" si="36"/>
        <v>0</v>
      </c>
      <c r="F634" s="4">
        <f t="shared" si="37"/>
        <v>70</v>
      </c>
      <c r="G634" s="4">
        <f t="shared" si="38"/>
        <v>4.1649312786339029E-2</v>
      </c>
      <c r="H634" s="4">
        <f t="shared" si="39"/>
        <v>4900</v>
      </c>
      <c r="I634" s="5">
        <f>SQRT(SUM('p-native-multi'!$C$3:C634)/COUNTIF($A$3:A634,"&lt;&gt;0"))</f>
        <v>15.827991548383396</v>
      </c>
    </row>
    <row r="635" spans="1:9">
      <c r="A635">
        <v>633</v>
      </c>
      <c r="B635">
        <v>343</v>
      </c>
      <c r="C635">
        <v>233</v>
      </c>
      <c r="D635">
        <v>233</v>
      </c>
      <c r="E635" s="4">
        <f t="shared" si="36"/>
        <v>0</v>
      </c>
      <c r="F635" s="4">
        <f t="shared" si="37"/>
        <v>110</v>
      </c>
      <c r="G635" s="4">
        <f t="shared" si="38"/>
        <v>0.10284830300300045</v>
      </c>
      <c r="H635" s="4">
        <f t="shared" si="39"/>
        <v>12100</v>
      </c>
      <c r="I635" s="5">
        <f>SQRT(SUM('p-native-multi'!$C$3:C635)/COUNTIF($A$3:A635,"&lt;&gt;0"))</f>
        <v>15.827116930501068</v>
      </c>
    </row>
    <row r="636" spans="1:9">
      <c r="A636">
        <v>634</v>
      </c>
      <c r="B636">
        <v>343</v>
      </c>
      <c r="C636">
        <v>279</v>
      </c>
      <c r="D636">
        <v>233</v>
      </c>
      <c r="E636" s="4">
        <f t="shared" si="36"/>
        <v>1</v>
      </c>
      <c r="F636" s="4">
        <f t="shared" si="37"/>
        <v>64</v>
      </c>
      <c r="G636" s="4">
        <f t="shared" si="38"/>
        <v>3.48154255454785E-2</v>
      </c>
      <c r="H636" s="4">
        <f t="shared" si="39"/>
        <v>4096</v>
      </c>
      <c r="I636" s="5">
        <f>SQRT(SUM('p-native-multi'!$C$3:C636)/COUNTIF($A$3:A636,"&lt;&gt;0"))</f>
        <v>15.828537100780622</v>
      </c>
    </row>
    <row r="637" spans="1:9">
      <c r="A637">
        <v>635</v>
      </c>
      <c r="B637">
        <v>343</v>
      </c>
      <c r="C637">
        <v>273</v>
      </c>
      <c r="D637">
        <v>233</v>
      </c>
      <c r="E637" s="4">
        <f t="shared" si="36"/>
        <v>0</v>
      </c>
      <c r="F637" s="4">
        <f t="shared" si="37"/>
        <v>70</v>
      </c>
      <c r="G637" s="4">
        <f t="shared" si="38"/>
        <v>4.1649312786339029E-2</v>
      </c>
      <c r="H637" s="4">
        <f t="shared" si="39"/>
        <v>4900</v>
      </c>
      <c r="I637" s="5">
        <f>SQRT(SUM('p-native-multi'!$C$3:C637)/COUNTIF($A$3:A637,"&lt;&gt;0"))</f>
        <v>15.829654220983651</v>
      </c>
    </row>
    <row r="638" spans="1:9">
      <c r="A638">
        <v>636</v>
      </c>
      <c r="B638">
        <v>343</v>
      </c>
      <c r="C638">
        <v>253</v>
      </c>
      <c r="D638">
        <v>233</v>
      </c>
      <c r="E638" s="4">
        <f t="shared" si="36"/>
        <v>0</v>
      </c>
      <c r="F638" s="4">
        <f t="shared" si="37"/>
        <v>90</v>
      </c>
      <c r="G638" s="4">
        <f t="shared" si="38"/>
        <v>6.8848863993744083E-2</v>
      </c>
      <c r="H638" s="4">
        <f t="shared" si="39"/>
        <v>8100</v>
      </c>
      <c r="I638" s="5">
        <f>SQRT(SUM('p-native-multi'!$C$3:C638)/COUNTIF($A$3:A638,"&lt;&gt;0"))</f>
        <v>15.829774509015891</v>
      </c>
    </row>
    <row r="639" spans="1:9">
      <c r="A639">
        <v>637</v>
      </c>
      <c r="B639">
        <v>343</v>
      </c>
      <c r="C639">
        <v>273</v>
      </c>
      <c r="D639">
        <v>233</v>
      </c>
      <c r="E639" s="4">
        <f t="shared" si="36"/>
        <v>0</v>
      </c>
      <c r="F639" s="4">
        <f t="shared" si="37"/>
        <v>70</v>
      </c>
      <c r="G639" s="4">
        <f t="shared" si="38"/>
        <v>4.1649312786339029E-2</v>
      </c>
      <c r="H639" s="4">
        <f t="shared" si="39"/>
        <v>4900</v>
      </c>
      <c r="I639" s="5">
        <f>SQRT(SUM('p-native-multi'!$C$3:C639)/COUNTIF($A$3:A639,"&lt;&gt;0"))</f>
        <v>15.830886092512236</v>
      </c>
    </row>
    <row r="640" spans="1:9">
      <c r="A640">
        <v>638</v>
      </c>
      <c r="B640">
        <v>343</v>
      </c>
      <c r="C640">
        <v>273</v>
      </c>
      <c r="D640">
        <v>233</v>
      </c>
      <c r="E640" s="4">
        <f t="shared" si="36"/>
        <v>0</v>
      </c>
      <c r="F640" s="4">
        <f t="shared" si="37"/>
        <v>70</v>
      </c>
      <c r="G640" s="4">
        <f t="shared" si="38"/>
        <v>4.1649312786339029E-2</v>
      </c>
      <c r="H640" s="4">
        <f t="shared" si="39"/>
        <v>4900</v>
      </c>
      <c r="I640" s="5">
        <f>SQRT(SUM('p-native-multi'!$C$3:C640)/COUNTIF($A$3:A640,"&lt;&gt;0"))</f>
        <v>15.831994113741796</v>
      </c>
    </row>
    <row r="641" spans="1:9">
      <c r="A641">
        <v>639</v>
      </c>
      <c r="B641">
        <v>343</v>
      </c>
      <c r="C641">
        <v>253</v>
      </c>
      <c r="D641">
        <v>233</v>
      </c>
      <c r="E641" s="4">
        <f t="shared" si="36"/>
        <v>0</v>
      </c>
      <c r="F641" s="4">
        <f t="shared" si="37"/>
        <v>90</v>
      </c>
      <c r="G641" s="4">
        <f t="shared" si="38"/>
        <v>6.8848863993744083E-2</v>
      </c>
      <c r="H641" s="4">
        <f t="shared" si="39"/>
        <v>8100</v>
      </c>
      <c r="I641" s="5">
        <f>SQRT(SUM('p-native-multi'!$C$3:C641)/COUNTIF($A$3:A641,"&lt;&gt;0"))</f>
        <v>15.832110157843086</v>
      </c>
    </row>
    <row r="642" spans="1:9">
      <c r="A642">
        <v>640</v>
      </c>
      <c r="B642">
        <v>343</v>
      </c>
      <c r="C642">
        <v>233</v>
      </c>
      <c r="D642">
        <v>233</v>
      </c>
      <c r="E642" s="4">
        <f t="shared" si="36"/>
        <v>0</v>
      </c>
      <c r="F642" s="4">
        <f t="shared" si="37"/>
        <v>110</v>
      </c>
      <c r="G642" s="4">
        <f t="shared" si="38"/>
        <v>0.10284830300300045</v>
      </c>
      <c r="H642" s="4">
        <f t="shared" si="39"/>
        <v>12100</v>
      </c>
      <c r="I642" s="5">
        <f>SQRT(SUM('p-native-multi'!$C$3:C642)/COUNTIF($A$3:A642,"&lt;&gt;0"))</f>
        <v>15.831238896561445</v>
      </c>
    </row>
    <row r="643" spans="1:9">
      <c r="A643">
        <v>641</v>
      </c>
      <c r="B643">
        <v>343</v>
      </c>
      <c r="C643">
        <v>273</v>
      </c>
      <c r="D643">
        <v>233</v>
      </c>
      <c r="E643" s="4">
        <f t="shared" si="36"/>
        <v>0</v>
      </c>
      <c r="F643" s="4">
        <f t="shared" si="37"/>
        <v>70</v>
      </c>
      <c r="G643" s="4">
        <f t="shared" si="38"/>
        <v>4.1649312786339029E-2</v>
      </c>
      <c r="H643" s="4">
        <f t="shared" si="39"/>
        <v>4900</v>
      </c>
      <c r="I643" s="5">
        <f>SQRT(SUM('p-native-multi'!$C$3:C643)/COUNTIF($A$3:A643,"&lt;&gt;0"))</f>
        <v>15.832341157297641</v>
      </c>
    </row>
    <row r="644" spans="1:9">
      <c r="A644">
        <v>642</v>
      </c>
      <c r="B644">
        <v>343</v>
      </c>
      <c r="C644">
        <v>273</v>
      </c>
      <c r="D644">
        <v>233</v>
      </c>
      <c r="E644" s="4">
        <f t="shared" ref="E644:E707" si="40">IF(AND(C644&lt;=B644*1.2,C644&gt;=B644*0.8),1,0)</f>
        <v>0</v>
      </c>
      <c r="F644" s="4">
        <f t="shared" ref="F644:F707" si="41">ABS(B644-C644)</f>
        <v>70</v>
      </c>
      <c r="G644" s="4">
        <f t="shared" ref="G644:G707" si="42">POWER(ABS(B644-C644)/B644,2)</f>
        <v>4.1649312786339029E-2</v>
      </c>
      <c r="H644" s="4">
        <f t="shared" ref="H644:H707" si="43">POWER(F644,2)</f>
        <v>4900</v>
      </c>
      <c r="I644" s="5">
        <f>SQRT(SUM('p-native-multi'!$C$3:C644)/COUNTIF($A$3:A644,"&lt;&gt;0"))</f>
        <v>15.833439907822992</v>
      </c>
    </row>
    <row r="645" spans="1:9">
      <c r="A645">
        <v>643</v>
      </c>
      <c r="B645">
        <v>343</v>
      </c>
      <c r="C645">
        <v>273</v>
      </c>
      <c r="D645">
        <v>233</v>
      </c>
      <c r="E645" s="4">
        <f t="shared" si="40"/>
        <v>0</v>
      </c>
      <c r="F645" s="4">
        <f t="shared" si="41"/>
        <v>70</v>
      </c>
      <c r="G645" s="4">
        <f t="shared" si="42"/>
        <v>4.1649312786339029E-2</v>
      </c>
      <c r="H645" s="4">
        <f t="shared" si="43"/>
        <v>4900</v>
      </c>
      <c r="I645" s="5">
        <f>SQRT(SUM('p-native-multi'!$C$3:C645)/COUNTIF($A$3:A645,"&lt;&gt;0"))</f>
        <v>15.834535164886429</v>
      </c>
    </row>
    <row r="646" spans="1:9">
      <c r="A646">
        <v>644</v>
      </c>
      <c r="B646">
        <v>343</v>
      </c>
      <c r="C646">
        <v>233</v>
      </c>
      <c r="D646">
        <v>233</v>
      </c>
      <c r="E646" s="4">
        <f t="shared" si="40"/>
        <v>0</v>
      </c>
      <c r="F646" s="4">
        <f t="shared" si="41"/>
        <v>110</v>
      </c>
      <c r="G646" s="4">
        <f t="shared" si="42"/>
        <v>0.10284830300300045</v>
      </c>
      <c r="H646" s="4">
        <f t="shared" si="43"/>
        <v>12100</v>
      </c>
      <c r="I646" s="5">
        <f>SQRT(SUM('p-native-multi'!$C$3:C646)/COUNTIF($A$3:A646,"&lt;&gt;0"))</f>
        <v>15.833665682465933</v>
      </c>
    </row>
    <row r="647" spans="1:9">
      <c r="A647">
        <v>645</v>
      </c>
      <c r="B647">
        <v>343</v>
      </c>
      <c r="C647">
        <v>279</v>
      </c>
      <c r="D647">
        <v>233</v>
      </c>
      <c r="E647" s="4">
        <f t="shared" si="40"/>
        <v>1</v>
      </c>
      <c r="F647" s="4">
        <f t="shared" si="41"/>
        <v>64</v>
      </c>
      <c r="G647" s="4">
        <f t="shared" si="42"/>
        <v>3.48154255454785E-2</v>
      </c>
      <c r="H647" s="4">
        <f t="shared" si="43"/>
        <v>4096</v>
      </c>
      <c r="I647" s="5">
        <f>SQRT(SUM('p-native-multi'!$C$3:C647)/COUNTIF($A$3:A647,"&lt;&gt;0"))</f>
        <v>15.835050906432297</v>
      </c>
    </row>
    <row r="648" spans="1:9">
      <c r="A648">
        <v>646</v>
      </c>
      <c r="B648">
        <v>343</v>
      </c>
      <c r="C648">
        <v>279</v>
      </c>
      <c r="D648">
        <v>233</v>
      </c>
      <c r="E648" s="4">
        <f t="shared" si="40"/>
        <v>1</v>
      </c>
      <c r="F648" s="4">
        <f t="shared" si="41"/>
        <v>64</v>
      </c>
      <c r="G648" s="4">
        <f t="shared" si="42"/>
        <v>3.48154255454785E-2</v>
      </c>
      <c r="H648" s="4">
        <f t="shared" si="43"/>
        <v>4096</v>
      </c>
      <c r="I648" s="5">
        <f>SQRT(SUM('p-native-multi'!$C$3:C648)/COUNTIF($A$3:A648,"&lt;&gt;0"))</f>
        <v>15.836431721175156</v>
      </c>
    </row>
    <row r="649" spans="1:9">
      <c r="A649">
        <v>647</v>
      </c>
      <c r="B649">
        <v>343</v>
      </c>
      <c r="C649">
        <v>233</v>
      </c>
      <c r="D649">
        <v>233</v>
      </c>
      <c r="E649" s="4">
        <f t="shared" si="40"/>
        <v>0</v>
      </c>
      <c r="F649" s="4">
        <f t="shared" si="41"/>
        <v>110</v>
      </c>
      <c r="G649" s="4">
        <f t="shared" si="42"/>
        <v>0.10284830300300045</v>
      </c>
      <c r="H649" s="4">
        <f t="shared" si="43"/>
        <v>12100</v>
      </c>
      <c r="I649" s="5">
        <f>SQRT(SUM('p-native-multi'!$C$3:C649)/COUNTIF($A$3:A649,"&lt;&gt;0"))</f>
        <v>15.835563442826322</v>
      </c>
    </row>
    <row r="650" spans="1:9">
      <c r="A650">
        <v>648</v>
      </c>
      <c r="B650">
        <v>343</v>
      </c>
      <c r="C650">
        <v>279</v>
      </c>
      <c r="D650">
        <v>233</v>
      </c>
      <c r="E650" s="4">
        <f t="shared" si="40"/>
        <v>1</v>
      </c>
      <c r="F650" s="4">
        <f t="shared" si="41"/>
        <v>64</v>
      </c>
      <c r="G650" s="4">
        <f t="shared" si="42"/>
        <v>3.48154255454785E-2</v>
      </c>
      <c r="H650" s="4">
        <f t="shared" si="43"/>
        <v>4096</v>
      </c>
      <c r="I650" s="5">
        <f>SQRT(SUM('p-native-multi'!$C$3:C650)/COUNTIF($A$3:A650,"&lt;&gt;0"))</f>
        <v>15.83693916056094</v>
      </c>
    </row>
    <row r="651" spans="1:9">
      <c r="A651">
        <v>649</v>
      </c>
      <c r="B651">
        <v>343</v>
      </c>
      <c r="C651">
        <v>279</v>
      </c>
      <c r="D651">
        <v>233</v>
      </c>
      <c r="E651" s="4">
        <f t="shared" si="40"/>
        <v>1</v>
      </c>
      <c r="F651" s="4">
        <f t="shared" si="41"/>
        <v>64</v>
      </c>
      <c r="G651" s="4">
        <f t="shared" si="42"/>
        <v>3.48154255454785E-2</v>
      </c>
      <c r="H651" s="4">
        <f t="shared" si="43"/>
        <v>4096</v>
      </c>
      <c r="I651" s="5">
        <f>SQRT(SUM('p-native-multi'!$C$3:C651)/COUNTIF($A$3:A651,"&lt;&gt;0"))</f>
        <v>15.83831051985238</v>
      </c>
    </row>
    <row r="652" spans="1:9">
      <c r="A652">
        <v>650</v>
      </c>
      <c r="B652">
        <v>343</v>
      </c>
      <c r="C652">
        <v>233</v>
      </c>
      <c r="D652">
        <v>233</v>
      </c>
      <c r="E652" s="4">
        <f t="shared" si="40"/>
        <v>0</v>
      </c>
      <c r="F652" s="4">
        <f t="shared" si="41"/>
        <v>110</v>
      </c>
      <c r="G652" s="4">
        <f t="shared" si="42"/>
        <v>0.10284830300300045</v>
      </c>
      <c r="H652" s="4">
        <f t="shared" si="43"/>
        <v>12100</v>
      </c>
      <c r="I652" s="5">
        <f>SQRT(SUM('p-native-multi'!$C$3:C652)/COUNTIF($A$3:A652,"&lt;&gt;0"))</f>
        <v>15.837443461133978</v>
      </c>
    </row>
    <row r="653" spans="1:9">
      <c r="A653">
        <v>651</v>
      </c>
      <c r="B653">
        <v>343</v>
      </c>
      <c r="C653">
        <v>233</v>
      </c>
      <c r="D653">
        <v>233</v>
      </c>
      <c r="E653" s="4">
        <f t="shared" si="40"/>
        <v>0</v>
      </c>
      <c r="F653" s="4">
        <f t="shared" si="41"/>
        <v>110</v>
      </c>
      <c r="G653" s="4">
        <f t="shared" si="42"/>
        <v>0.10284830300300045</v>
      </c>
      <c r="H653" s="4">
        <f t="shared" si="43"/>
        <v>12100</v>
      </c>
      <c r="I653" s="5">
        <f>SQRT(SUM('p-native-multi'!$C$3:C653)/COUNTIF($A$3:A653,"&lt;&gt;0"))</f>
        <v>15.836579018937186</v>
      </c>
    </row>
    <row r="654" spans="1:9">
      <c r="A654">
        <v>652</v>
      </c>
      <c r="B654">
        <v>343</v>
      </c>
      <c r="C654">
        <v>253</v>
      </c>
      <c r="D654">
        <v>233</v>
      </c>
      <c r="E654" s="4">
        <f t="shared" si="40"/>
        <v>0</v>
      </c>
      <c r="F654" s="4">
        <f t="shared" si="41"/>
        <v>90</v>
      </c>
      <c r="G654" s="4">
        <f t="shared" si="42"/>
        <v>6.8848863993744083E-2</v>
      </c>
      <c r="H654" s="4">
        <f t="shared" si="43"/>
        <v>8100</v>
      </c>
      <c r="I654" s="5">
        <f>SQRT(SUM('p-native-multi'!$C$3:C654)/COUNTIF($A$3:A654,"&lt;&gt;0"))</f>
        <v>15.836685685361459</v>
      </c>
    </row>
    <row r="655" spans="1:9">
      <c r="A655">
        <v>653</v>
      </c>
      <c r="B655">
        <v>343</v>
      </c>
      <c r="C655">
        <v>253</v>
      </c>
      <c r="D655">
        <v>233</v>
      </c>
      <c r="E655" s="4">
        <f t="shared" si="40"/>
        <v>0</v>
      </c>
      <c r="F655" s="4">
        <f t="shared" si="41"/>
        <v>90</v>
      </c>
      <c r="G655" s="4">
        <f t="shared" si="42"/>
        <v>6.8848863993744083E-2</v>
      </c>
      <c r="H655" s="4">
        <f t="shared" si="43"/>
        <v>8100</v>
      </c>
      <c r="I655" s="5">
        <f>SQRT(SUM('p-native-multi'!$C$3:C655)/COUNTIF($A$3:A655,"&lt;&gt;0"))</f>
        <v>15.83679202437404</v>
      </c>
    </row>
    <row r="656" spans="1:9">
      <c r="A656">
        <v>654</v>
      </c>
      <c r="B656">
        <v>343</v>
      </c>
      <c r="C656">
        <v>233</v>
      </c>
      <c r="D656">
        <v>233</v>
      </c>
      <c r="E656" s="4">
        <f t="shared" si="40"/>
        <v>0</v>
      </c>
      <c r="F656" s="4">
        <f t="shared" si="41"/>
        <v>110</v>
      </c>
      <c r="G656" s="4">
        <f t="shared" si="42"/>
        <v>0.10284830300300045</v>
      </c>
      <c r="H656" s="4">
        <f t="shared" si="43"/>
        <v>12100</v>
      </c>
      <c r="I656" s="5">
        <f>SQRT(SUM('p-native-multi'!$C$3:C656)/COUNTIF($A$3:A656,"&lt;&gt;0"))</f>
        <v>15.835932508374301</v>
      </c>
    </row>
    <row r="657" spans="1:9">
      <c r="A657">
        <v>655</v>
      </c>
      <c r="B657">
        <v>343</v>
      </c>
      <c r="C657">
        <v>273</v>
      </c>
      <c r="D657">
        <v>233</v>
      </c>
      <c r="E657" s="4">
        <f t="shared" si="40"/>
        <v>0</v>
      </c>
      <c r="F657" s="4">
        <f t="shared" si="41"/>
        <v>70</v>
      </c>
      <c r="G657" s="4">
        <f t="shared" si="42"/>
        <v>4.1649312786339029E-2</v>
      </c>
      <c r="H657" s="4">
        <f t="shared" si="43"/>
        <v>4900</v>
      </c>
      <c r="I657" s="5">
        <f>SQRT(SUM('p-native-multi'!$C$3:C657)/COUNTIF($A$3:A657,"&lt;&gt;0"))</f>
        <v>15.837003726175629</v>
      </c>
    </row>
    <row r="658" spans="1:9">
      <c r="A658">
        <v>656</v>
      </c>
      <c r="B658">
        <v>343</v>
      </c>
      <c r="C658">
        <v>253</v>
      </c>
      <c r="D658">
        <v>233</v>
      </c>
      <c r="E658" s="4">
        <f t="shared" si="40"/>
        <v>0</v>
      </c>
      <c r="F658" s="4">
        <f t="shared" si="41"/>
        <v>90</v>
      </c>
      <c r="G658" s="4">
        <f t="shared" si="42"/>
        <v>6.8848863993744083E-2</v>
      </c>
      <c r="H658" s="4">
        <f t="shared" si="43"/>
        <v>8100</v>
      </c>
      <c r="I658" s="5">
        <f>SQRT(SUM('p-native-multi'!$C$3:C658)/COUNTIF($A$3:A658,"&lt;&gt;0"))</f>
        <v>15.837109091947429</v>
      </c>
    </row>
    <row r="659" spans="1:9">
      <c r="A659">
        <v>657</v>
      </c>
      <c r="B659">
        <v>343</v>
      </c>
      <c r="C659">
        <v>279</v>
      </c>
      <c r="D659">
        <v>233</v>
      </c>
      <c r="E659" s="4">
        <f t="shared" si="40"/>
        <v>1</v>
      </c>
      <c r="F659" s="4">
        <f t="shared" si="41"/>
        <v>64</v>
      </c>
      <c r="G659" s="4">
        <f t="shared" si="42"/>
        <v>3.48154255454785E-2</v>
      </c>
      <c r="H659" s="4">
        <f t="shared" si="43"/>
        <v>4096</v>
      </c>
      <c r="I659" s="5">
        <f>SQRT(SUM('p-native-multi'!$C$3:C659)/COUNTIF($A$3:A659,"&lt;&gt;0"))</f>
        <v>15.838463480355955</v>
      </c>
    </row>
    <row r="660" spans="1:9">
      <c r="A660">
        <v>658</v>
      </c>
      <c r="B660">
        <v>343</v>
      </c>
      <c r="C660">
        <v>279</v>
      </c>
      <c r="D660">
        <v>233</v>
      </c>
      <c r="E660" s="4">
        <f t="shared" si="40"/>
        <v>1</v>
      </c>
      <c r="F660" s="4">
        <f t="shared" si="41"/>
        <v>64</v>
      </c>
      <c r="G660" s="4">
        <f t="shared" si="42"/>
        <v>3.48154255454785E-2</v>
      </c>
      <c r="H660" s="4">
        <f t="shared" si="43"/>
        <v>4096</v>
      </c>
      <c r="I660" s="5">
        <f>SQRT(SUM('p-native-multi'!$C$3:C660)/COUNTIF($A$3:A660,"&lt;&gt;0"))</f>
        <v>15.839813636802431</v>
      </c>
    </row>
    <row r="661" spans="1:9">
      <c r="A661">
        <v>659</v>
      </c>
      <c r="B661">
        <v>343</v>
      </c>
      <c r="C661">
        <v>253</v>
      </c>
      <c r="D661">
        <v>233</v>
      </c>
      <c r="E661" s="4">
        <f t="shared" si="40"/>
        <v>0</v>
      </c>
      <c r="F661" s="4">
        <f t="shared" si="41"/>
        <v>90</v>
      </c>
      <c r="G661" s="4">
        <f t="shared" si="42"/>
        <v>6.8848863993744083E-2</v>
      </c>
      <c r="H661" s="4">
        <f t="shared" si="43"/>
        <v>8100</v>
      </c>
      <c r="I661" s="5">
        <f>SQRT(SUM('p-native-multi'!$C$3:C661)/COUNTIF($A$3:A661,"&lt;&gt;0"))</f>
        <v>15.839914240812588</v>
      </c>
    </row>
    <row r="662" spans="1:9">
      <c r="A662">
        <v>660</v>
      </c>
      <c r="B662">
        <v>343</v>
      </c>
      <c r="C662">
        <v>273</v>
      </c>
      <c r="D662">
        <v>233</v>
      </c>
      <c r="E662" s="4">
        <f t="shared" si="40"/>
        <v>0</v>
      </c>
      <c r="F662" s="4">
        <f t="shared" si="41"/>
        <v>70</v>
      </c>
      <c r="G662" s="4">
        <f t="shared" si="42"/>
        <v>4.1649312786339029E-2</v>
      </c>
      <c r="H662" s="4">
        <f t="shared" si="43"/>
        <v>4900</v>
      </c>
      <c r="I662" s="5">
        <f>SQRT(SUM('p-native-multi'!$C$3:C662)/COUNTIF($A$3:A662,"&lt;&gt;0"))</f>
        <v>15.840971044616035</v>
      </c>
    </row>
    <row r="663" spans="1:9">
      <c r="A663">
        <v>661</v>
      </c>
      <c r="B663">
        <v>343</v>
      </c>
      <c r="C663">
        <v>233</v>
      </c>
      <c r="D663">
        <v>233</v>
      </c>
      <c r="E663" s="4">
        <f t="shared" si="40"/>
        <v>0</v>
      </c>
      <c r="F663" s="4">
        <f t="shared" si="41"/>
        <v>110</v>
      </c>
      <c r="G663" s="4">
        <f t="shared" si="42"/>
        <v>0.10284830300300045</v>
      </c>
      <c r="H663" s="4">
        <f t="shared" si="43"/>
        <v>12100</v>
      </c>
      <c r="I663" s="5">
        <f>SQRT(SUM('p-native-multi'!$C$3:C663)/COUNTIF($A$3:A663,"&lt;&gt;0"))</f>
        <v>15.840114533732226</v>
      </c>
    </row>
    <row r="664" spans="1:9">
      <c r="A664">
        <v>662</v>
      </c>
      <c r="B664">
        <v>343</v>
      </c>
      <c r="C664">
        <v>279</v>
      </c>
      <c r="D664">
        <v>233</v>
      </c>
      <c r="E664" s="4">
        <f t="shared" si="40"/>
        <v>1</v>
      </c>
      <c r="F664" s="4">
        <f t="shared" si="41"/>
        <v>64</v>
      </c>
      <c r="G664" s="4">
        <f t="shared" si="42"/>
        <v>3.48154255454785E-2</v>
      </c>
      <c r="H664" s="4">
        <f t="shared" si="43"/>
        <v>4096</v>
      </c>
      <c r="I664" s="5">
        <f>SQRT(SUM('p-native-multi'!$C$3:C664)/COUNTIF($A$3:A664,"&lt;&gt;0"))</f>
        <v>15.841453898914075</v>
      </c>
    </row>
    <row r="665" spans="1:9">
      <c r="A665">
        <v>663</v>
      </c>
      <c r="B665">
        <v>343</v>
      </c>
      <c r="C665">
        <v>233</v>
      </c>
      <c r="D665">
        <v>233</v>
      </c>
      <c r="E665" s="4">
        <f t="shared" si="40"/>
        <v>0</v>
      </c>
      <c r="F665" s="4">
        <f t="shared" si="41"/>
        <v>110</v>
      </c>
      <c r="G665" s="4">
        <f t="shared" si="42"/>
        <v>0.10284830300300045</v>
      </c>
      <c r="H665" s="4">
        <f t="shared" si="43"/>
        <v>12100</v>
      </c>
      <c r="I665" s="5">
        <f>SQRT(SUM('p-native-multi'!$C$3:C665)/COUNTIF($A$3:A665,"&lt;&gt;0"))</f>
        <v>15.840599269557414</v>
      </c>
    </row>
    <row r="666" spans="1:9">
      <c r="A666">
        <v>664</v>
      </c>
      <c r="B666">
        <v>343</v>
      </c>
      <c r="C666">
        <v>253</v>
      </c>
      <c r="D666">
        <v>233</v>
      </c>
      <c r="E666" s="4">
        <f t="shared" si="40"/>
        <v>0</v>
      </c>
      <c r="F666" s="4">
        <f t="shared" si="41"/>
        <v>90</v>
      </c>
      <c r="G666" s="4">
        <f t="shared" si="42"/>
        <v>6.8848863993744083E-2</v>
      </c>
      <c r="H666" s="4">
        <f t="shared" si="43"/>
        <v>8100</v>
      </c>
      <c r="I666" s="5">
        <f>SQRT(SUM('p-native-multi'!$C$3:C666)/COUNTIF($A$3:A666,"&lt;&gt;0"))</f>
        <v>15.840697927912567</v>
      </c>
    </row>
    <row r="667" spans="1:9">
      <c r="A667">
        <v>665</v>
      </c>
      <c r="B667">
        <v>343</v>
      </c>
      <c r="C667">
        <v>233</v>
      </c>
      <c r="D667">
        <v>233</v>
      </c>
      <c r="E667" s="4">
        <f t="shared" si="40"/>
        <v>0</v>
      </c>
      <c r="F667" s="4">
        <f t="shared" si="41"/>
        <v>110</v>
      </c>
      <c r="G667" s="4">
        <f t="shared" si="42"/>
        <v>0.10284830300300045</v>
      </c>
      <c r="H667" s="4">
        <f t="shared" si="43"/>
        <v>12100</v>
      </c>
      <c r="I667" s="5">
        <f>SQRT(SUM('p-native-multi'!$C$3:C667)/COUNTIF($A$3:A667,"&lt;&gt;0"))</f>
        <v>15.839846965160341</v>
      </c>
    </row>
    <row r="668" spans="1:9">
      <c r="A668">
        <v>666</v>
      </c>
      <c r="B668">
        <v>343</v>
      </c>
      <c r="C668">
        <v>233</v>
      </c>
      <c r="D668">
        <v>233</v>
      </c>
      <c r="E668" s="4">
        <f t="shared" si="40"/>
        <v>0</v>
      </c>
      <c r="F668" s="4">
        <f t="shared" si="41"/>
        <v>110</v>
      </c>
      <c r="G668" s="4">
        <f t="shared" si="42"/>
        <v>0.10284830300300045</v>
      </c>
      <c r="H668" s="4">
        <f t="shared" si="43"/>
        <v>12100</v>
      </c>
      <c r="I668" s="5">
        <f>SQRT(SUM('p-native-multi'!$C$3:C668)/COUNTIF($A$3:A668,"&lt;&gt;0"))</f>
        <v>15.838998512338899</v>
      </c>
    </row>
    <row r="669" spans="1:9">
      <c r="A669">
        <v>667</v>
      </c>
      <c r="B669">
        <v>343</v>
      </c>
      <c r="C669">
        <v>253</v>
      </c>
      <c r="D669">
        <v>233</v>
      </c>
      <c r="E669" s="4">
        <f t="shared" si="40"/>
        <v>0</v>
      </c>
      <c r="F669" s="4">
        <f t="shared" si="41"/>
        <v>90</v>
      </c>
      <c r="G669" s="4">
        <f t="shared" si="42"/>
        <v>6.8848863993744083E-2</v>
      </c>
      <c r="H669" s="4">
        <f t="shared" si="43"/>
        <v>8100</v>
      </c>
      <c r="I669" s="5">
        <f>SQRT(SUM('p-native-multi'!$C$3:C669)/COUNTIF($A$3:A669,"&lt;&gt;0"))</f>
        <v>15.839099136922698</v>
      </c>
    </row>
    <row r="670" spans="1:9">
      <c r="A670">
        <v>668</v>
      </c>
      <c r="B670">
        <v>343</v>
      </c>
      <c r="C670">
        <v>233</v>
      </c>
      <c r="D670">
        <v>233</v>
      </c>
      <c r="E670" s="4">
        <f t="shared" si="40"/>
        <v>0</v>
      </c>
      <c r="F670" s="4">
        <f t="shared" si="41"/>
        <v>110</v>
      </c>
      <c r="G670" s="4">
        <f t="shared" si="42"/>
        <v>0.10284830300300045</v>
      </c>
      <c r="H670" s="4">
        <f t="shared" si="43"/>
        <v>12100</v>
      </c>
      <c r="I670" s="5">
        <f>SQRT(SUM('p-native-multi'!$C$3:C670)/COUNTIF($A$3:A670,"&lt;&gt;0"))</f>
        <v>15.838254304095436</v>
      </c>
    </row>
    <row r="671" spans="1:9">
      <c r="A671">
        <v>669</v>
      </c>
      <c r="B671">
        <v>343</v>
      </c>
      <c r="C671">
        <v>279</v>
      </c>
      <c r="D671">
        <v>233</v>
      </c>
      <c r="E671" s="4">
        <f t="shared" si="40"/>
        <v>1</v>
      </c>
      <c r="F671" s="4">
        <f t="shared" si="41"/>
        <v>64</v>
      </c>
      <c r="G671" s="4">
        <f t="shared" si="42"/>
        <v>3.48154255454785E-2</v>
      </c>
      <c r="H671" s="4">
        <f t="shared" si="43"/>
        <v>4096</v>
      </c>
      <c r="I671" s="5">
        <f>SQRT(SUM('p-native-multi'!$C$3:C671)/COUNTIF($A$3:A671,"&lt;&gt;0"))</f>
        <v>15.839582591773507</v>
      </c>
    </row>
    <row r="672" spans="1:9">
      <c r="A672">
        <v>670</v>
      </c>
      <c r="B672">
        <v>343</v>
      </c>
      <c r="C672">
        <v>233</v>
      </c>
      <c r="D672">
        <v>233</v>
      </c>
      <c r="E672" s="4">
        <f t="shared" si="40"/>
        <v>0</v>
      </c>
      <c r="F672" s="4">
        <f t="shared" si="41"/>
        <v>110</v>
      </c>
      <c r="G672" s="4">
        <f t="shared" si="42"/>
        <v>0.10284830300300045</v>
      </c>
      <c r="H672" s="4">
        <f t="shared" si="43"/>
        <v>12100</v>
      </c>
      <c r="I672" s="5">
        <f>SQRT(SUM('p-native-multi'!$C$3:C672)/COUNTIF($A$3:A672,"&lt;&gt;0"))</f>
        <v>15.838739585010893</v>
      </c>
    </row>
    <row r="673" spans="1:9">
      <c r="A673">
        <v>671</v>
      </c>
      <c r="B673">
        <v>343</v>
      </c>
      <c r="C673">
        <v>253</v>
      </c>
      <c r="D673">
        <v>233</v>
      </c>
      <c r="E673" s="4">
        <f t="shared" si="40"/>
        <v>0</v>
      </c>
      <c r="F673" s="4">
        <f t="shared" si="41"/>
        <v>90</v>
      </c>
      <c r="G673" s="4">
        <f t="shared" si="42"/>
        <v>6.8848863993744083E-2</v>
      </c>
      <c r="H673" s="4">
        <f t="shared" si="43"/>
        <v>8100</v>
      </c>
      <c r="I673" s="5">
        <f>SQRT(SUM('p-native-multi'!$C$3:C673)/COUNTIF($A$3:A673,"&lt;&gt;0"))</f>
        <v>15.838839997266732</v>
      </c>
    </row>
    <row r="674" spans="1:9">
      <c r="A674">
        <v>672</v>
      </c>
      <c r="B674">
        <v>343</v>
      </c>
      <c r="C674">
        <v>233</v>
      </c>
      <c r="D674">
        <v>233</v>
      </c>
      <c r="E674" s="4">
        <f t="shared" si="40"/>
        <v>0</v>
      </c>
      <c r="F674" s="4">
        <f t="shared" si="41"/>
        <v>110</v>
      </c>
      <c r="G674" s="4">
        <f t="shared" si="42"/>
        <v>0.10284830300300045</v>
      </c>
      <c r="H674" s="4">
        <f t="shared" si="43"/>
        <v>12100</v>
      </c>
      <c r="I674" s="5">
        <f>SQRT(SUM('p-native-multi'!$C$3:C674)/COUNTIF($A$3:A674,"&lt;&gt;0"))</f>
        <v>15.838000565246924</v>
      </c>
    </row>
    <row r="675" spans="1:9">
      <c r="A675">
        <v>673</v>
      </c>
      <c r="B675">
        <v>343</v>
      </c>
      <c r="C675">
        <v>279</v>
      </c>
      <c r="D675">
        <v>233</v>
      </c>
      <c r="E675" s="4">
        <f t="shared" si="40"/>
        <v>1</v>
      </c>
      <c r="F675" s="4">
        <f t="shared" si="41"/>
        <v>64</v>
      </c>
      <c r="G675" s="4">
        <f t="shared" si="42"/>
        <v>3.48154255454785E-2</v>
      </c>
      <c r="H675" s="4">
        <f t="shared" si="43"/>
        <v>4096</v>
      </c>
      <c r="I675" s="5">
        <f>SQRT(SUM('p-native-multi'!$C$3:C675)/COUNTIF($A$3:A675,"&lt;&gt;0"))</f>
        <v>15.839321356678097</v>
      </c>
    </row>
    <row r="676" spans="1:9">
      <c r="A676">
        <v>674</v>
      </c>
      <c r="B676">
        <v>343</v>
      </c>
      <c r="C676">
        <v>233</v>
      </c>
      <c r="D676">
        <v>233</v>
      </c>
      <c r="E676" s="4">
        <f t="shared" si="40"/>
        <v>0</v>
      </c>
      <c r="F676" s="4">
        <f t="shared" si="41"/>
        <v>110</v>
      </c>
      <c r="G676" s="4">
        <f t="shared" si="42"/>
        <v>0.10284830300300045</v>
      </c>
      <c r="H676" s="4">
        <f t="shared" si="43"/>
        <v>12100</v>
      </c>
      <c r="I676" s="5">
        <f>SQRT(SUM('p-native-multi'!$C$3:C676)/COUNTIF($A$3:A676,"&lt;&gt;0"))</f>
        <v>15.838483726846412</v>
      </c>
    </row>
    <row r="677" spans="1:9">
      <c r="A677">
        <v>675</v>
      </c>
      <c r="B677">
        <v>343</v>
      </c>
      <c r="C677">
        <v>273</v>
      </c>
      <c r="D677">
        <v>233</v>
      </c>
      <c r="E677" s="4">
        <f t="shared" si="40"/>
        <v>0</v>
      </c>
      <c r="F677" s="4">
        <f t="shared" si="41"/>
        <v>70</v>
      </c>
      <c r="G677" s="4">
        <f t="shared" si="42"/>
        <v>4.1649312786339029E-2</v>
      </c>
      <c r="H677" s="4">
        <f t="shared" si="43"/>
        <v>4900</v>
      </c>
      <c r="I677" s="5">
        <f>SQRT(SUM('p-native-multi'!$C$3:C677)/COUNTIF($A$3:A677,"&lt;&gt;0"))</f>
        <v>15.839519259446304</v>
      </c>
    </row>
    <row r="678" spans="1:9">
      <c r="A678">
        <v>676</v>
      </c>
      <c r="B678">
        <v>343</v>
      </c>
      <c r="C678">
        <v>233</v>
      </c>
      <c r="D678">
        <v>233</v>
      </c>
      <c r="E678" s="4">
        <f t="shared" si="40"/>
        <v>0</v>
      </c>
      <c r="F678" s="4">
        <f t="shared" si="41"/>
        <v>110</v>
      </c>
      <c r="G678" s="4">
        <f t="shared" si="42"/>
        <v>0.10284830300300045</v>
      </c>
      <c r="H678" s="4">
        <f t="shared" si="43"/>
        <v>12100</v>
      </c>
      <c r="I678" s="5">
        <f>SQRT(SUM('p-native-multi'!$C$3:C678)/COUNTIF($A$3:A678,"&lt;&gt;0"))</f>
        <v>15.838683825540675</v>
      </c>
    </row>
    <row r="679" spans="1:9">
      <c r="A679">
        <v>677</v>
      </c>
      <c r="B679">
        <v>343</v>
      </c>
      <c r="C679">
        <v>279</v>
      </c>
      <c r="D679">
        <v>233</v>
      </c>
      <c r="E679" s="4">
        <f t="shared" si="40"/>
        <v>1</v>
      </c>
      <c r="F679" s="4">
        <f t="shared" si="41"/>
        <v>64</v>
      </c>
      <c r="G679" s="4">
        <f t="shared" si="42"/>
        <v>3.48154255454785E-2</v>
      </c>
      <c r="H679" s="4">
        <f t="shared" si="43"/>
        <v>4096</v>
      </c>
      <c r="I679" s="5">
        <f>SQRT(SUM('p-native-multi'!$C$3:C679)/COUNTIF($A$3:A679,"&lt;&gt;0"))</f>
        <v>15.839995747727821</v>
      </c>
    </row>
    <row r="680" spans="1:9">
      <c r="A680">
        <v>678</v>
      </c>
      <c r="B680">
        <v>343</v>
      </c>
      <c r="C680">
        <v>273</v>
      </c>
      <c r="D680">
        <v>233</v>
      </c>
      <c r="E680" s="4">
        <f t="shared" si="40"/>
        <v>0</v>
      </c>
      <c r="F680" s="4">
        <f t="shared" si="41"/>
        <v>70</v>
      </c>
      <c r="G680" s="4">
        <f t="shared" si="42"/>
        <v>4.1649312786339029E-2</v>
      </c>
      <c r="H680" s="4">
        <f t="shared" si="43"/>
        <v>4900</v>
      </c>
      <c r="I680" s="5">
        <f>SQRT(SUM('p-native-multi'!$C$3:C680)/COUNTIF($A$3:A680,"&lt;&gt;0"))</f>
        <v>15.841024370202362</v>
      </c>
    </row>
    <row r="681" spans="1:9">
      <c r="A681">
        <v>679</v>
      </c>
      <c r="B681">
        <v>343</v>
      </c>
      <c r="C681">
        <v>233</v>
      </c>
      <c r="D681">
        <v>233</v>
      </c>
      <c r="E681" s="4">
        <f t="shared" si="40"/>
        <v>0</v>
      </c>
      <c r="F681" s="4">
        <f t="shared" si="41"/>
        <v>110</v>
      </c>
      <c r="G681" s="4">
        <f t="shared" si="42"/>
        <v>0.10284830300300045</v>
      </c>
      <c r="H681" s="4">
        <f t="shared" si="43"/>
        <v>12100</v>
      </c>
      <c r="I681" s="5">
        <f>SQRT(SUM('p-native-multi'!$C$3:C681)/COUNTIF($A$3:A681,"&lt;&gt;0"))</f>
        <v>15.840190489921374</v>
      </c>
    </row>
    <row r="682" spans="1:9">
      <c r="A682">
        <v>680</v>
      </c>
      <c r="B682">
        <v>343</v>
      </c>
      <c r="C682">
        <v>233</v>
      </c>
      <c r="D682">
        <v>233</v>
      </c>
      <c r="E682" s="4">
        <f t="shared" si="40"/>
        <v>0</v>
      </c>
      <c r="F682" s="4">
        <f t="shared" si="41"/>
        <v>110</v>
      </c>
      <c r="G682" s="4">
        <f t="shared" si="42"/>
        <v>0.10284830300300045</v>
      </c>
      <c r="H682" s="4">
        <f t="shared" si="43"/>
        <v>12100</v>
      </c>
      <c r="I682" s="5">
        <f>SQRT(SUM('p-native-multi'!$C$3:C682)/COUNTIF($A$3:A682,"&lt;&gt;0"))</f>
        <v>15.839359018522405</v>
      </c>
    </row>
    <row r="683" spans="1:9">
      <c r="A683">
        <v>681</v>
      </c>
      <c r="B683">
        <v>343</v>
      </c>
      <c r="C683">
        <v>279</v>
      </c>
      <c r="D683">
        <v>233</v>
      </c>
      <c r="E683" s="4">
        <f t="shared" si="40"/>
        <v>1</v>
      </c>
      <c r="F683" s="4">
        <f t="shared" si="41"/>
        <v>64</v>
      </c>
      <c r="G683" s="4">
        <f t="shared" si="42"/>
        <v>3.48154255454785E-2</v>
      </c>
      <c r="H683" s="4">
        <f t="shared" si="43"/>
        <v>4096</v>
      </c>
      <c r="I683" s="5">
        <f>SQRT(SUM('p-native-multi'!$C$3:C683)/COUNTIF($A$3:A683,"&lt;&gt;0"))</f>
        <v>15.84066218820854</v>
      </c>
    </row>
    <row r="684" spans="1:9">
      <c r="A684">
        <v>682</v>
      </c>
      <c r="B684">
        <v>343</v>
      </c>
      <c r="C684">
        <v>253</v>
      </c>
      <c r="D684">
        <v>233</v>
      </c>
      <c r="E684" s="4">
        <f t="shared" si="40"/>
        <v>0</v>
      </c>
      <c r="F684" s="4">
        <f t="shared" si="41"/>
        <v>90</v>
      </c>
      <c r="G684" s="4">
        <f t="shared" si="42"/>
        <v>6.8848863993744083E-2</v>
      </c>
      <c r="H684" s="4">
        <f t="shared" si="43"/>
        <v>8100</v>
      </c>
      <c r="I684" s="5">
        <f>SQRT(SUM('p-native-multi'!$C$3:C684)/COUNTIF($A$3:A684,"&lt;&gt;0"))</f>
        <v>15.840758150048515</v>
      </c>
    </row>
    <row r="685" spans="1:9">
      <c r="A685">
        <v>683</v>
      </c>
      <c r="B685">
        <v>343</v>
      </c>
      <c r="C685">
        <v>233</v>
      </c>
      <c r="D685">
        <v>233</v>
      </c>
      <c r="E685" s="4">
        <f t="shared" si="40"/>
        <v>0</v>
      </c>
      <c r="F685" s="4">
        <f t="shared" si="41"/>
        <v>110</v>
      </c>
      <c r="G685" s="4">
        <f t="shared" si="42"/>
        <v>0.10284830300300045</v>
      </c>
      <c r="H685" s="4">
        <f t="shared" si="43"/>
        <v>12100</v>
      </c>
      <c r="I685" s="5">
        <f>SQRT(SUM('p-native-multi'!$C$3:C685)/COUNTIF($A$3:A685,"&lt;&gt;0"))</f>
        <v>15.839929529399418</v>
      </c>
    </row>
    <row r="686" spans="1:9">
      <c r="A686">
        <v>684</v>
      </c>
      <c r="B686">
        <v>343</v>
      </c>
      <c r="C686">
        <v>233</v>
      </c>
      <c r="D686">
        <v>233</v>
      </c>
      <c r="E686" s="4">
        <f t="shared" si="40"/>
        <v>0</v>
      </c>
      <c r="F686" s="4">
        <f t="shared" si="41"/>
        <v>110</v>
      </c>
      <c r="G686" s="4">
        <f t="shared" si="42"/>
        <v>0.10284830300300045</v>
      </c>
      <c r="H686" s="4">
        <f t="shared" si="43"/>
        <v>12100</v>
      </c>
      <c r="I686" s="5">
        <f>SQRT(SUM('p-native-multi'!$C$3:C686)/COUNTIF($A$3:A686,"&lt;&gt;0"))</f>
        <v>15.839103288458476</v>
      </c>
    </row>
    <row r="687" spans="1:9">
      <c r="A687">
        <v>685</v>
      </c>
      <c r="B687">
        <v>343</v>
      </c>
      <c r="C687">
        <v>233</v>
      </c>
      <c r="D687">
        <v>233</v>
      </c>
      <c r="E687" s="4">
        <f t="shared" si="40"/>
        <v>0</v>
      </c>
      <c r="F687" s="4">
        <f t="shared" si="41"/>
        <v>110</v>
      </c>
      <c r="G687" s="4">
        <f t="shared" si="42"/>
        <v>0.10284830300300045</v>
      </c>
      <c r="H687" s="4">
        <f t="shared" si="43"/>
        <v>12100</v>
      </c>
      <c r="I687" s="5">
        <f>SQRT(SUM('p-native-multi'!$C$3:C687)/COUNTIF($A$3:A687,"&lt;&gt;0"))</f>
        <v>15.838279416985639</v>
      </c>
    </row>
    <row r="688" spans="1:9">
      <c r="A688">
        <v>686</v>
      </c>
      <c r="B688">
        <v>343</v>
      </c>
      <c r="C688">
        <v>279</v>
      </c>
      <c r="D688">
        <v>233</v>
      </c>
      <c r="E688" s="4">
        <f t="shared" si="40"/>
        <v>1</v>
      </c>
      <c r="F688" s="4">
        <f t="shared" si="41"/>
        <v>64</v>
      </c>
      <c r="G688" s="4">
        <f t="shared" si="42"/>
        <v>3.48154255454785E-2</v>
      </c>
      <c r="H688" s="4">
        <f t="shared" si="43"/>
        <v>4096</v>
      </c>
      <c r="I688" s="5">
        <f>SQRT(SUM('p-native-multi'!$C$3:C688)/COUNTIF($A$3:A688,"&lt;&gt;0"))</f>
        <v>15.83957475060121</v>
      </c>
    </row>
    <row r="689" spans="1:9">
      <c r="A689">
        <v>687</v>
      </c>
      <c r="B689">
        <v>343</v>
      </c>
      <c r="C689">
        <v>253</v>
      </c>
      <c r="D689">
        <v>233</v>
      </c>
      <c r="E689" s="4">
        <f t="shared" si="40"/>
        <v>0</v>
      </c>
      <c r="F689" s="4">
        <f t="shared" si="41"/>
        <v>90</v>
      </c>
      <c r="G689" s="4">
        <f t="shared" si="42"/>
        <v>6.8848863993744083E-2</v>
      </c>
      <c r="H689" s="4">
        <f t="shared" si="43"/>
        <v>8100</v>
      </c>
      <c r="I689" s="5">
        <f>SQRT(SUM('p-native-multi'!$C$3:C689)/COUNTIF($A$3:A689,"&lt;&gt;0"))</f>
        <v>15.839671603494505</v>
      </c>
    </row>
    <row r="690" spans="1:9">
      <c r="A690">
        <v>688</v>
      </c>
      <c r="B690">
        <v>343</v>
      </c>
      <c r="C690">
        <v>233</v>
      </c>
      <c r="D690">
        <v>233</v>
      </c>
      <c r="E690" s="4">
        <f t="shared" si="40"/>
        <v>0</v>
      </c>
      <c r="F690" s="4">
        <f t="shared" si="41"/>
        <v>110</v>
      </c>
      <c r="G690" s="4">
        <f t="shared" si="42"/>
        <v>0.10284830300300045</v>
      </c>
      <c r="H690" s="4">
        <f t="shared" si="43"/>
        <v>12100</v>
      </c>
      <c r="I690" s="5">
        <f>SQRT(SUM('p-native-multi'!$C$3:C690)/COUNTIF($A$3:A690,"&lt;&gt;0"))</f>
        <v>15.838850527942729</v>
      </c>
    </row>
    <row r="691" spans="1:9">
      <c r="A691">
        <v>689</v>
      </c>
      <c r="B691">
        <v>343</v>
      </c>
      <c r="C691">
        <v>233</v>
      </c>
      <c r="D691">
        <v>233</v>
      </c>
      <c r="E691" s="4">
        <f t="shared" si="40"/>
        <v>0</v>
      </c>
      <c r="F691" s="4">
        <f t="shared" si="41"/>
        <v>110</v>
      </c>
      <c r="G691" s="4">
        <f t="shared" si="42"/>
        <v>0.10284830300300045</v>
      </c>
      <c r="H691" s="4">
        <f t="shared" si="43"/>
        <v>12100</v>
      </c>
      <c r="I691" s="5">
        <f>SQRT(SUM('p-native-multi'!$C$3:C691)/COUNTIF($A$3:A691,"&lt;&gt;0"))</f>
        <v>15.83803179339321</v>
      </c>
    </row>
    <row r="692" spans="1:9">
      <c r="A692">
        <v>690</v>
      </c>
      <c r="B692">
        <v>343</v>
      </c>
      <c r="C692">
        <v>233</v>
      </c>
      <c r="D692">
        <v>233</v>
      </c>
      <c r="E692" s="4">
        <f t="shared" si="40"/>
        <v>0</v>
      </c>
      <c r="F692" s="4">
        <f t="shared" si="41"/>
        <v>110</v>
      </c>
      <c r="G692" s="4">
        <f t="shared" si="42"/>
        <v>0.10284830300300045</v>
      </c>
      <c r="H692" s="4">
        <f t="shared" si="43"/>
        <v>12100</v>
      </c>
      <c r="I692" s="5">
        <f>SQRT(SUM('p-native-multi'!$C$3:C692)/COUNTIF($A$3:A692,"&lt;&gt;0"))</f>
        <v>15.837215389845143</v>
      </c>
    </row>
    <row r="693" spans="1:9">
      <c r="A693">
        <v>691</v>
      </c>
      <c r="B693">
        <v>343</v>
      </c>
      <c r="C693">
        <v>273</v>
      </c>
      <c r="D693">
        <v>233</v>
      </c>
      <c r="E693" s="4">
        <f t="shared" si="40"/>
        <v>0</v>
      </c>
      <c r="F693" s="4">
        <f t="shared" si="41"/>
        <v>70</v>
      </c>
      <c r="G693" s="4">
        <f t="shared" si="42"/>
        <v>4.1649312786339029E-2</v>
      </c>
      <c r="H693" s="4">
        <f t="shared" si="43"/>
        <v>4900</v>
      </c>
      <c r="I693" s="5">
        <f>SQRT(SUM('p-native-multi'!$C$3:C693)/COUNTIF($A$3:A693,"&lt;&gt;0"))</f>
        <v>15.838228862082369</v>
      </c>
    </row>
    <row r="694" spans="1:9">
      <c r="A694">
        <v>692</v>
      </c>
      <c r="B694">
        <v>343</v>
      </c>
      <c r="C694">
        <v>273</v>
      </c>
      <c r="D694">
        <v>233</v>
      </c>
      <c r="E694" s="4">
        <f t="shared" si="40"/>
        <v>0</v>
      </c>
      <c r="F694" s="4">
        <f t="shared" si="41"/>
        <v>70</v>
      </c>
      <c r="G694" s="4">
        <f t="shared" si="42"/>
        <v>4.1649312786339029E-2</v>
      </c>
      <c r="H694" s="4">
        <f t="shared" si="43"/>
        <v>4900</v>
      </c>
      <c r="I694" s="5">
        <f>SQRT(SUM('p-native-multi'!$C$3:C694)/COUNTIF($A$3:A694,"&lt;&gt;0"))</f>
        <v>15.839239340643017</v>
      </c>
    </row>
    <row r="695" spans="1:9">
      <c r="A695">
        <v>693</v>
      </c>
      <c r="B695">
        <v>343</v>
      </c>
      <c r="C695">
        <v>279</v>
      </c>
      <c r="D695">
        <v>233</v>
      </c>
      <c r="E695" s="4">
        <f t="shared" si="40"/>
        <v>1</v>
      </c>
      <c r="F695" s="4">
        <f t="shared" si="41"/>
        <v>64</v>
      </c>
      <c r="G695" s="4">
        <f t="shared" si="42"/>
        <v>3.48154255454785E-2</v>
      </c>
      <c r="H695" s="4">
        <f t="shared" si="43"/>
        <v>4096</v>
      </c>
      <c r="I695" s="5">
        <f>SQRT(SUM('p-native-multi'!$C$3:C695)/COUNTIF($A$3:A695,"&lt;&gt;0"))</f>
        <v>15.840520127889675</v>
      </c>
    </row>
    <row r="696" spans="1:9">
      <c r="A696">
        <v>694</v>
      </c>
      <c r="B696">
        <v>343</v>
      </c>
      <c r="C696">
        <v>253</v>
      </c>
      <c r="D696">
        <v>233</v>
      </c>
      <c r="E696" s="4">
        <f t="shared" si="40"/>
        <v>0</v>
      </c>
      <c r="F696" s="4">
        <f t="shared" si="41"/>
        <v>90</v>
      </c>
      <c r="G696" s="4">
        <f t="shared" si="42"/>
        <v>6.8848863993744083E-2</v>
      </c>
      <c r="H696" s="4">
        <f t="shared" si="43"/>
        <v>8100</v>
      </c>
      <c r="I696" s="5">
        <f>SQRT(SUM('p-native-multi'!$C$3:C696)/COUNTIF($A$3:A696,"&lt;&gt;0"))</f>
        <v>15.840614635995331</v>
      </c>
    </row>
    <row r="697" spans="1:9">
      <c r="A697">
        <v>695</v>
      </c>
      <c r="B697">
        <v>343</v>
      </c>
      <c r="C697">
        <v>233</v>
      </c>
      <c r="D697">
        <v>233</v>
      </c>
      <c r="E697" s="4">
        <f t="shared" si="40"/>
        <v>0</v>
      </c>
      <c r="F697" s="4">
        <f t="shared" si="41"/>
        <v>110</v>
      </c>
      <c r="G697" s="4">
        <f t="shared" si="42"/>
        <v>0.10284830300300045</v>
      </c>
      <c r="H697" s="4">
        <f t="shared" si="43"/>
        <v>12100</v>
      </c>
      <c r="I697" s="5">
        <f>SQRT(SUM('p-native-multi'!$C$3:C697)/COUNTIF($A$3:A697,"&lt;&gt;0"))</f>
        <v>15.839800521961745</v>
      </c>
    </row>
    <row r="698" spans="1:9">
      <c r="A698">
        <v>696</v>
      </c>
      <c r="B698">
        <v>343</v>
      </c>
      <c r="C698">
        <v>273</v>
      </c>
      <c r="D698">
        <v>233</v>
      </c>
      <c r="E698" s="4">
        <f t="shared" si="40"/>
        <v>0</v>
      </c>
      <c r="F698" s="4">
        <f t="shared" si="41"/>
        <v>70</v>
      </c>
      <c r="G698" s="4">
        <f t="shared" si="42"/>
        <v>4.1649312786339029E-2</v>
      </c>
      <c r="H698" s="4">
        <f t="shared" si="43"/>
        <v>4900</v>
      </c>
      <c r="I698" s="5">
        <f>SQRT(SUM('p-native-multi'!$C$3:C698)/COUNTIF($A$3:A698,"&lt;&gt;0"))</f>
        <v>15.840802835802188</v>
      </c>
    </row>
    <row r="699" spans="1:9">
      <c r="A699">
        <v>697</v>
      </c>
      <c r="B699">
        <v>343</v>
      </c>
      <c r="C699">
        <v>233</v>
      </c>
      <c r="D699">
        <v>233</v>
      </c>
      <c r="E699" s="4">
        <f t="shared" si="40"/>
        <v>0</v>
      </c>
      <c r="F699" s="4">
        <f t="shared" si="41"/>
        <v>110</v>
      </c>
      <c r="G699" s="4">
        <f t="shared" si="42"/>
        <v>0.10284830300300045</v>
      </c>
      <c r="H699" s="4">
        <f t="shared" si="43"/>
        <v>12100</v>
      </c>
      <c r="I699" s="5">
        <f>SQRT(SUM('p-native-multi'!$C$3:C699)/COUNTIF($A$3:A699,"&lt;&gt;0"))</f>
        <v>15.839990797498885</v>
      </c>
    </row>
    <row r="700" spans="1:9">
      <c r="A700">
        <v>698</v>
      </c>
      <c r="B700">
        <v>343</v>
      </c>
      <c r="C700">
        <v>253</v>
      </c>
      <c r="D700">
        <v>233</v>
      </c>
      <c r="E700" s="4">
        <f t="shared" si="40"/>
        <v>0</v>
      </c>
      <c r="F700" s="4">
        <f t="shared" si="41"/>
        <v>90</v>
      </c>
      <c r="G700" s="4">
        <f t="shared" si="42"/>
        <v>6.8848863993744083E-2</v>
      </c>
      <c r="H700" s="4">
        <f t="shared" si="43"/>
        <v>8100</v>
      </c>
      <c r="I700" s="5">
        <f>SQRT(SUM('p-native-multi'!$C$3:C700)/COUNTIF($A$3:A700,"&lt;&gt;0"))</f>
        <v>15.840085525513661</v>
      </c>
    </row>
    <row r="701" spans="1:9">
      <c r="A701">
        <v>699</v>
      </c>
      <c r="B701">
        <v>343</v>
      </c>
      <c r="C701">
        <v>213</v>
      </c>
      <c r="D701">
        <v>233</v>
      </c>
      <c r="E701" s="4">
        <f t="shared" si="40"/>
        <v>0</v>
      </c>
      <c r="F701" s="4">
        <f t="shared" si="41"/>
        <v>130</v>
      </c>
      <c r="G701" s="4">
        <f t="shared" si="42"/>
        <v>0.14364762981410809</v>
      </c>
      <c r="H701" s="4">
        <f t="shared" si="43"/>
        <v>16900</v>
      </c>
      <c r="I701" s="5">
        <f>SQRT(SUM('p-native-multi'!$C$3:C701)/COUNTIF($A$3:A701,"&lt;&gt;0"))</f>
        <v>15.83837356716967</v>
      </c>
    </row>
    <row r="702" spans="1:9">
      <c r="A702">
        <v>700</v>
      </c>
      <c r="B702">
        <v>343</v>
      </c>
      <c r="C702">
        <v>233</v>
      </c>
      <c r="D702">
        <v>233</v>
      </c>
      <c r="E702" s="4">
        <f t="shared" si="40"/>
        <v>0</v>
      </c>
      <c r="F702" s="4">
        <f t="shared" si="41"/>
        <v>110</v>
      </c>
      <c r="G702" s="4">
        <f t="shared" si="42"/>
        <v>0.10284830300300045</v>
      </c>
      <c r="H702" s="4">
        <f t="shared" si="43"/>
        <v>12100</v>
      </c>
      <c r="I702" s="5">
        <f>SQRT(SUM('p-native-multi'!$C$3:C702)/COUNTIF($A$3:A702,"&lt;&gt;0"))</f>
        <v>15.837568355924196</v>
      </c>
    </row>
    <row r="703" spans="1:9">
      <c r="A703">
        <v>701</v>
      </c>
      <c r="B703">
        <v>343</v>
      </c>
      <c r="C703">
        <v>233</v>
      </c>
      <c r="D703">
        <v>233</v>
      </c>
      <c r="E703" s="4">
        <f t="shared" si="40"/>
        <v>0</v>
      </c>
      <c r="F703" s="4">
        <f t="shared" si="41"/>
        <v>110</v>
      </c>
      <c r="G703" s="4">
        <f t="shared" si="42"/>
        <v>0.10284830300300045</v>
      </c>
      <c r="H703" s="4">
        <f t="shared" si="43"/>
        <v>12100</v>
      </c>
      <c r="I703" s="5">
        <f>SQRT(SUM('p-native-multi'!$C$3:C703)/COUNTIF($A$3:A703,"&lt;&gt;0"))</f>
        <v>15.836765401234931</v>
      </c>
    </row>
    <row r="704" spans="1:9">
      <c r="A704">
        <v>702</v>
      </c>
      <c r="B704">
        <v>343</v>
      </c>
      <c r="C704">
        <v>233</v>
      </c>
      <c r="D704">
        <v>233</v>
      </c>
      <c r="E704" s="4">
        <f t="shared" si="40"/>
        <v>0</v>
      </c>
      <c r="F704" s="4">
        <f t="shared" si="41"/>
        <v>110</v>
      </c>
      <c r="G704" s="4">
        <f t="shared" si="42"/>
        <v>0.10284830300300045</v>
      </c>
      <c r="H704" s="4">
        <f t="shared" si="43"/>
        <v>12100</v>
      </c>
      <c r="I704" s="5">
        <f>SQRT(SUM('p-native-multi'!$C$3:C704)/COUNTIF($A$3:A704,"&lt;&gt;0"))</f>
        <v>15.83596469362627</v>
      </c>
    </row>
    <row r="705" spans="1:9">
      <c r="A705">
        <v>703</v>
      </c>
      <c r="B705">
        <v>343</v>
      </c>
      <c r="C705">
        <v>233</v>
      </c>
      <c r="D705">
        <v>233</v>
      </c>
      <c r="E705" s="4">
        <f t="shared" si="40"/>
        <v>0</v>
      </c>
      <c r="F705" s="4">
        <f t="shared" si="41"/>
        <v>110</v>
      </c>
      <c r="G705" s="4">
        <f t="shared" si="42"/>
        <v>0.10284830300300045</v>
      </c>
      <c r="H705" s="4">
        <f t="shared" si="43"/>
        <v>12100</v>
      </c>
      <c r="I705" s="5">
        <f>SQRT(SUM('p-native-multi'!$C$3:C705)/COUNTIF($A$3:A705,"&lt;&gt;0"))</f>
        <v>15.835166223675603</v>
      </c>
    </row>
    <row r="706" spans="1:9">
      <c r="A706">
        <v>704</v>
      </c>
      <c r="B706">
        <v>343</v>
      </c>
      <c r="C706">
        <v>273</v>
      </c>
      <c r="D706">
        <v>233</v>
      </c>
      <c r="E706" s="4">
        <f t="shared" si="40"/>
        <v>0</v>
      </c>
      <c r="F706" s="4">
        <f t="shared" si="41"/>
        <v>70</v>
      </c>
      <c r="G706" s="4">
        <f t="shared" si="42"/>
        <v>4.1649312786339029E-2</v>
      </c>
      <c r="H706" s="4">
        <f t="shared" si="43"/>
        <v>4900</v>
      </c>
      <c r="I706" s="5">
        <f>SQRT(SUM('p-native-multi'!$C$3:C706)/COUNTIF($A$3:A706,"&lt;&gt;0"))</f>
        <v>15.83616402128656</v>
      </c>
    </row>
    <row r="707" spans="1:9">
      <c r="A707">
        <v>705</v>
      </c>
      <c r="B707">
        <v>343</v>
      </c>
      <c r="C707">
        <v>233</v>
      </c>
      <c r="D707">
        <v>233</v>
      </c>
      <c r="E707" s="4">
        <f t="shared" si="40"/>
        <v>0</v>
      </c>
      <c r="F707" s="4">
        <f t="shared" si="41"/>
        <v>110</v>
      </c>
      <c r="G707" s="4">
        <f t="shared" si="42"/>
        <v>0.10284830300300045</v>
      </c>
      <c r="H707" s="4">
        <f t="shared" si="43"/>
        <v>12100</v>
      </c>
      <c r="I707" s="5">
        <f>SQRT(SUM('p-native-multi'!$C$3:C707)/COUNTIF($A$3:A707,"&lt;&gt;0"))</f>
        <v>15.835367543831339</v>
      </c>
    </row>
    <row r="708" spans="1:9">
      <c r="A708">
        <v>706</v>
      </c>
      <c r="B708">
        <v>343</v>
      </c>
      <c r="C708">
        <v>233</v>
      </c>
      <c r="D708">
        <v>233</v>
      </c>
      <c r="E708" s="4">
        <f t="shared" ref="E708:E771" si="44">IF(AND(C708&lt;=B708*1.2,C708&gt;=B708*0.8),1,0)</f>
        <v>0</v>
      </c>
      <c r="F708" s="4">
        <f t="shared" ref="F708:F771" si="45">ABS(B708-C708)</f>
        <v>110</v>
      </c>
      <c r="G708" s="4">
        <f t="shared" ref="G708:G771" si="46">POWER(ABS(B708-C708)/B708,2)</f>
        <v>0.10284830300300045</v>
      </c>
      <c r="H708" s="4">
        <f t="shared" ref="H708:H771" si="47">POWER(F708,2)</f>
        <v>12100</v>
      </c>
      <c r="I708" s="5">
        <f>SQRT(SUM('p-native-multi'!$C$3:C708)/COUNTIF($A$3:A708,"&lt;&gt;0"))</f>
        <v>15.83457328279353</v>
      </c>
    </row>
    <row r="709" spans="1:9">
      <c r="A709">
        <v>707</v>
      </c>
      <c r="B709">
        <v>343</v>
      </c>
      <c r="C709">
        <v>233</v>
      </c>
      <c r="D709">
        <v>233</v>
      </c>
      <c r="E709" s="4">
        <f t="shared" si="44"/>
        <v>0</v>
      </c>
      <c r="F709" s="4">
        <f t="shared" si="45"/>
        <v>110</v>
      </c>
      <c r="G709" s="4">
        <f t="shared" si="46"/>
        <v>0.10284830300300045</v>
      </c>
      <c r="H709" s="4">
        <f t="shared" si="47"/>
        <v>12100</v>
      </c>
      <c r="I709" s="5">
        <f>SQRT(SUM('p-native-multi'!$C$3:C709)/COUNTIF($A$3:A709,"&lt;&gt;0"))</f>
        <v>15.833781228931317</v>
      </c>
    </row>
    <row r="710" spans="1:9">
      <c r="A710">
        <v>708</v>
      </c>
      <c r="B710">
        <v>343</v>
      </c>
      <c r="C710">
        <v>273</v>
      </c>
      <c r="D710">
        <v>233</v>
      </c>
      <c r="E710" s="4">
        <f t="shared" si="44"/>
        <v>0</v>
      </c>
      <c r="F710" s="4">
        <f t="shared" si="45"/>
        <v>70</v>
      </c>
      <c r="G710" s="4">
        <f t="shared" si="46"/>
        <v>4.1649312786339029E-2</v>
      </c>
      <c r="H710" s="4">
        <f t="shared" si="47"/>
        <v>4900</v>
      </c>
      <c r="I710" s="5">
        <f>SQRT(SUM('p-native-multi'!$C$3:C710)/COUNTIF($A$3:A710,"&lt;&gt;0"))</f>
        <v>15.834775432394053</v>
      </c>
    </row>
    <row r="711" spans="1:9">
      <c r="A711">
        <v>709</v>
      </c>
      <c r="B711">
        <v>343</v>
      </c>
      <c r="C711">
        <v>253</v>
      </c>
      <c r="D711">
        <v>233</v>
      </c>
      <c r="E711" s="4">
        <f t="shared" si="44"/>
        <v>0</v>
      </c>
      <c r="F711" s="4">
        <f t="shared" si="45"/>
        <v>90</v>
      </c>
      <c r="G711" s="4">
        <f t="shared" si="46"/>
        <v>6.8848863993744083E-2</v>
      </c>
      <c r="H711" s="4">
        <f t="shared" si="47"/>
        <v>8100</v>
      </c>
      <c r="I711" s="5">
        <f>SQRT(SUM('p-native-multi'!$C$3:C711)/COUNTIF($A$3:A711,"&lt;&gt;0"))</f>
        <v>15.834876078553036</v>
      </c>
    </row>
    <row r="712" spans="1:9">
      <c r="A712">
        <v>710</v>
      </c>
      <c r="B712">
        <v>343</v>
      </c>
      <c r="C712">
        <v>233</v>
      </c>
      <c r="D712">
        <v>233</v>
      </c>
      <c r="E712" s="4">
        <f t="shared" si="44"/>
        <v>0</v>
      </c>
      <c r="F712" s="4">
        <f t="shared" si="45"/>
        <v>110</v>
      </c>
      <c r="G712" s="4">
        <f t="shared" si="46"/>
        <v>0.10284830300300045</v>
      </c>
      <c r="H712" s="4">
        <f t="shared" si="47"/>
        <v>12100</v>
      </c>
      <c r="I712" s="5">
        <f>SQRT(SUM('p-native-multi'!$C$3:C712)/COUNTIF($A$3:A712,"&lt;&gt;0"))</f>
        <v>15.834086960073035</v>
      </c>
    </row>
    <row r="713" spans="1:9">
      <c r="A713">
        <v>711</v>
      </c>
      <c r="B713">
        <v>343</v>
      </c>
      <c r="C713">
        <v>233</v>
      </c>
      <c r="D713">
        <v>233</v>
      </c>
      <c r="E713" s="4">
        <f t="shared" si="44"/>
        <v>0</v>
      </c>
      <c r="F713" s="4">
        <f t="shared" si="45"/>
        <v>110</v>
      </c>
      <c r="G713" s="4">
        <f t="shared" si="46"/>
        <v>0.10284830300300045</v>
      </c>
      <c r="H713" s="4">
        <f t="shared" si="47"/>
        <v>12100</v>
      </c>
      <c r="I713" s="5">
        <f>SQRT(SUM('p-native-multi'!$C$3:C713)/COUNTIF($A$3:A713,"&lt;&gt;0"))</f>
        <v>15.833300022172375</v>
      </c>
    </row>
    <row r="714" spans="1:9">
      <c r="A714">
        <v>712</v>
      </c>
      <c r="B714">
        <v>343</v>
      </c>
      <c r="C714">
        <v>233</v>
      </c>
      <c r="D714">
        <v>233</v>
      </c>
      <c r="E714" s="4">
        <f t="shared" si="44"/>
        <v>0</v>
      </c>
      <c r="F714" s="4">
        <f t="shared" si="45"/>
        <v>110</v>
      </c>
      <c r="G714" s="4">
        <f t="shared" si="46"/>
        <v>0.10284830300300045</v>
      </c>
      <c r="H714" s="4">
        <f t="shared" si="47"/>
        <v>12100</v>
      </c>
      <c r="I714" s="5">
        <f>SQRT(SUM('p-native-multi'!$C$3:C714)/COUNTIF($A$3:A714,"&lt;&gt;0"))</f>
        <v>15.8325152558222</v>
      </c>
    </row>
    <row r="715" spans="1:9">
      <c r="A715">
        <v>713</v>
      </c>
      <c r="B715">
        <v>343</v>
      </c>
      <c r="C715">
        <v>273</v>
      </c>
      <c r="D715">
        <v>233</v>
      </c>
      <c r="E715" s="4">
        <f t="shared" si="44"/>
        <v>0</v>
      </c>
      <c r="F715" s="4">
        <f t="shared" si="45"/>
        <v>70</v>
      </c>
      <c r="G715" s="4">
        <f t="shared" si="46"/>
        <v>4.1649312786339029E-2</v>
      </c>
      <c r="H715" s="4">
        <f t="shared" si="47"/>
        <v>4900</v>
      </c>
      <c r="I715" s="5">
        <f>SQRT(SUM('p-native-multi'!$C$3:C715)/COUNTIF($A$3:A715,"&lt;&gt;0"))</f>
        <v>15.833504341981454</v>
      </c>
    </row>
    <row r="716" spans="1:9">
      <c r="A716">
        <v>714</v>
      </c>
      <c r="B716">
        <v>343</v>
      </c>
      <c r="C716">
        <v>233</v>
      </c>
      <c r="D716">
        <v>233</v>
      </c>
      <c r="E716" s="4">
        <f t="shared" si="44"/>
        <v>0</v>
      </c>
      <c r="F716" s="4">
        <f t="shared" si="45"/>
        <v>110</v>
      </c>
      <c r="G716" s="4">
        <f t="shared" si="46"/>
        <v>0.10284830300300045</v>
      </c>
      <c r="H716" s="4">
        <f t="shared" si="47"/>
        <v>12100</v>
      </c>
      <c r="I716" s="5">
        <f>SQRT(SUM('p-native-multi'!$C$3:C716)/COUNTIF($A$3:A716,"&lt;&gt;0"))</f>
        <v>15.832721497835147</v>
      </c>
    </row>
    <row r="717" spans="1:9">
      <c r="A717">
        <v>715</v>
      </c>
      <c r="B717">
        <v>343</v>
      </c>
      <c r="C717">
        <v>279</v>
      </c>
      <c r="D717">
        <v>233</v>
      </c>
      <c r="E717" s="4">
        <f t="shared" si="44"/>
        <v>1</v>
      </c>
      <c r="F717" s="4">
        <f t="shared" si="45"/>
        <v>64</v>
      </c>
      <c r="G717" s="4">
        <f t="shared" si="46"/>
        <v>3.48154255454785E-2</v>
      </c>
      <c r="H717" s="4">
        <f t="shared" si="47"/>
        <v>4096</v>
      </c>
      <c r="I717" s="5">
        <f>SQRT(SUM('p-native-multi'!$C$3:C717)/COUNTIF($A$3:A717,"&lt;&gt;0"))</f>
        <v>15.833972505808052</v>
      </c>
    </row>
    <row r="718" spans="1:9">
      <c r="A718">
        <v>716</v>
      </c>
      <c r="B718">
        <v>343</v>
      </c>
      <c r="C718">
        <v>279</v>
      </c>
      <c r="D718">
        <v>233</v>
      </c>
      <c r="E718" s="4">
        <f t="shared" si="44"/>
        <v>1</v>
      </c>
      <c r="F718" s="4">
        <f t="shared" si="45"/>
        <v>64</v>
      </c>
      <c r="G718" s="4">
        <f t="shared" si="46"/>
        <v>3.48154255454785E-2</v>
      </c>
      <c r="H718" s="4">
        <f t="shared" si="47"/>
        <v>4096</v>
      </c>
      <c r="I718" s="5">
        <f>SQRT(SUM('p-native-multi'!$C$3:C718)/COUNTIF($A$3:A718,"&lt;&gt;0"))</f>
        <v>15.83521992092734</v>
      </c>
    </row>
    <row r="719" spans="1:9">
      <c r="A719">
        <v>717</v>
      </c>
      <c r="B719">
        <v>343</v>
      </c>
      <c r="C719">
        <v>233</v>
      </c>
      <c r="D719">
        <v>233</v>
      </c>
      <c r="E719" s="4">
        <f t="shared" si="44"/>
        <v>0</v>
      </c>
      <c r="F719" s="4">
        <f t="shared" si="45"/>
        <v>110</v>
      </c>
      <c r="G719" s="4">
        <f t="shared" si="46"/>
        <v>0.10284830300300045</v>
      </c>
      <c r="H719" s="4">
        <f t="shared" si="47"/>
        <v>12100</v>
      </c>
      <c r="I719" s="5">
        <f>SQRT(SUM('p-native-multi'!$C$3:C719)/COUNTIF($A$3:A719,"&lt;&gt;0"))</f>
        <v>15.834438044115831</v>
      </c>
    </row>
    <row r="720" spans="1:9">
      <c r="A720">
        <v>718</v>
      </c>
      <c r="B720">
        <v>343</v>
      </c>
      <c r="C720">
        <v>279</v>
      </c>
      <c r="D720">
        <v>233</v>
      </c>
      <c r="E720" s="4">
        <f t="shared" si="44"/>
        <v>1</v>
      </c>
      <c r="F720" s="4">
        <f t="shared" si="45"/>
        <v>64</v>
      </c>
      <c r="G720" s="4">
        <f t="shared" si="46"/>
        <v>3.48154255454785E-2</v>
      </c>
      <c r="H720" s="4">
        <f t="shared" si="47"/>
        <v>4096</v>
      </c>
      <c r="I720" s="5">
        <f>SQRT(SUM('p-native-multi'!$C$3:C720)/COUNTIF($A$3:A720,"&lt;&gt;0"))</f>
        <v>15.835681299786639</v>
      </c>
    </row>
    <row r="721" spans="1:9">
      <c r="A721">
        <v>719</v>
      </c>
      <c r="B721">
        <v>343</v>
      </c>
      <c r="C721">
        <v>279</v>
      </c>
      <c r="D721">
        <v>233</v>
      </c>
      <c r="E721" s="4">
        <f t="shared" si="44"/>
        <v>1</v>
      </c>
      <c r="F721" s="4">
        <f t="shared" si="45"/>
        <v>64</v>
      </c>
      <c r="G721" s="4">
        <f t="shared" si="46"/>
        <v>3.48154255454785E-2</v>
      </c>
      <c r="H721" s="4">
        <f t="shared" si="47"/>
        <v>4096</v>
      </c>
      <c r="I721" s="5">
        <f>SQRT(SUM('p-native-multi'!$C$3:C721)/COUNTIF($A$3:A721,"&lt;&gt;0"))</f>
        <v>15.836920999973071</v>
      </c>
    </row>
    <row r="722" spans="1:9">
      <c r="A722">
        <v>720</v>
      </c>
      <c r="B722">
        <v>343</v>
      </c>
      <c r="C722">
        <v>253</v>
      </c>
      <c r="D722">
        <v>233</v>
      </c>
      <c r="E722" s="4">
        <f t="shared" si="44"/>
        <v>0</v>
      </c>
      <c r="F722" s="4">
        <f t="shared" si="45"/>
        <v>90</v>
      </c>
      <c r="G722" s="4">
        <f t="shared" si="46"/>
        <v>6.8848863993744083E-2</v>
      </c>
      <c r="H722" s="4">
        <f t="shared" si="47"/>
        <v>8100</v>
      </c>
      <c r="I722" s="5">
        <f>SQRT(SUM('p-native-multi'!$C$3:C722)/COUNTIF($A$3:A722,"&lt;&gt;0"))</f>
        <v>15.837017115325446</v>
      </c>
    </row>
    <row r="723" spans="1:9">
      <c r="A723">
        <v>721</v>
      </c>
      <c r="B723">
        <v>343</v>
      </c>
      <c r="C723">
        <v>279</v>
      </c>
      <c r="D723">
        <v>233</v>
      </c>
      <c r="E723" s="4">
        <f t="shared" si="44"/>
        <v>1</v>
      </c>
      <c r="F723" s="4">
        <f t="shared" si="45"/>
        <v>64</v>
      </c>
      <c r="G723" s="4">
        <f t="shared" si="46"/>
        <v>3.48154255454785E-2</v>
      </c>
      <c r="H723" s="4">
        <f t="shared" si="47"/>
        <v>4096</v>
      </c>
      <c r="I723" s="5">
        <f>SQRT(SUM('p-native-multi'!$C$3:C723)/COUNTIF($A$3:A723,"&lt;&gt;0"))</f>
        <v>15.838251420039487</v>
      </c>
    </row>
    <row r="724" spans="1:9">
      <c r="A724">
        <v>722</v>
      </c>
      <c r="B724">
        <v>343</v>
      </c>
      <c r="C724">
        <v>279</v>
      </c>
      <c r="D724">
        <v>233</v>
      </c>
      <c r="E724" s="4">
        <f t="shared" si="44"/>
        <v>1</v>
      </c>
      <c r="F724" s="4">
        <f t="shared" si="45"/>
        <v>64</v>
      </c>
      <c r="G724" s="4">
        <f t="shared" si="46"/>
        <v>3.48154255454785E-2</v>
      </c>
      <c r="H724" s="4">
        <f t="shared" si="47"/>
        <v>4096</v>
      </c>
      <c r="I724" s="5">
        <f>SQRT(SUM('p-native-multi'!$C$3:C724)/COUNTIF($A$3:A724,"&lt;&gt;0"))</f>
        <v>15.83948220984197</v>
      </c>
    </row>
    <row r="725" spans="1:9">
      <c r="A725">
        <v>723</v>
      </c>
      <c r="B725">
        <v>343</v>
      </c>
      <c r="C725">
        <v>279</v>
      </c>
      <c r="D725">
        <v>233</v>
      </c>
      <c r="E725" s="4">
        <f t="shared" si="44"/>
        <v>1</v>
      </c>
      <c r="F725" s="4">
        <f t="shared" si="45"/>
        <v>64</v>
      </c>
      <c r="G725" s="4">
        <f t="shared" si="46"/>
        <v>3.48154255454785E-2</v>
      </c>
      <c r="H725" s="4">
        <f t="shared" si="47"/>
        <v>4096</v>
      </c>
      <c r="I725" s="5">
        <f>SQRT(SUM('p-native-multi'!$C$3:C725)/COUNTIF($A$3:A725,"&lt;&gt;0"))</f>
        <v>15.840709499736695</v>
      </c>
    </row>
    <row r="726" spans="1:9">
      <c r="A726">
        <v>724</v>
      </c>
      <c r="B726">
        <v>343</v>
      </c>
      <c r="C726">
        <v>233</v>
      </c>
      <c r="D726">
        <v>233</v>
      </c>
      <c r="E726" s="4">
        <f t="shared" si="44"/>
        <v>0</v>
      </c>
      <c r="F726" s="4">
        <f t="shared" si="45"/>
        <v>110</v>
      </c>
      <c r="G726" s="4">
        <f t="shared" si="46"/>
        <v>0.10284830300300045</v>
      </c>
      <c r="H726" s="4">
        <f t="shared" si="47"/>
        <v>12100</v>
      </c>
      <c r="I726" s="5">
        <f>SQRT(SUM('p-native-multi'!$C$3:C726)/COUNTIF($A$3:A726,"&lt;&gt;0"))</f>
        <v>15.839927869694579</v>
      </c>
    </row>
    <row r="727" spans="1:9">
      <c r="A727">
        <v>725</v>
      </c>
      <c r="B727">
        <v>343</v>
      </c>
      <c r="C727">
        <v>233</v>
      </c>
      <c r="D727">
        <v>233</v>
      </c>
      <c r="E727" s="4">
        <f t="shared" si="44"/>
        <v>0</v>
      </c>
      <c r="F727" s="4">
        <f t="shared" si="45"/>
        <v>110</v>
      </c>
      <c r="G727" s="4">
        <f t="shared" si="46"/>
        <v>0.10284830300300045</v>
      </c>
      <c r="H727" s="4">
        <f t="shared" si="47"/>
        <v>12100</v>
      </c>
      <c r="I727" s="5">
        <f>SQRT(SUM('p-native-multi'!$C$3:C727)/COUNTIF($A$3:A727,"&lt;&gt;0"))</f>
        <v>15.839148357460864</v>
      </c>
    </row>
    <row r="728" spans="1:9">
      <c r="A728">
        <v>726</v>
      </c>
      <c r="B728">
        <v>343</v>
      </c>
      <c r="C728">
        <v>253</v>
      </c>
      <c r="D728">
        <v>233</v>
      </c>
      <c r="E728" s="4">
        <f t="shared" si="44"/>
        <v>0</v>
      </c>
      <c r="F728" s="4">
        <f t="shared" si="45"/>
        <v>90</v>
      </c>
      <c r="G728" s="4">
        <f t="shared" si="46"/>
        <v>6.8848863993744083E-2</v>
      </c>
      <c r="H728" s="4">
        <f t="shared" si="47"/>
        <v>8100</v>
      </c>
      <c r="I728" s="5">
        <f>SQRT(SUM('p-native-multi'!$C$3:C728)/COUNTIF($A$3:A728,"&lt;&gt;0"))</f>
        <v>15.839240597317932</v>
      </c>
    </row>
    <row r="729" spans="1:9">
      <c r="A729">
        <v>727</v>
      </c>
      <c r="B729">
        <v>343</v>
      </c>
      <c r="C729">
        <v>233</v>
      </c>
      <c r="D729">
        <v>233</v>
      </c>
      <c r="E729" s="4">
        <f t="shared" si="44"/>
        <v>0</v>
      </c>
      <c r="F729" s="4">
        <f t="shared" si="45"/>
        <v>110</v>
      </c>
      <c r="G729" s="4">
        <f t="shared" si="46"/>
        <v>0.10284830300300045</v>
      </c>
      <c r="H729" s="4">
        <f t="shared" si="47"/>
        <v>12100</v>
      </c>
      <c r="I729" s="5">
        <f>SQRT(SUM('p-native-multi'!$C$3:C729)/COUNTIF($A$3:A729,"&lt;&gt;0"))</f>
        <v>15.838464141288545</v>
      </c>
    </row>
    <row r="730" spans="1:9">
      <c r="A730">
        <v>728</v>
      </c>
      <c r="B730">
        <v>343</v>
      </c>
      <c r="C730">
        <v>233</v>
      </c>
      <c r="D730">
        <v>233</v>
      </c>
      <c r="E730" s="4">
        <f t="shared" si="44"/>
        <v>0</v>
      </c>
      <c r="F730" s="4">
        <f t="shared" si="45"/>
        <v>110</v>
      </c>
      <c r="G730" s="4">
        <f t="shared" si="46"/>
        <v>0.10284830300300045</v>
      </c>
      <c r="H730" s="4">
        <f t="shared" si="47"/>
        <v>12100</v>
      </c>
      <c r="I730" s="5">
        <f>SQRT(SUM('p-native-multi'!$C$3:C730)/COUNTIF($A$3:A730,"&lt;&gt;0"))</f>
        <v>15.837689780470432</v>
      </c>
    </row>
    <row r="731" spans="1:9">
      <c r="A731">
        <v>729</v>
      </c>
      <c r="B731">
        <v>343</v>
      </c>
      <c r="C731">
        <v>273</v>
      </c>
      <c r="D731">
        <v>233</v>
      </c>
      <c r="E731" s="4">
        <f t="shared" si="44"/>
        <v>0</v>
      </c>
      <c r="F731" s="4">
        <f t="shared" si="45"/>
        <v>70</v>
      </c>
      <c r="G731" s="4">
        <f t="shared" si="46"/>
        <v>4.1649312786339029E-2</v>
      </c>
      <c r="H731" s="4">
        <f t="shared" si="47"/>
        <v>4900</v>
      </c>
      <c r="I731" s="5">
        <f>SQRT(SUM('p-native-multi'!$C$3:C731)/COUNTIF($A$3:A731,"&lt;&gt;0"))</f>
        <v>15.838649746387844</v>
      </c>
    </row>
    <row r="732" spans="1:9">
      <c r="A732">
        <v>730</v>
      </c>
      <c r="B732">
        <v>343</v>
      </c>
      <c r="C732">
        <v>273</v>
      </c>
      <c r="D732">
        <v>233</v>
      </c>
      <c r="E732" s="4">
        <f t="shared" si="44"/>
        <v>0</v>
      </c>
      <c r="F732" s="4">
        <f t="shared" si="45"/>
        <v>70</v>
      </c>
      <c r="G732" s="4">
        <f t="shared" si="46"/>
        <v>4.1649312786339029E-2</v>
      </c>
      <c r="H732" s="4">
        <f t="shared" si="47"/>
        <v>4900</v>
      </c>
      <c r="I732" s="5">
        <f>SQRT(SUM('p-native-multi'!$C$3:C732)/COUNTIF($A$3:A732,"&lt;&gt;0"))</f>
        <v>15.83960702432139</v>
      </c>
    </row>
    <row r="733" spans="1:9">
      <c r="A733">
        <v>731</v>
      </c>
      <c r="B733">
        <v>343</v>
      </c>
      <c r="C733">
        <v>233</v>
      </c>
      <c r="D733">
        <v>233</v>
      </c>
      <c r="E733" s="4">
        <f t="shared" si="44"/>
        <v>0</v>
      </c>
      <c r="F733" s="4">
        <f t="shared" si="45"/>
        <v>110</v>
      </c>
      <c r="G733" s="4">
        <f t="shared" si="46"/>
        <v>0.10284830300300045</v>
      </c>
      <c r="H733" s="4">
        <f t="shared" si="47"/>
        <v>12100</v>
      </c>
      <c r="I733" s="5">
        <f>SQRT(SUM('p-native-multi'!$C$3:C733)/COUNTIF($A$3:A733,"&lt;&gt;0"))</f>
        <v>15.838834333706998</v>
      </c>
    </row>
    <row r="734" spans="1:9">
      <c r="A734">
        <v>732</v>
      </c>
      <c r="B734">
        <v>343</v>
      </c>
      <c r="C734">
        <v>279</v>
      </c>
      <c r="D734">
        <v>233</v>
      </c>
      <c r="E734" s="4">
        <f t="shared" si="44"/>
        <v>1</v>
      </c>
      <c r="F734" s="4">
        <f t="shared" si="45"/>
        <v>64</v>
      </c>
      <c r="G734" s="4">
        <f t="shared" si="46"/>
        <v>3.48154255454785E-2</v>
      </c>
      <c r="H734" s="4">
        <f t="shared" si="47"/>
        <v>4096</v>
      </c>
      <c r="I734" s="5">
        <f>SQRT(SUM('p-native-multi'!$C$3:C734)/COUNTIF($A$3:A734,"&lt;&gt;0"))</f>
        <v>15.840047469156669</v>
      </c>
    </row>
    <row r="735" spans="1:9">
      <c r="A735">
        <v>733</v>
      </c>
      <c r="B735">
        <v>343</v>
      </c>
      <c r="C735">
        <v>273</v>
      </c>
      <c r="D735">
        <v>233</v>
      </c>
      <c r="E735" s="4">
        <f t="shared" si="44"/>
        <v>0</v>
      </c>
      <c r="F735" s="4">
        <f t="shared" si="45"/>
        <v>70</v>
      </c>
      <c r="G735" s="4">
        <f t="shared" si="46"/>
        <v>4.1649312786339029E-2</v>
      </c>
      <c r="H735" s="4">
        <f t="shared" si="47"/>
        <v>4900</v>
      </c>
      <c r="I735" s="5">
        <f>SQRT(SUM('p-native-multi'!$C$3:C735)/COUNTIF($A$3:A735,"&lt;&gt;0"))</f>
        <v>15.840998838517411</v>
      </c>
    </row>
    <row r="736" spans="1:9">
      <c r="A736">
        <v>734</v>
      </c>
      <c r="B736">
        <v>343</v>
      </c>
      <c r="C736">
        <v>233</v>
      </c>
      <c r="D736">
        <v>233</v>
      </c>
      <c r="E736" s="4">
        <f t="shared" si="44"/>
        <v>0</v>
      </c>
      <c r="F736" s="4">
        <f t="shared" si="45"/>
        <v>110</v>
      </c>
      <c r="G736" s="4">
        <f t="shared" si="46"/>
        <v>0.10284830300300045</v>
      </c>
      <c r="H736" s="4">
        <f t="shared" si="47"/>
        <v>12100</v>
      </c>
      <c r="I736" s="5">
        <f>SQRT(SUM('p-native-multi'!$C$3:C736)/COUNTIF($A$3:A736,"&lt;&gt;0"))</f>
        <v>15.840227477517788</v>
      </c>
    </row>
    <row r="737" spans="1:9">
      <c r="A737">
        <v>735</v>
      </c>
      <c r="B737">
        <v>343</v>
      </c>
      <c r="C737">
        <v>233</v>
      </c>
      <c r="D737">
        <v>233</v>
      </c>
      <c r="E737" s="4">
        <f t="shared" si="44"/>
        <v>0</v>
      </c>
      <c r="F737" s="4">
        <f t="shared" si="45"/>
        <v>110</v>
      </c>
      <c r="G737" s="4">
        <f t="shared" si="46"/>
        <v>0.10284830300300045</v>
      </c>
      <c r="H737" s="4">
        <f t="shared" si="47"/>
        <v>12100</v>
      </c>
      <c r="I737" s="5">
        <f>SQRT(SUM('p-native-multi'!$C$3:C737)/COUNTIF($A$3:A737,"&lt;&gt;0"))</f>
        <v>15.839458178048568</v>
      </c>
    </row>
    <row r="738" spans="1:9">
      <c r="A738">
        <v>736</v>
      </c>
      <c r="B738">
        <v>343</v>
      </c>
      <c r="C738">
        <v>273</v>
      </c>
      <c r="D738">
        <v>233</v>
      </c>
      <c r="E738" s="4">
        <f t="shared" si="44"/>
        <v>0</v>
      </c>
      <c r="F738" s="4">
        <f t="shared" si="45"/>
        <v>70</v>
      </c>
      <c r="G738" s="4">
        <f t="shared" si="46"/>
        <v>4.1649312786339029E-2</v>
      </c>
      <c r="H738" s="4">
        <f t="shared" si="47"/>
        <v>4900</v>
      </c>
      <c r="I738" s="5">
        <f>SQRT(SUM('p-native-multi'!$C$3:C738)/COUNTIF($A$3:A738,"&lt;&gt;0"))</f>
        <v>15.840406505543649</v>
      </c>
    </row>
    <row r="739" spans="1:9">
      <c r="A739">
        <v>737</v>
      </c>
      <c r="B739">
        <v>343</v>
      </c>
      <c r="C739">
        <v>273</v>
      </c>
      <c r="D739">
        <v>233</v>
      </c>
      <c r="E739" s="4">
        <f t="shared" si="44"/>
        <v>0</v>
      </c>
      <c r="F739" s="4">
        <f t="shared" si="45"/>
        <v>70</v>
      </c>
      <c r="G739" s="4">
        <f t="shared" si="46"/>
        <v>4.1649312786339029E-2</v>
      </c>
      <c r="H739" s="4">
        <f t="shared" si="47"/>
        <v>4900</v>
      </c>
      <c r="I739" s="5">
        <f>SQRT(SUM('p-native-multi'!$C$3:C739)/COUNTIF($A$3:A739,"&lt;&gt;0"))</f>
        <v>15.841352203018573</v>
      </c>
    </row>
    <row r="740" spans="1:9">
      <c r="A740">
        <v>738</v>
      </c>
      <c r="B740">
        <v>343</v>
      </c>
      <c r="C740">
        <v>253</v>
      </c>
      <c r="D740">
        <v>233</v>
      </c>
      <c r="E740" s="4">
        <f t="shared" si="44"/>
        <v>0</v>
      </c>
      <c r="F740" s="4">
        <f t="shared" si="45"/>
        <v>90</v>
      </c>
      <c r="G740" s="4">
        <f t="shared" si="46"/>
        <v>6.8848863993744083E-2</v>
      </c>
      <c r="H740" s="4">
        <f t="shared" si="47"/>
        <v>8100</v>
      </c>
      <c r="I740" s="5">
        <f>SQRT(SUM('p-native-multi'!$C$3:C740)/COUNTIF($A$3:A740,"&lt;&gt;0"))</f>
        <v>15.841439944405153</v>
      </c>
    </row>
    <row r="741" spans="1:9">
      <c r="A741">
        <v>739</v>
      </c>
      <c r="B741">
        <v>343</v>
      </c>
      <c r="C741">
        <v>233</v>
      </c>
      <c r="D741">
        <v>233</v>
      </c>
      <c r="E741" s="4">
        <f t="shared" si="44"/>
        <v>0</v>
      </c>
      <c r="F741" s="4">
        <f t="shared" si="45"/>
        <v>110</v>
      </c>
      <c r="G741" s="4">
        <f t="shared" si="46"/>
        <v>0.10284830300300045</v>
      </c>
      <c r="H741" s="4">
        <f t="shared" si="47"/>
        <v>12100</v>
      </c>
      <c r="I741" s="5">
        <f>SQRT(SUM('p-native-multi'!$C$3:C741)/COUNTIF($A$3:A741,"&lt;&gt;0"))</f>
        <v>15.840673226901105</v>
      </c>
    </row>
    <row r="742" spans="1:9">
      <c r="A742">
        <v>740</v>
      </c>
      <c r="B742">
        <v>343</v>
      </c>
      <c r="C742">
        <v>233</v>
      </c>
      <c r="D742">
        <v>233</v>
      </c>
      <c r="E742" s="4">
        <f t="shared" si="44"/>
        <v>0</v>
      </c>
      <c r="F742" s="4">
        <f t="shared" si="45"/>
        <v>110</v>
      </c>
      <c r="G742" s="4">
        <f t="shared" si="46"/>
        <v>0.10284830300300045</v>
      </c>
      <c r="H742" s="4">
        <f t="shared" si="47"/>
        <v>12100</v>
      </c>
      <c r="I742" s="5">
        <f>SQRT(SUM('p-native-multi'!$C$3:C742)/COUNTIF($A$3:A742,"&lt;&gt;0"))</f>
        <v>15.839908544644526</v>
      </c>
    </row>
    <row r="743" spans="1:9">
      <c r="A743">
        <v>741</v>
      </c>
      <c r="B743">
        <v>343</v>
      </c>
      <c r="C743">
        <v>273</v>
      </c>
      <c r="D743">
        <v>233</v>
      </c>
      <c r="E743" s="4">
        <f t="shared" si="44"/>
        <v>0</v>
      </c>
      <c r="F743" s="4">
        <f t="shared" si="45"/>
        <v>70</v>
      </c>
      <c r="G743" s="4">
        <f t="shared" si="46"/>
        <v>4.1649312786339029E-2</v>
      </c>
      <c r="H743" s="4">
        <f t="shared" si="47"/>
        <v>4900</v>
      </c>
      <c r="I743" s="5">
        <f>SQRT(SUM('p-native-multi'!$C$3:C743)/COUNTIF($A$3:A743,"&lt;&gt;0"))</f>
        <v>15.840849838841795</v>
      </c>
    </row>
    <row r="744" spans="1:9">
      <c r="A744">
        <v>742</v>
      </c>
      <c r="B744">
        <v>343</v>
      </c>
      <c r="C744">
        <v>233</v>
      </c>
      <c r="D744">
        <v>233</v>
      </c>
      <c r="E744" s="4">
        <f t="shared" si="44"/>
        <v>0</v>
      </c>
      <c r="F744" s="4">
        <f t="shared" si="45"/>
        <v>110</v>
      </c>
      <c r="G744" s="4">
        <f t="shared" si="46"/>
        <v>0.10284830300300045</v>
      </c>
      <c r="H744" s="4">
        <f t="shared" si="47"/>
        <v>12100</v>
      </c>
      <c r="I744" s="5">
        <f>SQRT(SUM('p-native-multi'!$C$3:C744)/COUNTIF($A$3:A744,"&lt;&gt;0"))</f>
        <v>15.840086988244359</v>
      </c>
    </row>
    <row r="745" spans="1:9">
      <c r="A745">
        <v>743</v>
      </c>
      <c r="B745">
        <v>343</v>
      </c>
      <c r="C745">
        <v>233</v>
      </c>
      <c r="D745">
        <v>233</v>
      </c>
      <c r="E745" s="4">
        <f t="shared" si="44"/>
        <v>0</v>
      </c>
      <c r="F745" s="4">
        <f t="shared" si="45"/>
        <v>110</v>
      </c>
      <c r="G745" s="4">
        <f t="shared" si="46"/>
        <v>0.10284830300300045</v>
      </c>
      <c r="H745" s="4">
        <f t="shared" si="47"/>
        <v>12100</v>
      </c>
      <c r="I745" s="5">
        <f>SQRT(SUM('p-native-multi'!$C$3:C745)/COUNTIF($A$3:A745,"&lt;&gt;0"))</f>
        <v>15.839326154488511</v>
      </c>
    </row>
    <row r="746" spans="1:9">
      <c r="A746">
        <v>744</v>
      </c>
      <c r="B746">
        <v>343</v>
      </c>
      <c r="C746">
        <v>279</v>
      </c>
      <c r="D746">
        <v>233</v>
      </c>
      <c r="E746" s="4">
        <f t="shared" si="44"/>
        <v>1</v>
      </c>
      <c r="F746" s="4">
        <f t="shared" si="45"/>
        <v>64</v>
      </c>
      <c r="G746" s="4">
        <f t="shared" si="46"/>
        <v>3.48154255454785E-2</v>
      </c>
      <c r="H746" s="4">
        <f t="shared" si="47"/>
        <v>4096</v>
      </c>
      <c r="I746" s="5">
        <f>SQRT(SUM('p-native-multi'!$C$3:C746)/COUNTIF($A$3:A746,"&lt;&gt;0"))</f>
        <v>15.84051902592692</v>
      </c>
    </row>
    <row r="747" spans="1:9">
      <c r="A747">
        <v>745</v>
      </c>
      <c r="B747">
        <v>343</v>
      </c>
      <c r="C747">
        <v>273</v>
      </c>
      <c r="D747">
        <v>233</v>
      </c>
      <c r="E747" s="4">
        <f t="shared" si="44"/>
        <v>0</v>
      </c>
      <c r="F747" s="4">
        <f t="shared" si="45"/>
        <v>70</v>
      </c>
      <c r="G747" s="4">
        <f t="shared" si="46"/>
        <v>4.1649312786339029E-2</v>
      </c>
      <c r="H747" s="4">
        <f t="shared" si="47"/>
        <v>4900</v>
      </c>
      <c r="I747" s="5">
        <f>SQRT(SUM('p-native-multi'!$C$3:C747)/COUNTIF($A$3:A747,"&lt;&gt;0"))</f>
        <v>15.84145441089135</v>
      </c>
    </row>
    <row r="748" spans="1:9">
      <c r="A748">
        <v>746</v>
      </c>
      <c r="B748">
        <v>343</v>
      </c>
      <c r="C748">
        <v>279</v>
      </c>
      <c r="D748">
        <v>233</v>
      </c>
      <c r="E748" s="4">
        <f t="shared" si="44"/>
        <v>1</v>
      </c>
      <c r="F748" s="4">
        <f t="shared" si="45"/>
        <v>64</v>
      </c>
      <c r="G748" s="4">
        <f t="shared" si="46"/>
        <v>3.48154255454785E-2</v>
      </c>
      <c r="H748" s="4">
        <f t="shared" si="47"/>
        <v>4096</v>
      </c>
      <c r="I748" s="5">
        <f>SQRT(SUM('p-native-multi'!$C$3:C748)/COUNTIF($A$3:A748,"&lt;&gt;0"))</f>
        <v>15.842641072100642</v>
      </c>
    </row>
    <row r="749" spans="1:9">
      <c r="A749">
        <v>747</v>
      </c>
      <c r="B749">
        <v>343</v>
      </c>
      <c r="C749">
        <v>233</v>
      </c>
      <c r="D749">
        <v>233</v>
      </c>
      <c r="E749" s="4">
        <f t="shared" si="44"/>
        <v>0</v>
      </c>
      <c r="F749" s="4">
        <f t="shared" si="45"/>
        <v>110</v>
      </c>
      <c r="G749" s="4">
        <f t="shared" si="46"/>
        <v>0.10284830300300045</v>
      </c>
      <c r="H749" s="4">
        <f t="shared" si="47"/>
        <v>12100</v>
      </c>
      <c r="I749" s="5">
        <f>SQRT(SUM('p-native-multi'!$C$3:C749)/COUNTIF($A$3:A749,"&lt;&gt;0"))</f>
        <v>15.841881015516195</v>
      </c>
    </row>
    <row r="750" spans="1:9">
      <c r="A750">
        <v>748</v>
      </c>
      <c r="B750">
        <v>343</v>
      </c>
      <c r="C750">
        <v>273</v>
      </c>
      <c r="D750">
        <v>233</v>
      </c>
      <c r="E750" s="4">
        <f t="shared" si="44"/>
        <v>0</v>
      </c>
      <c r="F750" s="4">
        <f t="shared" si="45"/>
        <v>70</v>
      </c>
      <c r="G750" s="4">
        <f t="shared" si="46"/>
        <v>4.1649312786339029E-2</v>
      </c>
      <c r="H750" s="4">
        <f t="shared" si="47"/>
        <v>4900</v>
      </c>
      <c r="I750" s="5">
        <f>SQRT(SUM('p-native-multi'!$C$3:C750)/COUNTIF($A$3:A750,"&lt;&gt;0"))</f>
        <v>15.842810748298962</v>
      </c>
    </row>
    <row r="751" spans="1:9">
      <c r="A751">
        <v>749</v>
      </c>
      <c r="B751">
        <v>343</v>
      </c>
      <c r="C751">
        <v>279</v>
      </c>
      <c r="D751">
        <v>233</v>
      </c>
      <c r="E751" s="4">
        <f t="shared" si="44"/>
        <v>1</v>
      </c>
      <c r="F751" s="4">
        <f t="shared" si="45"/>
        <v>64</v>
      </c>
      <c r="G751" s="4">
        <f t="shared" si="46"/>
        <v>3.48154255454785E-2</v>
      </c>
      <c r="H751" s="4">
        <f t="shared" si="47"/>
        <v>4096</v>
      </c>
      <c r="I751" s="5">
        <f>SQRT(SUM('p-native-multi'!$C$3:C751)/COUNTIF($A$3:A751,"&lt;&gt;0"))</f>
        <v>15.843990744873324</v>
      </c>
    </row>
    <row r="752" spans="1:9">
      <c r="A752">
        <v>750</v>
      </c>
      <c r="B752">
        <v>343</v>
      </c>
      <c r="C752">
        <v>279</v>
      </c>
      <c r="D752">
        <v>233</v>
      </c>
      <c r="E752" s="4">
        <f t="shared" si="44"/>
        <v>1</v>
      </c>
      <c r="F752" s="4">
        <f t="shared" si="45"/>
        <v>64</v>
      </c>
      <c r="G752" s="4">
        <f t="shared" si="46"/>
        <v>3.48154255454785E-2</v>
      </c>
      <c r="H752" s="4">
        <f t="shared" si="47"/>
        <v>4096</v>
      </c>
      <c r="I752" s="5">
        <f>SQRT(SUM('p-native-multi'!$C$3:C752)/COUNTIF($A$3:A752,"&lt;&gt;0"))</f>
        <v>15.845167507266476</v>
      </c>
    </row>
    <row r="753" spans="1:9">
      <c r="A753">
        <v>751</v>
      </c>
      <c r="B753">
        <v>233</v>
      </c>
      <c r="C753">
        <v>233</v>
      </c>
      <c r="D753">
        <v>233</v>
      </c>
      <c r="E753" s="4">
        <f t="shared" si="44"/>
        <v>1</v>
      </c>
      <c r="F753" s="4">
        <f t="shared" si="45"/>
        <v>0</v>
      </c>
      <c r="G753" s="4">
        <f t="shared" si="46"/>
        <v>0</v>
      </c>
      <c r="H753" s="4">
        <f t="shared" si="47"/>
        <v>0</v>
      </c>
      <c r="I753" s="5">
        <f>SQRT(SUM('p-native-multi'!$C$3:C753)/COUNTIF($A$3:A753,"&lt;&gt;0"))</f>
        <v>15.844408255576292</v>
      </c>
    </row>
    <row r="754" spans="1:9">
      <c r="A754">
        <v>752</v>
      </c>
      <c r="B754">
        <v>233</v>
      </c>
      <c r="C754">
        <v>233</v>
      </c>
      <c r="D754">
        <v>233</v>
      </c>
      <c r="E754" s="4">
        <f t="shared" si="44"/>
        <v>1</v>
      </c>
      <c r="F754" s="4">
        <f t="shared" si="45"/>
        <v>0</v>
      </c>
      <c r="G754" s="4">
        <f t="shared" si="46"/>
        <v>0</v>
      </c>
      <c r="H754" s="4">
        <f t="shared" si="47"/>
        <v>0</v>
      </c>
      <c r="I754" s="5">
        <f>SQRT(SUM('p-native-multi'!$C$3:C754)/COUNTIF($A$3:A754,"&lt;&gt;0"))</f>
        <v>15.843650986933053</v>
      </c>
    </row>
    <row r="755" spans="1:9">
      <c r="A755">
        <v>753</v>
      </c>
      <c r="B755">
        <v>233</v>
      </c>
      <c r="C755">
        <v>273</v>
      </c>
      <c r="D755">
        <v>233</v>
      </c>
      <c r="E755" s="4">
        <f t="shared" si="44"/>
        <v>1</v>
      </c>
      <c r="F755" s="4">
        <f t="shared" si="45"/>
        <v>40</v>
      </c>
      <c r="G755" s="4">
        <f t="shared" si="46"/>
        <v>2.9471900384976699E-2</v>
      </c>
      <c r="H755" s="4">
        <f t="shared" si="47"/>
        <v>1600</v>
      </c>
      <c r="I755" s="5">
        <f>SQRT(SUM('p-native-multi'!$C$3:C755)/COUNTIF($A$3:A755,"&lt;&gt;0"))</f>
        <v>15.844572092910459</v>
      </c>
    </row>
    <row r="756" spans="1:9">
      <c r="A756">
        <v>754</v>
      </c>
      <c r="B756">
        <v>233</v>
      </c>
      <c r="C756">
        <v>233</v>
      </c>
      <c r="D756">
        <v>233</v>
      </c>
      <c r="E756" s="4">
        <f t="shared" si="44"/>
        <v>1</v>
      </c>
      <c r="F756" s="4">
        <f t="shared" si="45"/>
        <v>0</v>
      </c>
      <c r="G756" s="4">
        <f t="shared" si="46"/>
        <v>0</v>
      </c>
      <c r="H756" s="4">
        <f t="shared" si="47"/>
        <v>0</v>
      </c>
      <c r="I756" s="5">
        <f>SQRT(SUM('p-native-multi'!$C$3:C756)/COUNTIF($A$3:A756,"&lt;&gt;0"))</f>
        <v>15.843816623495078</v>
      </c>
    </row>
    <row r="757" spans="1:9">
      <c r="A757">
        <v>755</v>
      </c>
      <c r="B757">
        <v>233</v>
      </c>
      <c r="C757">
        <v>273</v>
      </c>
      <c r="D757">
        <v>233</v>
      </c>
      <c r="E757" s="4">
        <f t="shared" si="44"/>
        <v>1</v>
      </c>
      <c r="F757" s="4">
        <f t="shared" si="45"/>
        <v>40</v>
      </c>
      <c r="G757" s="4">
        <f t="shared" si="46"/>
        <v>2.9471900384976699E-2</v>
      </c>
      <c r="H757" s="4">
        <f t="shared" si="47"/>
        <v>1600</v>
      </c>
      <c r="I757" s="5">
        <f>SQRT(SUM('p-native-multi'!$C$3:C757)/COUNTIF($A$3:A757,"&lt;&gt;0"))</f>
        <v>15.84473506055159</v>
      </c>
    </row>
    <row r="758" spans="1:9">
      <c r="A758">
        <v>756</v>
      </c>
      <c r="B758">
        <v>233</v>
      </c>
      <c r="C758">
        <v>233</v>
      </c>
      <c r="D758">
        <v>233</v>
      </c>
      <c r="E758" s="4">
        <f t="shared" si="44"/>
        <v>1</v>
      </c>
      <c r="F758" s="4">
        <f t="shared" si="45"/>
        <v>0</v>
      </c>
      <c r="G758" s="4">
        <f t="shared" si="46"/>
        <v>0</v>
      </c>
      <c r="H758" s="4">
        <f t="shared" si="47"/>
        <v>0</v>
      </c>
      <c r="I758" s="5">
        <f>SQRT(SUM('p-native-multi'!$C$3:C758)/COUNTIF($A$3:A758,"&lt;&gt;0"))</f>
        <v>15.843981381955295</v>
      </c>
    </row>
    <row r="759" spans="1:9">
      <c r="A759">
        <v>757</v>
      </c>
      <c r="B759">
        <v>233</v>
      </c>
      <c r="C759">
        <v>233</v>
      </c>
      <c r="D759">
        <v>233</v>
      </c>
      <c r="E759" s="4">
        <f t="shared" si="44"/>
        <v>1</v>
      </c>
      <c r="F759" s="4">
        <f t="shared" si="45"/>
        <v>0</v>
      </c>
      <c r="G759" s="4">
        <f t="shared" si="46"/>
        <v>0</v>
      </c>
      <c r="H759" s="4">
        <f t="shared" si="47"/>
        <v>0</v>
      </c>
      <c r="I759" s="5">
        <f>SQRT(SUM('p-native-multi'!$C$3:C759)/COUNTIF($A$3:A759,"&lt;&gt;0"))</f>
        <v>15.843229658872527</v>
      </c>
    </row>
    <row r="760" spans="1:9">
      <c r="A760">
        <v>758</v>
      </c>
      <c r="B760">
        <v>233</v>
      </c>
      <c r="C760">
        <v>273</v>
      </c>
      <c r="D760">
        <v>233</v>
      </c>
      <c r="E760" s="4">
        <f t="shared" si="44"/>
        <v>1</v>
      </c>
      <c r="F760" s="4">
        <f t="shared" si="45"/>
        <v>40</v>
      </c>
      <c r="G760" s="4">
        <f t="shared" si="46"/>
        <v>2.9471900384976699E-2</v>
      </c>
      <c r="H760" s="4">
        <f t="shared" si="47"/>
        <v>1600</v>
      </c>
      <c r="I760" s="5">
        <f>SQRT(SUM('p-native-multi'!$C$3:C760)/COUNTIF($A$3:A760,"&lt;&gt;0"))</f>
        <v>15.844145269277991</v>
      </c>
    </row>
    <row r="761" spans="1:9">
      <c r="A761">
        <v>759</v>
      </c>
      <c r="B761">
        <v>233</v>
      </c>
      <c r="C761">
        <v>273</v>
      </c>
      <c r="D761">
        <v>233</v>
      </c>
      <c r="E761" s="4">
        <f t="shared" si="44"/>
        <v>1</v>
      </c>
      <c r="F761" s="4">
        <f t="shared" si="45"/>
        <v>40</v>
      </c>
      <c r="G761" s="4">
        <f t="shared" si="46"/>
        <v>2.9471900384976699E-2</v>
      </c>
      <c r="H761" s="4">
        <f t="shared" si="47"/>
        <v>1600</v>
      </c>
      <c r="I761" s="5">
        <f>SQRT(SUM('p-native-multi'!$C$3:C761)/COUNTIF($A$3:A761,"&lt;&gt;0"))</f>
        <v>15.845058414307998</v>
      </c>
    </row>
    <row r="762" spans="1:9">
      <c r="A762">
        <v>760</v>
      </c>
      <c r="B762">
        <v>233</v>
      </c>
      <c r="C762">
        <v>253</v>
      </c>
      <c r="D762">
        <v>233</v>
      </c>
      <c r="E762" s="4">
        <f t="shared" si="44"/>
        <v>1</v>
      </c>
      <c r="F762" s="4">
        <f t="shared" si="45"/>
        <v>20</v>
      </c>
      <c r="G762" s="4">
        <f t="shared" si="46"/>
        <v>7.3679750962441747E-3</v>
      </c>
      <c r="H762" s="4">
        <f t="shared" si="47"/>
        <v>400</v>
      </c>
      <c r="I762" s="5">
        <f>SQRT(SUM('p-native-multi'!$C$3:C762)/COUNTIF($A$3:A762,"&lt;&gt;0"))</f>
        <v>15.845138719892343</v>
      </c>
    </row>
    <row r="763" spans="1:9">
      <c r="A763">
        <v>761</v>
      </c>
      <c r="B763">
        <v>233</v>
      </c>
      <c r="C763">
        <v>253</v>
      </c>
      <c r="D763">
        <v>233</v>
      </c>
      <c r="E763" s="4">
        <f t="shared" si="44"/>
        <v>1</v>
      </c>
      <c r="F763" s="4">
        <f t="shared" si="45"/>
        <v>20</v>
      </c>
      <c r="G763" s="4">
        <f t="shared" si="46"/>
        <v>7.3679750962441747E-3</v>
      </c>
      <c r="H763" s="4">
        <f t="shared" si="47"/>
        <v>400</v>
      </c>
      <c r="I763" s="5">
        <f>SQRT(SUM('p-native-multi'!$C$3:C763)/COUNTIF($A$3:A763,"&lt;&gt;0"))</f>
        <v>15.84521881401851</v>
      </c>
    </row>
    <row r="764" spans="1:9">
      <c r="A764">
        <v>762</v>
      </c>
      <c r="B764">
        <v>233</v>
      </c>
      <c r="C764">
        <v>273</v>
      </c>
      <c r="D764">
        <v>233</v>
      </c>
      <c r="E764" s="4">
        <f t="shared" si="44"/>
        <v>1</v>
      </c>
      <c r="F764" s="4">
        <f t="shared" si="45"/>
        <v>40</v>
      </c>
      <c r="G764" s="4">
        <f t="shared" si="46"/>
        <v>2.9471900384976699E-2</v>
      </c>
      <c r="H764" s="4">
        <f t="shared" si="47"/>
        <v>1600</v>
      </c>
      <c r="I764" s="5">
        <f>SQRT(SUM('p-native-multi'!$C$3:C764)/COUNTIF($A$3:A764,"&lt;&gt;0"))</f>
        <v>15.846126893749412</v>
      </c>
    </row>
    <row r="765" spans="1:9">
      <c r="A765">
        <v>763</v>
      </c>
      <c r="B765">
        <v>233</v>
      </c>
      <c r="C765">
        <v>273</v>
      </c>
      <c r="D765">
        <v>233</v>
      </c>
      <c r="E765" s="4">
        <f t="shared" si="44"/>
        <v>1</v>
      </c>
      <c r="F765" s="4">
        <f t="shared" si="45"/>
        <v>40</v>
      </c>
      <c r="G765" s="4">
        <f t="shared" si="46"/>
        <v>2.9471900384976699E-2</v>
      </c>
      <c r="H765" s="4">
        <f t="shared" si="47"/>
        <v>1600</v>
      </c>
      <c r="I765" s="5">
        <f>SQRT(SUM('p-native-multi'!$C$3:C765)/COUNTIF($A$3:A765,"&lt;&gt;0"))</f>
        <v>15.847032541361568</v>
      </c>
    </row>
    <row r="766" spans="1:9">
      <c r="A766">
        <v>764</v>
      </c>
      <c r="B766">
        <v>233</v>
      </c>
      <c r="C766">
        <v>273</v>
      </c>
      <c r="D766">
        <v>233</v>
      </c>
      <c r="E766" s="4">
        <f t="shared" si="44"/>
        <v>1</v>
      </c>
      <c r="F766" s="4">
        <f t="shared" si="45"/>
        <v>40</v>
      </c>
      <c r="G766" s="4">
        <f t="shared" si="46"/>
        <v>2.9471900384976699E-2</v>
      </c>
      <c r="H766" s="4">
        <f t="shared" si="47"/>
        <v>1600</v>
      </c>
      <c r="I766" s="5">
        <f>SQRT(SUM('p-native-multi'!$C$3:C766)/COUNTIF($A$3:A766,"&lt;&gt;0"))</f>
        <v>15.84793576661728</v>
      </c>
    </row>
    <row r="767" spans="1:9">
      <c r="A767">
        <v>765</v>
      </c>
      <c r="B767">
        <v>233</v>
      </c>
      <c r="C767">
        <v>233</v>
      </c>
      <c r="D767">
        <v>233</v>
      </c>
      <c r="E767" s="4">
        <f t="shared" si="44"/>
        <v>1</v>
      </c>
      <c r="F767" s="4">
        <f t="shared" si="45"/>
        <v>0</v>
      </c>
      <c r="G767" s="4">
        <f t="shared" si="46"/>
        <v>0</v>
      </c>
      <c r="H767" s="4">
        <f t="shared" si="47"/>
        <v>0</v>
      </c>
      <c r="I767" s="5">
        <f>SQRT(SUM('p-native-multi'!$C$3:C767)/COUNTIF($A$3:A767,"&lt;&gt;0"))</f>
        <v>15.84718692176417</v>
      </c>
    </row>
    <row r="768" spans="1:9">
      <c r="A768">
        <v>766</v>
      </c>
      <c r="B768">
        <v>233</v>
      </c>
      <c r="C768">
        <v>273</v>
      </c>
      <c r="D768">
        <v>233</v>
      </c>
      <c r="E768" s="4">
        <f t="shared" si="44"/>
        <v>1</v>
      </c>
      <c r="F768" s="4">
        <f t="shared" si="45"/>
        <v>40</v>
      </c>
      <c r="G768" s="4">
        <f t="shared" si="46"/>
        <v>2.9471900384976699E-2</v>
      </c>
      <c r="H768" s="4">
        <f t="shared" si="47"/>
        <v>1600</v>
      </c>
      <c r="I768" s="5">
        <f>SQRT(SUM('p-native-multi'!$C$3:C768)/COUNTIF($A$3:A768,"&lt;&gt;0"))</f>
        <v>15.848087578492281</v>
      </c>
    </row>
    <row r="769" spans="1:9">
      <c r="A769">
        <v>767</v>
      </c>
      <c r="B769">
        <v>233</v>
      </c>
      <c r="C769">
        <v>279</v>
      </c>
      <c r="D769">
        <v>233</v>
      </c>
      <c r="E769" s="4">
        <f t="shared" si="44"/>
        <v>1</v>
      </c>
      <c r="F769" s="4">
        <f t="shared" si="45"/>
        <v>46</v>
      </c>
      <c r="G769" s="4">
        <f t="shared" si="46"/>
        <v>3.8976588259131681E-2</v>
      </c>
      <c r="H769" s="4">
        <f t="shared" si="47"/>
        <v>2116</v>
      </c>
      <c r="I769" s="5">
        <f>SQRT(SUM('p-native-multi'!$C$3:C769)/COUNTIF($A$3:A769,"&lt;&gt;0"))</f>
        <v>15.849232622011996</v>
      </c>
    </row>
    <row r="770" spans="1:9">
      <c r="A770">
        <v>768</v>
      </c>
      <c r="B770">
        <v>233</v>
      </c>
      <c r="C770">
        <v>233</v>
      </c>
      <c r="D770">
        <v>233</v>
      </c>
      <c r="E770" s="4">
        <f t="shared" si="44"/>
        <v>1</v>
      </c>
      <c r="F770" s="4">
        <f t="shared" si="45"/>
        <v>0</v>
      </c>
      <c r="G770" s="4">
        <f t="shared" si="46"/>
        <v>0</v>
      </c>
      <c r="H770" s="4">
        <f t="shared" si="47"/>
        <v>0</v>
      </c>
      <c r="I770" s="5">
        <f>SQRT(SUM('p-native-multi'!$C$3:C770)/COUNTIF($A$3:A770,"&lt;&gt;0"))</f>
        <v>15.848485074816036</v>
      </c>
    </row>
    <row r="771" spans="1:9">
      <c r="A771">
        <v>769</v>
      </c>
      <c r="B771">
        <v>233</v>
      </c>
      <c r="C771">
        <v>253</v>
      </c>
      <c r="D771">
        <v>233</v>
      </c>
      <c r="E771" s="4">
        <f t="shared" si="44"/>
        <v>1</v>
      </c>
      <c r="F771" s="4">
        <f t="shared" si="45"/>
        <v>20</v>
      </c>
      <c r="G771" s="4">
        <f t="shared" si="46"/>
        <v>7.3679750962441747E-3</v>
      </c>
      <c r="H771" s="4">
        <f t="shared" si="47"/>
        <v>400</v>
      </c>
      <c r="I771" s="5">
        <f>SQRT(SUM('p-native-multi'!$C$3:C771)/COUNTIF($A$3:A771,"&lt;&gt;0"))</f>
        <v>15.848559967893511</v>
      </c>
    </row>
    <row r="772" spans="1:9">
      <c r="A772">
        <v>770</v>
      </c>
      <c r="B772">
        <v>233</v>
      </c>
      <c r="C772">
        <v>233</v>
      </c>
      <c r="D772">
        <v>233</v>
      </c>
      <c r="E772" s="4">
        <f t="shared" ref="E772:E835" si="48">IF(AND(C772&lt;=B772*1.2,C772&gt;=B772*0.8),1,0)</f>
        <v>1</v>
      </c>
      <c r="F772" s="4">
        <f t="shared" ref="F772:F835" si="49">ABS(B772-C772)</f>
        <v>0</v>
      </c>
      <c r="G772" s="4">
        <f t="shared" ref="G772:G835" si="50">POWER(ABS(B772-C772)/B772,2)</f>
        <v>0</v>
      </c>
      <c r="H772" s="4">
        <f t="shared" ref="H772:H835" si="51">POWER(F772,2)</f>
        <v>0</v>
      </c>
      <c r="I772" s="5">
        <f>SQRT(SUM('p-native-multi'!$C$3:C772)/COUNTIF($A$3:A772,"&lt;&gt;0"))</f>
        <v>15.847815204413722</v>
      </c>
    </row>
    <row r="773" spans="1:9">
      <c r="A773">
        <v>771</v>
      </c>
      <c r="B773">
        <v>233</v>
      </c>
      <c r="C773">
        <v>233</v>
      </c>
      <c r="D773">
        <v>233</v>
      </c>
      <c r="E773" s="4">
        <f t="shared" si="48"/>
        <v>1</v>
      </c>
      <c r="F773" s="4">
        <f t="shared" si="49"/>
        <v>0</v>
      </c>
      <c r="G773" s="4">
        <f t="shared" si="50"/>
        <v>0</v>
      </c>
      <c r="H773" s="4">
        <f t="shared" si="51"/>
        <v>0</v>
      </c>
      <c r="I773" s="5">
        <f>SQRT(SUM('p-native-multi'!$C$3:C773)/COUNTIF($A$3:A773,"&lt;&gt;0"))</f>
        <v>15.847072338010006</v>
      </c>
    </row>
    <row r="774" spans="1:9">
      <c r="A774">
        <v>772</v>
      </c>
      <c r="B774">
        <v>233</v>
      </c>
      <c r="C774">
        <v>233</v>
      </c>
      <c r="D774">
        <v>233</v>
      </c>
      <c r="E774" s="4">
        <f t="shared" si="48"/>
        <v>1</v>
      </c>
      <c r="F774" s="4">
        <f t="shared" si="49"/>
        <v>0</v>
      </c>
      <c r="G774" s="4">
        <f t="shared" si="50"/>
        <v>0</v>
      </c>
      <c r="H774" s="4">
        <f t="shared" si="51"/>
        <v>0</v>
      </c>
      <c r="I774" s="5">
        <f>SQRT(SUM('p-native-multi'!$C$3:C774)/COUNTIF($A$3:A774,"&lt;&gt;0"))</f>
        <v>15.84633136144074</v>
      </c>
    </row>
    <row r="775" spans="1:9">
      <c r="A775">
        <v>773</v>
      </c>
      <c r="B775">
        <v>233</v>
      </c>
      <c r="C775">
        <v>273</v>
      </c>
      <c r="D775">
        <v>233</v>
      </c>
      <c r="E775" s="4">
        <f t="shared" si="48"/>
        <v>1</v>
      </c>
      <c r="F775" s="4">
        <f t="shared" si="49"/>
        <v>40</v>
      </c>
      <c r="G775" s="4">
        <f t="shared" si="50"/>
        <v>2.9471900384976699E-2</v>
      </c>
      <c r="H775" s="4">
        <f t="shared" si="51"/>
        <v>1600</v>
      </c>
      <c r="I775" s="5">
        <f>SQRT(SUM('p-native-multi'!$C$3:C775)/COUNTIF($A$3:A775,"&lt;&gt;0"))</f>
        <v>15.84722501734368</v>
      </c>
    </row>
    <row r="776" spans="1:9">
      <c r="A776">
        <v>774</v>
      </c>
      <c r="B776">
        <v>233</v>
      </c>
      <c r="C776">
        <v>253</v>
      </c>
      <c r="D776">
        <v>233</v>
      </c>
      <c r="E776" s="4">
        <f t="shared" si="48"/>
        <v>1</v>
      </c>
      <c r="F776" s="4">
        <f t="shared" si="49"/>
        <v>20</v>
      </c>
      <c r="G776" s="4">
        <f t="shared" si="50"/>
        <v>7.3679750962441747E-3</v>
      </c>
      <c r="H776" s="4">
        <f t="shared" si="51"/>
        <v>400</v>
      </c>
      <c r="I776" s="5">
        <f>SQRT(SUM('p-native-multi'!$C$3:C776)/COUNTIF($A$3:A776,"&lt;&gt;0"))</f>
        <v>15.847301060571569</v>
      </c>
    </row>
    <row r="777" spans="1:9">
      <c r="A777">
        <v>775</v>
      </c>
      <c r="B777">
        <v>233</v>
      </c>
      <c r="C777">
        <v>233</v>
      </c>
      <c r="D777">
        <v>233</v>
      </c>
      <c r="E777" s="4">
        <f t="shared" si="48"/>
        <v>1</v>
      </c>
      <c r="F777" s="4">
        <f t="shared" si="49"/>
        <v>0</v>
      </c>
      <c r="G777" s="4">
        <f t="shared" si="50"/>
        <v>0</v>
      </c>
      <c r="H777" s="4">
        <f t="shared" si="51"/>
        <v>0</v>
      </c>
      <c r="I777" s="5">
        <f>SQRT(SUM('p-native-multi'!$C$3:C777)/COUNTIF($A$3:A777,"&lt;&gt;0"))</f>
        <v>15.846562667881535</v>
      </c>
    </row>
    <row r="778" spans="1:9">
      <c r="A778">
        <v>776</v>
      </c>
      <c r="B778">
        <v>233</v>
      </c>
      <c r="C778">
        <v>233</v>
      </c>
      <c r="D778">
        <v>233</v>
      </c>
      <c r="E778" s="4">
        <f t="shared" si="48"/>
        <v>1</v>
      </c>
      <c r="F778" s="4">
        <f t="shared" si="49"/>
        <v>0</v>
      </c>
      <c r="G778" s="4">
        <f t="shared" si="50"/>
        <v>0</v>
      </c>
      <c r="H778" s="4">
        <f t="shared" si="51"/>
        <v>0</v>
      </c>
      <c r="I778" s="5">
        <f>SQRT(SUM('p-native-multi'!$C$3:C778)/COUNTIF($A$3:A778,"&lt;&gt;0"))</f>
        <v>15.845826143990315</v>
      </c>
    </row>
    <row r="779" spans="1:9">
      <c r="A779">
        <v>777</v>
      </c>
      <c r="B779">
        <v>233</v>
      </c>
      <c r="C779">
        <v>233</v>
      </c>
      <c r="D779">
        <v>233</v>
      </c>
      <c r="E779" s="4">
        <f t="shared" si="48"/>
        <v>1</v>
      </c>
      <c r="F779" s="4">
        <f t="shared" si="49"/>
        <v>0</v>
      </c>
      <c r="G779" s="4">
        <f t="shared" si="50"/>
        <v>0</v>
      </c>
      <c r="H779" s="4">
        <f t="shared" si="51"/>
        <v>0</v>
      </c>
      <c r="I779" s="5">
        <f>SQRT(SUM('p-native-multi'!$C$3:C779)/COUNTIF($A$3:A779,"&lt;&gt;0"))</f>
        <v>15.845091481809881</v>
      </c>
    </row>
    <row r="780" spans="1:9">
      <c r="A780">
        <v>778</v>
      </c>
      <c r="B780">
        <v>233</v>
      </c>
      <c r="C780">
        <v>233</v>
      </c>
      <c r="D780">
        <v>233</v>
      </c>
      <c r="E780" s="4">
        <f t="shared" si="48"/>
        <v>1</v>
      </c>
      <c r="F780" s="4">
        <f t="shared" si="49"/>
        <v>0</v>
      </c>
      <c r="G780" s="4">
        <f t="shared" si="50"/>
        <v>0</v>
      </c>
      <c r="H780" s="4">
        <f t="shared" si="51"/>
        <v>0</v>
      </c>
      <c r="I780" s="5">
        <f>SQRT(SUM('p-native-multi'!$C$3:C780)/COUNTIF($A$3:A780,"&lt;&gt;0"))</f>
        <v>15.844358674288015</v>
      </c>
    </row>
    <row r="781" spans="1:9">
      <c r="A781">
        <v>779</v>
      </c>
      <c r="B781">
        <v>233</v>
      </c>
      <c r="C781">
        <v>253</v>
      </c>
      <c r="D781">
        <v>233</v>
      </c>
      <c r="E781" s="4">
        <f t="shared" si="48"/>
        <v>1</v>
      </c>
      <c r="F781" s="4">
        <f t="shared" si="49"/>
        <v>20</v>
      </c>
      <c r="G781" s="4">
        <f t="shared" si="50"/>
        <v>7.3679750962441747E-3</v>
      </c>
      <c r="H781" s="4">
        <f t="shared" si="51"/>
        <v>400</v>
      </c>
      <c r="I781" s="5">
        <f>SQRT(SUM('p-native-multi'!$C$3:C781)/COUNTIF($A$3:A781,"&lt;&gt;0"))</f>
        <v>15.844437922934025</v>
      </c>
    </row>
    <row r="782" spans="1:9">
      <c r="A782">
        <v>780</v>
      </c>
      <c r="B782">
        <v>233</v>
      </c>
      <c r="C782">
        <v>233</v>
      </c>
      <c r="D782">
        <v>233</v>
      </c>
      <c r="E782" s="4">
        <f t="shared" si="48"/>
        <v>1</v>
      </c>
      <c r="F782" s="4">
        <f t="shared" si="49"/>
        <v>0</v>
      </c>
      <c r="G782" s="4">
        <f t="shared" si="50"/>
        <v>0</v>
      </c>
      <c r="H782" s="4">
        <f t="shared" si="51"/>
        <v>0</v>
      </c>
      <c r="I782" s="5">
        <f>SQRT(SUM('p-native-multi'!$C$3:C782)/COUNTIF($A$3:A782,"&lt;&gt;0"))</f>
        <v>15.84370780224998</v>
      </c>
    </row>
    <row r="783" spans="1:9">
      <c r="A783">
        <v>781</v>
      </c>
      <c r="B783">
        <v>233</v>
      </c>
      <c r="C783">
        <v>233</v>
      </c>
      <c r="D783">
        <v>233</v>
      </c>
      <c r="E783" s="4">
        <f t="shared" si="48"/>
        <v>1</v>
      </c>
      <c r="F783" s="4">
        <f t="shared" si="49"/>
        <v>0</v>
      </c>
      <c r="G783" s="4">
        <f t="shared" si="50"/>
        <v>0</v>
      </c>
      <c r="H783" s="4">
        <f t="shared" si="51"/>
        <v>0</v>
      </c>
      <c r="I783" s="5">
        <f>SQRT(SUM('p-native-multi'!$C$3:C783)/COUNTIF($A$3:A783,"&lt;&gt;0"))</f>
        <v>15.842979517754859</v>
      </c>
    </row>
    <row r="784" spans="1:9">
      <c r="A784">
        <v>782</v>
      </c>
      <c r="B784">
        <v>233</v>
      </c>
      <c r="C784">
        <v>279</v>
      </c>
      <c r="D784">
        <v>233</v>
      </c>
      <c r="E784" s="4">
        <f t="shared" si="48"/>
        <v>1</v>
      </c>
      <c r="F784" s="4">
        <f t="shared" si="49"/>
        <v>46</v>
      </c>
      <c r="G784" s="4">
        <f t="shared" si="50"/>
        <v>3.8976588259131681E-2</v>
      </c>
      <c r="H784" s="4">
        <f t="shared" si="51"/>
        <v>2116</v>
      </c>
      <c r="I784" s="5">
        <f>SQRT(SUM('p-native-multi'!$C$3:C784)/COUNTIF($A$3:A784,"&lt;&gt;0"))</f>
        <v>15.844109493013436</v>
      </c>
    </row>
    <row r="785" spans="1:9">
      <c r="A785">
        <v>783</v>
      </c>
      <c r="B785">
        <v>233</v>
      </c>
      <c r="C785">
        <v>253</v>
      </c>
      <c r="D785">
        <v>233</v>
      </c>
      <c r="E785" s="4">
        <f t="shared" si="48"/>
        <v>1</v>
      </c>
      <c r="F785" s="4">
        <f t="shared" si="49"/>
        <v>20</v>
      </c>
      <c r="G785" s="4">
        <f t="shared" si="50"/>
        <v>7.3679750962441747E-3</v>
      </c>
      <c r="H785" s="4">
        <f t="shared" si="51"/>
        <v>400</v>
      </c>
      <c r="I785" s="5">
        <f>SQRT(SUM('p-native-multi'!$C$3:C785)/COUNTIF($A$3:A785,"&lt;&gt;0"))</f>
        <v>15.844188656294309</v>
      </c>
    </row>
    <row r="786" spans="1:9">
      <c r="A786">
        <v>784</v>
      </c>
      <c r="B786">
        <v>233</v>
      </c>
      <c r="C786">
        <v>273</v>
      </c>
      <c r="D786">
        <v>233</v>
      </c>
      <c r="E786" s="4">
        <f t="shared" si="48"/>
        <v>1</v>
      </c>
      <c r="F786" s="4">
        <f t="shared" si="49"/>
        <v>40</v>
      </c>
      <c r="G786" s="4">
        <f t="shared" si="50"/>
        <v>2.9471900384976699E-2</v>
      </c>
      <c r="H786" s="4">
        <f t="shared" si="51"/>
        <v>1600</v>
      </c>
      <c r="I786" s="5">
        <f>SQRT(SUM('p-native-multi'!$C$3:C786)/COUNTIF($A$3:A786,"&lt;&gt;0"))</f>
        <v>15.845072626233438</v>
      </c>
    </row>
    <row r="787" spans="1:9">
      <c r="A787">
        <v>785</v>
      </c>
      <c r="B787">
        <v>233</v>
      </c>
      <c r="C787">
        <v>233</v>
      </c>
      <c r="D787">
        <v>233</v>
      </c>
      <c r="E787" s="4">
        <f t="shared" si="48"/>
        <v>1</v>
      </c>
      <c r="F787" s="4">
        <f t="shared" si="49"/>
        <v>0</v>
      </c>
      <c r="G787" s="4">
        <f t="shared" si="50"/>
        <v>0</v>
      </c>
      <c r="H787" s="4">
        <f t="shared" si="51"/>
        <v>0</v>
      </c>
      <c r="I787" s="5">
        <f>SQRT(SUM('p-native-multi'!$C$3:C787)/COUNTIF($A$3:A787,"&lt;&gt;0"))</f>
        <v>15.844346376607362</v>
      </c>
    </row>
    <row r="788" spans="1:9">
      <c r="A788">
        <v>786</v>
      </c>
      <c r="B788">
        <v>233</v>
      </c>
      <c r="C788">
        <v>233</v>
      </c>
      <c r="D788">
        <v>233</v>
      </c>
      <c r="E788" s="4">
        <f t="shared" si="48"/>
        <v>1</v>
      </c>
      <c r="F788" s="4">
        <f t="shared" si="49"/>
        <v>0</v>
      </c>
      <c r="G788" s="4">
        <f t="shared" si="50"/>
        <v>0</v>
      </c>
      <c r="H788" s="4">
        <f t="shared" si="51"/>
        <v>0</v>
      </c>
      <c r="I788" s="5">
        <f>SQRT(SUM('p-native-multi'!$C$3:C788)/COUNTIF($A$3:A788,"&lt;&gt;0"))</f>
        <v>15.843621941781389</v>
      </c>
    </row>
    <row r="789" spans="1:9">
      <c r="A789">
        <v>787</v>
      </c>
      <c r="B789">
        <v>233</v>
      </c>
      <c r="C789">
        <v>253</v>
      </c>
      <c r="D789">
        <v>233</v>
      </c>
      <c r="E789" s="4">
        <f t="shared" si="48"/>
        <v>1</v>
      </c>
      <c r="F789" s="4">
        <f t="shared" si="49"/>
        <v>20</v>
      </c>
      <c r="G789" s="4">
        <f t="shared" si="50"/>
        <v>7.3679750962441747E-3</v>
      </c>
      <c r="H789" s="4">
        <f t="shared" si="51"/>
        <v>400</v>
      </c>
      <c r="I789" s="5">
        <f>SQRT(SUM('p-native-multi'!$C$3:C789)/COUNTIF($A$3:A789,"&lt;&gt;0"))</f>
        <v>15.843701324644721</v>
      </c>
    </row>
    <row r="790" spans="1:9">
      <c r="A790">
        <v>788</v>
      </c>
      <c r="B790">
        <v>233</v>
      </c>
      <c r="C790">
        <v>233</v>
      </c>
      <c r="D790">
        <v>233</v>
      </c>
      <c r="E790" s="4">
        <f t="shared" si="48"/>
        <v>1</v>
      </c>
      <c r="F790" s="4">
        <f t="shared" si="49"/>
        <v>0</v>
      </c>
      <c r="G790" s="4">
        <f t="shared" si="50"/>
        <v>0</v>
      </c>
      <c r="H790" s="4">
        <f t="shared" si="51"/>
        <v>0</v>
      </c>
      <c r="I790" s="5">
        <f>SQRT(SUM('p-native-multi'!$C$3:C790)/COUNTIF($A$3:A790,"&lt;&gt;0"))</f>
        <v>15.842979517754859</v>
      </c>
    </row>
    <row r="791" spans="1:9">
      <c r="A791">
        <v>789</v>
      </c>
      <c r="B791">
        <v>233</v>
      </c>
      <c r="C791">
        <v>233</v>
      </c>
      <c r="D791">
        <v>233</v>
      </c>
      <c r="E791" s="4">
        <f t="shared" si="48"/>
        <v>1</v>
      </c>
      <c r="F791" s="4">
        <f t="shared" si="49"/>
        <v>0</v>
      </c>
      <c r="G791" s="4">
        <f t="shared" si="50"/>
        <v>0</v>
      </c>
      <c r="H791" s="4">
        <f t="shared" si="51"/>
        <v>0</v>
      </c>
      <c r="I791" s="5">
        <f>SQRT(SUM('p-native-multi'!$C$3:C791)/COUNTIF($A$3:A791,"&lt;&gt;0"))</f>
        <v>15.842259507778147</v>
      </c>
    </row>
    <row r="792" spans="1:9">
      <c r="A792">
        <v>790</v>
      </c>
      <c r="B792">
        <v>233</v>
      </c>
      <c r="C792">
        <v>273</v>
      </c>
      <c r="D792">
        <v>233</v>
      </c>
      <c r="E792" s="4">
        <f t="shared" si="48"/>
        <v>1</v>
      </c>
      <c r="F792" s="4">
        <f t="shared" si="49"/>
        <v>40</v>
      </c>
      <c r="G792" s="4">
        <f t="shared" si="50"/>
        <v>2.9471900384976699E-2</v>
      </c>
      <c r="H792" s="4">
        <f t="shared" si="51"/>
        <v>1600</v>
      </c>
      <c r="I792" s="5">
        <f>SQRT(SUM('p-native-multi'!$C$3:C792)/COUNTIF($A$3:A792,"&lt;&gt;0"))</f>
        <v>15.843139313000414</v>
      </c>
    </row>
    <row r="793" spans="1:9">
      <c r="A793">
        <v>791</v>
      </c>
      <c r="B793">
        <v>233</v>
      </c>
      <c r="C793">
        <v>273</v>
      </c>
      <c r="D793">
        <v>233</v>
      </c>
      <c r="E793" s="4">
        <f t="shared" si="48"/>
        <v>1</v>
      </c>
      <c r="F793" s="4">
        <f t="shared" si="49"/>
        <v>40</v>
      </c>
      <c r="G793" s="4">
        <f t="shared" si="50"/>
        <v>2.9471900384976699E-2</v>
      </c>
      <c r="H793" s="4">
        <f t="shared" si="51"/>
        <v>1600</v>
      </c>
      <c r="I793" s="5">
        <f>SQRT(SUM('p-native-multi'!$C$3:C793)/COUNTIF($A$3:A793,"&lt;&gt;0"))</f>
        <v>15.844016845013835</v>
      </c>
    </row>
    <row r="794" spans="1:9">
      <c r="A794">
        <v>792</v>
      </c>
      <c r="B794">
        <v>233</v>
      </c>
      <c r="C794">
        <v>279</v>
      </c>
      <c r="D794">
        <v>233</v>
      </c>
      <c r="E794" s="4">
        <f t="shared" si="48"/>
        <v>1</v>
      </c>
      <c r="F794" s="4">
        <f t="shared" si="49"/>
        <v>46</v>
      </c>
      <c r="G794" s="4">
        <f t="shared" si="50"/>
        <v>3.8976588259131681E-2</v>
      </c>
      <c r="H794" s="4">
        <f t="shared" si="51"/>
        <v>2116</v>
      </c>
      <c r="I794" s="5">
        <f>SQRT(SUM('p-native-multi'!$C$3:C794)/COUNTIF($A$3:A794,"&lt;&gt;0"))</f>
        <v>15.845131170747115</v>
      </c>
    </row>
    <row r="795" spans="1:9">
      <c r="A795">
        <v>793</v>
      </c>
      <c r="B795">
        <v>233</v>
      </c>
      <c r="C795">
        <v>233</v>
      </c>
      <c r="D795">
        <v>233</v>
      </c>
      <c r="E795" s="4">
        <f t="shared" si="48"/>
        <v>1</v>
      </c>
      <c r="F795" s="4">
        <f t="shared" si="49"/>
        <v>0</v>
      </c>
      <c r="G795" s="4">
        <f t="shared" si="50"/>
        <v>0</v>
      </c>
      <c r="H795" s="4">
        <f t="shared" si="51"/>
        <v>0</v>
      </c>
      <c r="I795" s="5">
        <f>SQRT(SUM('p-native-multi'!$C$3:C795)/COUNTIF($A$3:A795,"&lt;&gt;0"))</f>
        <v>15.844412176717857</v>
      </c>
    </row>
    <row r="796" spans="1:9">
      <c r="A796">
        <v>794</v>
      </c>
      <c r="B796">
        <v>233</v>
      </c>
      <c r="C796">
        <v>273</v>
      </c>
      <c r="D796">
        <v>233</v>
      </c>
      <c r="E796" s="4">
        <f t="shared" si="48"/>
        <v>1</v>
      </c>
      <c r="F796" s="4">
        <f t="shared" si="49"/>
        <v>40</v>
      </c>
      <c r="G796" s="4">
        <f t="shared" si="50"/>
        <v>2.9471900384976699E-2</v>
      </c>
      <c r="H796" s="4">
        <f t="shared" si="51"/>
        <v>1600</v>
      </c>
      <c r="I796" s="5">
        <f>SQRT(SUM('p-native-multi'!$C$3:C796)/COUNTIF($A$3:A796,"&lt;&gt;0"))</f>
        <v>15.845284720033971</v>
      </c>
    </row>
    <row r="797" spans="1:9">
      <c r="A797">
        <v>795</v>
      </c>
      <c r="B797">
        <v>233</v>
      </c>
      <c r="C797">
        <v>273</v>
      </c>
      <c r="D797">
        <v>233</v>
      </c>
      <c r="E797" s="4">
        <f t="shared" si="48"/>
        <v>1</v>
      </c>
      <c r="F797" s="4">
        <f t="shared" si="49"/>
        <v>40</v>
      </c>
      <c r="G797" s="4">
        <f t="shared" si="50"/>
        <v>2.9471900384976699E-2</v>
      </c>
      <c r="H797" s="4">
        <f t="shared" si="51"/>
        <v>1600</v>
      </c>
      <c r="I797" s="5">
        <f>SQRT(SUM('p-native-multi'!$C$3:C797)/COUNTIF($A$3:A797,"&lt;&gt;0"))</f>
        <v>15.846155020408503</v>
      </c>
    </row>
    <row r="798" spans="1:9">
      <c r="A798">
        <v>796</v>
      </c>
      <c r="B798">
        <v>233</v>
      </c>
      <c r="C798">
        <v>233</v>
      </c>
      <c r="D798">
        <v>233</v>
      </c>
      <c r="E798" s="4">
        <f t="shared" si="48"/>
        <v>1</v>
      </c>
      <c r="F798" s="4">
        <f t="shared" si="49"/>
        <v>0</v>
      </c>
      <c r="G798" s="4">
        <f t="shared" si="50"/>
        <v>0</v>
      </c>
      <c r="H798" s="4">
        <f t="shared" si="51"/>
        <v>0</v>
      </c>
      <c r="I798" s="5">
        <f>SQRT(SUM('p-native-multi'!$C$3:C798)/COUNTIF($A$3:A798,"&lt;&gt;0"))</f>
        <v>15.84543749623961</v>
      </c>
    </row>
    <row r="799" spans="1:9">
      <c r="A799">
        <v>797</v>
      </c>
      <c r="B799">
        <v>233</v>
      </c>
      <c r="C799">
        <v>233</v>
      </c>
      <c r="D799">
        <v>233</v>
      </c>
      <c r="E799" s="4">
        <f t="shared" si="48"/>
        <v>1</v>
      </c>
      <c r="F799" s="4">
        <f t="shared" si="49"/>
        <v>0</v>
      </c>
      <c r="G799" s="4">
        <f t="shared" si="50"/>
        <v>0</v>
      </c>
      <c r="H799" s="4">
        <f t="shared" si="51"/>
        <v>0</v>
      </c>
      <c r="I799" s="5">
        <f>SQRT(SUM('p-native-multi'!$C$3:C799)/COUNTIF($A$3:A799,"&lt;&gt;0"))</f>
        <v>15.844721740262553</v>
      </c>
    </row>
    <row r="800" spans="1:9">
      <c r="A800">
        <v>798</v>
      </c>
      <c r="B800">
        <v>233</v>
      </c>
      <c r="C800">
        <v>233</v>
      </c>
      <c r="D800">
        <v>233</v>
      </c>
      <c r="E800" s="4">
        <f t="shared" si="48"/>
        <v>1</v>
      </c>
      <c r="F800" s="4">
        <f t="shared" si="49"/>
        <v>0</v>
      </c>
      <c r="G800" s="4">
        <f t="shared" si="50"/>
        <v>0</v>
      </c>
      <c r="H800" s="4">
        <f t="shared" si="51"/>
        <v>0</v>
      </c>
      <c r="I800" s="5">
        <f>SQRT(SUM('p-native-multi'!$C$3:C800)/COUNTIF($A$3:A800,"&lt;&gt;0"))</f>
        <v>15.844007745947176</v>
      </c>
    </row>
    <row r="801" spans="1:9">
      <c r="A801">
        <v>799</v>
      </c>
      <c r="B801">
        <v>233</v>
      </c>
      <c r="C801">
        <v>273</v>
      </c>
      <c r="D801">
        <v>233</v>
      </c>
      <c r="E801" s="4">
        <f t="shared" si="48"/>
        <v>1</v>
      </c>
      <c r="F801" s="4">
        <f t="shared" si="49"/>
        <v>40</v>
      </c>
      <c r="G801" s="4">
        <f t="shared" si="50"/>
        <v>2.9471900384976699E-2</v>
      </c>
      <c r="H801" s="4">
        <f t="shared" si="51"/>
        <v>1600</v>
      </c>
      <c r="I801" s="5">
        <f>SQRT(SUM('p-native-multi'!$C$3:C801)/COUNTIF($A$3:A801,"&lt;&gt;0"))</f>
        <v>15.844875357473386</v>
      </c>
    </row>
    <row r="802" spans="1:9">
      <c r="A802">
        <v>800</v>
      </c>
      <c r="B802">
        <v>233</v>
      </c>
      <c r="C802">
        <v>233</v>
      </c>
      <c r="D802">
        <v>233</v>
      </c>
      <c r="E802" s="4">
        <f t="shared" si="48"/>
        <v>1</v>
      </c>
      <c r="F802" s="4">
        <f t="shared" si="49"/>
        <v>0</v>
      </c>
      <c r="G802" s="4">
        <f t="shared" si="50"/>
        <v>0</v>
      </c>
      <c r="H802" s="4">
        <f t="shared" si="51"/>
        <v>0</v>
      </c>
      <c r="I802" s="5">
        <f>SQRT(SUM('p-native-multi'!$C$3:C802)/COUNTIF($A$3:A802,"&lt;&gt;0"))</f>
        <v>15.844162963059929</v>
      </c>
    </row>
    <row r="803" spans="1:9">
      <c r="A803">
        <v>801</v>
      </c>
      <c r="B803">
        <v>233</v>
      </c>
      <c r="C803">
        <v>233</v>
      </c>
      <c r="D803">
        <v>233</v>
      </c>
      <c r="E803" s="4">
        <f t="shared" si="48"/>
        <v>1</v>
      </c>
      <c r="F803" s="4">
        <f t="shared" si="49"/>
        <v>0</v>
      </c>
      <c r="G803" s="4">
        <f t="shared" si="50"/>
        <v>0</v>
      </c>
      <c r="H803" s="4">
        <f t="shared" si="51"/>
        <v>0</v>
      </c>
      <c r="I803" s="5">
        <f>SQRT(SUM('p-native-multi'!$C$3:C803)/COUNTIF($A$3:A803,"&lt;&gt;0"))</f>
        <v>15.8434523154964</v>
      </c>
    </row>
    <row r="804" spans="1:9">
      <c r="A804">
        <v>802</v>
      </c>
      <c r="B804">
        <v>233</v>
      </c>
      <c r="C804">
        <v>233</v>
      </c>
      <c r="D804">
        <v>233</v>
      </c>
      <c r="E804" s="4">
        <f t="shared" si="48"/>
        <v>1</v>
      </c>
      <c r="F804" s="4">
        <f t="shared" si="49"/>
        <v>0</v>
      </c>
      <c r="G804" s="4">
        <f t="shared" si="50"/>
        <v>0</v>
      </c>
      <c r="H804" s="4">
        <f t="shared" si="51"/>
        <v>0</v>
      </c>
      <c r="I804" s="5">
        <f>SQRT(SUM('p-native-multi'!$C$3:C804)/COUNTIF($A$3:A804,"&lt;&gt;0"))</f>
        <v>15.842743408363399</v>
      </c>
    </row>
    <row r="805" spans="1:9">
      <c r="A805">
        <v>803</v>
      </c>
      <c r="B805">
        <v>233</v>
      </c>
      <c r="C805">
        <v>233</v>
      </c>
      <c r="D805">
        <v>233</v>
      </c>
      <c r="E805" s="4">
        <f t="shared" si="48"/>
        <v>1</v>
      </c>
      <c r="F805" s="4">
        <f t="shared" si="49"/>
        <v>0</v>
      </c>
      <c r="G805" s="4">
        <f t="shared" si="50"/>
        <v>0</v>
      </c>
      <c r="H805" s="4">
        <f t="shared" si="51"/>
        <v>0</v>
      </c>
      <c r="I805" s="5">
        <f>SQRT(SUM('p-native-multi'!$C$3:C805)/COUNTIF($A$3:A805,"&lt;&gt;0"))</f>
        <v>15.84203623527295</v>
      </c>
    </row>
    <row r="806" spans="1:9">
      <c r="A806">
        <v>804</v>
      </c>
      <c r="B806">
        <v>233</v>
      </c>
      <c r="C806">
        <v>253</v>
      </c>
      <c r="D806">
        <v>233</v>
      </c>
      <c r="E806" s="4">
        <f t="shared" si="48"/>
        <v>1</v>
      </c>
      <c r="F806" s="4">
        <f t="shared" si="49"/>
        <v>20</v>
      </c>
      <c r="G806" s="4">
        <f t="shared" si="50"/>
        <v>7.3679750962441747E-3</v>
      </c>
      <c r="H806" s="4">
        <f t="shared" si="51"/>
        <v>400</v>
      </c>
      <c r="I806" s="5">
        <f>SQRT(SUM('p-native-multi'!$C$3:C806)/COUNTIF($A$3:A806,"&lt;&gt;0"))</f>
        <v>15.842115919785476</v>
      </c>
    </row>
    <row r="807" spans="1:9">
      <c r="A807">
        <v>805</v>
      </c>
      <c r="B807">
        <v>233</v>
      </c>
      <c r="C807">
        <v>233</v>
      </c>
      <c r="D807">
        <v>233</v>
      </c>
      <c r="E807" s="4">
        <f t="shared" si="48"/>
        <v>1</v>
      </c>
      <c r="F807" s="4">
        <f t="shared" si="49"/>
        <v>0</v>
      </c>
      <c r="G807" s="4">
        <f t="shared" si="50"/>
        <v>0</v>
      </c>
      <c r="H807" s="4">
        <f t="shared" si="51"/>
        <v>0</v>
      </c>
      <c r="I807" s="5">
        <f>SQRT(SUM('p-native-multi'!$C$3:C807)/COUNTIF($A$3:A807,"&lt;&gt;0"))</f>
        <v>15.841411255282978</v>
      </c>
    </row>
    <row r="808" spans="1:9">
      <c r="A808">
        <v>806</v>
      </c>
      <c r="B808">
        <v>233</v>
      </c>
      <c r="C808">
        <v>253</v>
      </c>
      <c r="D808">
        <v>233</v>
      </c>
      <c r="E808" s="4">
        <f t="shared" si="48"/>
        <v>1</v>
      </c>
      <c r="F808" s="4">
        <f t="shared" si="49"/>
        <v>20</v>
      </c>
      <c r="G808" s="4">
        <f t="shared" si="50"/>
        <v>7.3679750962441747E-3</v>
      </c>
      <c r="H808" s="4">
        <f t="shared" si="51"/>
        <v>400</v>
      </c>
      <c r="I808" s="5">
        <f>SQRT(SUM('p-native-multi'!$C$3:C808)/COUNTIF($A$3:A808,"&lt;&gt;0"))</f>
        <v>15.841491520624404</v>
      </c>
    </row>
    <row r="809" spans="1:9">
      <c r="A809">
        <v>807</v>
      </c>
      <c r="B809">
        <v>233</v>
      </c>
      <c r="C809">
        <v>233</v>
      </c>
      <c r="D809">
        <v>233</v>
      </c>
      <c r="E809" s="4">
        <f t="shared" si="48"/>
        <v>1</v>
      </c>
      <c r="F809" s="4">
        <f t="shared" si="49"/>
        <v>0</v>
      </c>
      <c r="G809" s="4">
        <f t="shared" si="50"/>
        <v>0</v>
      </c>
      <c r="H809" s="4">
        <f t="shared" si="51"/>
        <v>0</v>
      </c>
      <c r="I809" s="5">
        <f>SQRT(SUM('p-native-multi'!$C$3:C809)/COUNTIF($A$3:A809,"&lt;&gt;0"))</f>
        <v>15.840789348612422</v>
      </c>
    </row>
    <row r="810" spans="1:9">
      <c r="A810">
        <v>808</v>
      </c>
      <c r="B810">
        <v>233</v>
      </c>
      <c r="C810">
        <v>253</v>
      </c>
      <c r="D810">
        <v>233</v>
      </c>
      <c r="E810" s="4">
        <f t="shared" si="48"/>
        <v>1</v>
      </c>
      <c r="F810" s="4">
        <f t="shared" si="49"/>
        <v>20</v>
      </c>
      <c r="G810" s="4">
        <f t="shared" si="50"/>
        <v>7.3679750962441747E-3</v>
      </c>
      <c r="H810" s="4">
        <f t="shared" si="51"/>
        <v>400</v>
      </c>
      <c r="I810" s="5">
        <f>SQRT(SUM('p-native-multi'!$C$3:C810)/COUNTIF($A$3:A810,"&lt;&gt;0"))</f>
        <v>15.840870188118823</v>
      </c>
    </row>
    <row r="811" spans="1:9">
      <c r="A811">
        <v>809</v>
      </c>
      <c r="B811">
        <v>233</v>
      </c>
      <c r="C811">
        <v>233</v>
      </c>
      <c r="D811">
        <v>233</v>
      </c>
      <c r="E811" s="4">
        <f t="shared" si="48"/>
        <v>1</v>
      </c>
      <c r="F811" s="4">
        <f t="shared" si="49"/>
        <v>0</v>
      </c>
      <c r="G811" s="4">
        <f t="shared" si="50"/>
        <v>0</v>
      </c>
      <c r="H811" s="4">
        <f t="shared" si="51"/>
        <v>0</v>
      </c>
      <c r="I811" s="5">
        <f>SQRT(SUM('p-native-multi'!$C$3:C811)/COUNTIF($A$3:A811,"&lt;&gt;0"))</f>
        <v>15.840170492646029</v>
      </c>
    </row>
    <row r="812" spans="1:9">
      <c r="A812">
        <v>810</v>
      </c>
      <c r="B812">
        <v>233</v>
      </c>
      <c r="C812">
        <v>233</v>
      </c>
      <c r="D812">
        <v>233</v>
      </c>
      <c r="E812" s="4">
        <f t="shared" si="48"/>
        <v>1</v>
      </c>
      <c r="F812" s="4">
        <f t="shared" si="49"/>
        <v>0</v>
      </c>
      <c r="G812" s="4">
        <f t="shared" si="50"/>
        <v>0</v>
      </c>
      <c r="H812" s="4">
        <f t="shared" si="51"/>
        <v>0</v>
      </c>
      <c r="I812" s="5">
        <f>SQRT(SUM('p-native-multi'!$C$3:C812)/COUNTIF($A$3:A812,"&lt;&gt;0"))</f>
        <v>15.839472494022296</v>
      </c>
    </row>
    <row r="813" spans="1:9">
      <c r="A813">
        <v>811</v>
      </c>
      <c r="B813">
        <v>233</v>
      </c>
      <c r="C813">
        <v>273</v>
      </c>
      <c r="D813">
        <v>233</v>
      </c>
      <c r="E813" s="4">
        <f t="shared" si="48"/>
        <v>1</v>
      </c>
      <c r="F813" s="4">
        <f t="shared" si="49"/>
        <v>40</v>
      </c>
      <c r="G813" s="4">
        <f t="shared" si="50"/>
        <v>2.9471900384976699E-2</v>
      </c>
      <c r="H813" s="4">
        <f t="shared" si="51"/>
        <v>1600</v>
      </c>
      <c r="I813" s="5">
        <f>SQRT(SUM('p-native-multi'!$C$3:C813)/COUNTIF($A$3:A813,"&lt;&gt;0"))</f>
        <v>15.840333105640715</v>
      </c>
    </row>
    <row r="814" spans="1:9">
      <c r="A814">
        <v>812</v>
      </c>
      <c r="B814">
        <v>233</v>
      </c>
      <c r="C814">
        <v>273</v>
      </c>
      <c r="D814">
        <v>233</v>
      </c>
      <c r="E814" s="4">
        <f t="shared" si="48"/>
        <v>1</v>
      </c>
      <c r="F814" s="4">
        <f t="shared" si="49"/>
        <v>40</v>
      </c>
      <c r="G814" s="4">
        <f t="shared" si="50"/>
        <v>2.9471900384976699E-2</v>
      </c>
      <c r="H814" s="4">
        <f t="shared" si="51"/>
        <v>1600</v>
      </c>
      <c r="I814" s="5">
        <f>SQRT(SUM('p-native-multi'!$C$3:C814)/COUNTIF($A$3:A814,"&lt;&gt;0"))</f>
        <v>15.841191550943842</v>
      </c>
    </row>
    <row r="815" spans="1:9">
      <c r="A815">
        <v>813</v>
      </c>
      <c r="B815">
        <v>233</v>
      </c>
      <c r="C815">
        <v>233</v>
      </c>
      <c r="D815">
        <v>233</v>
      </c>
      <c r="E815" s="4">
        <f t="shared" si="48"/>
        <v>1</v>
      </c>
      <c r="F815" s="4">
        <f t="shared" si="49"/>
        <v>0</v>
      </c>
      <c r="G815" s="4">
        <f t="shared" si="50"/>
        <v>0</v>
      </c>
      <c r="H815" s="4">
        <f t="shared" si="51"/>
        <v>0</v>
      </c>
      <c r="I815" s="5">
        <f>SQRT(SUM('p-native-multi'!$C$3:C815)/COUNTIF($A$3:A815,"&lt;&gt;0"))</f>
        <v>15.840494916914437</v>
      </c>
    </row>
    <row r="816" spans="1:9">
      <c r="A816">
        <v>814</v>
      </c>
      <c r="B816">
        <v>233</v>
      </c>
      <c r="C816">
        <v>279</v>
      </c>
      <c r="D816">
        <v>233</v>
      </c>
      <c r="E816" s="4">
        <f t="shared" si="48"/>
        <v>1</v>
      </c>
      <c r="F816" s="4">
        <f t="shared" si="49"/>
        <v>46</v>
      </c>
      <c r="G816" s="4">
        <f t="shared" si="50"/>
        <v>3.8976588259131681E-2</v>
      </c>
      <c r="H816" s="4">
        <f t="shared" si="51"/>
        <v>2116</v>
      </c>
      <c r="I816" s="5">
        <f>SQRT(SUM('p-native-multi'!$C$3:C816)/COUNTIF($A$3:A816,"&lt;&gt;0"))</f>
        <v>15.84158369468703</v>
      </c>
    </row>
    <row r="817" spans="1:9">
      <c r="A817">
        <v>815</v>
      </c>
      <c r="B817">
        <v>233</v>
      </c>
      <c r="C817">
        <v>279</v>
      </c>
      <c r="D817">
        <v>233</v>
      </c>
      <c r="E817" s="4">
        <f t="shared" si="48"/>
        <v>1</v>
      </c>
      <c r="F817" s="4">
        <f t="shared" si="49"/>
        <v>46</v>
      </c>
      <c r="G817" s="4">
        <f t="shared" si="50"/>
        <v>3.8976588259131681E-2</v>
      </c>
      <c r="H817" s="4">
        <f t="shared" si="51"/>
        <v>2116</v>
      </c>
      <c r="I817" s="5">
        <f>SQRT(SUM('p-native-multi'!$C$3:C817)/COUNTIF($A$3:A817,"&lt;&gt;0"))</f>
        <v>15.842669726061947</v>
      </c>
    </row>
    <row r="818" spans="1:9">
      <c r="A818">
        <v>816</v>
      </c>
      <c r="B818">
        <v>233</v>
      </c>
      <c r="C818">
        <v>279</v>
      </c>
      <c r="D818">
        <v>233</v>
      </c>
      <c r="E818" s="4">
        <f t="shared" si="48"/>
        <v>1</v>
      </c>
      <c r="F818" s="4">
        <f t="shared" si="49"/>
        <v>46</v>
      </c>
      <c r="G818" s="4">
        <f t="shared" si="50"/>
        <v>3.8976588259131681E-2</v>
      </c>
      <c r="H818" s="4">
        <f t="shared" si="51"/>
        <v>2116</v>
      </c>
      <c r="I818" s="5">
        <f>SQRT(SUM('p-native-multi'!$C$3:C818)/COUNTIF($A$3:A818,"&lt;&gt;0"))</f>
        <v>15.843753021425245</v>
      </c>
    </row>
    <row r="819" spans="1:9">
      <c r="A819">
        <v>817</v>
      </c>
      <c r="B819">
        <v>233</v>
      </c>
      <c r="C819">
        <v>273</v>
      </c>
      <c r="D819">
        <v>233</v>
      </c>
      <c r="E819" s="4">
        <f t="shared" si="48"/>
        <v>1</v>
      </c>
      <c r="F819" s="4">
        <f t="shared" si="49"/>
        <v>40</v>
      </c>
      <c r="G819" s="4">
        <f t="shared" si="50"/>
        <v>2.9471900384976699E-2</v>
      </c>
      <c r="H819" s="4">
        <f t="shared" si="51"/>
        <v>1600</v>
      </c>
      <c r="I819" s="5">
        <f>SQRT(SUM('p-native-multi'!$C$3:C819)/COUNTIF($A$3:A819,"&lt;&gt;0"))</f>
        <v>15.844601843805963</v>
      </c>
    </row>
    <row r="820" spans="1:9">
      <c r="A820">
        <v>818</v>
      </c>
      <c r="B820">
        <v>233</v>
      </c>
      <c r="C820">
        <v>253</v>
      </c>
      <c r="D820">
        <v>233</v>
      </c>
      <c r="E820" s="4">
        <f t="shared" si="48"/>
        <v>1</v>
      </c>
      <c r="F820" s="4">
        <f t="shared" si="49"/>
        <v>20</v>
      </c>
      <c r="G820" s="4">
        <f t="shared" si="50"/>
        <v>7.3679750962441747E-3</v>
      </c>
      <c r="H820" s="4">
        <f t="shared" si="51"/>
        <v>400</v>
      </c>
      <c r="I820" s="5">
        <f>SQRT(SUM('p-native-multi'!$C$3:C820)/COUNTIF($A$3:A820,"&lt;&gt;0"))</f>
        <v>15.844677015674739</v>
      </c>
    </row>
    <row r="821" spans="1:9">
      <c r="A821">
        <v>819</v>
      </c>
      <c r="B821">
        <v>233</v>
      </c>
      <c r="C821">
        <v>279</v>
      </c>
      <c r="D821">
        <v>233</v>
      </c>
      <c r="E821" s="4">
        <f t="shared" si="48"/>
        <v>1</v>
      </c>
      <c r="F821" s="4">
        <f t="shared" si="49"/>
        <v>46</v>
      </c>
      <c r="G821" s="4">
        <f t="shared" si="50"/>
        <v>3.8976588259131681E-2</v>
      </c>
      <c r="H821" s="4">
        <f t="shared" si="51"/>
        <v>2116</v>
      </c>
      <c r="I821" s="5">
        <f>SQRT(SUM('p-native-multi'!$C$3:C821)/COUNTIF($A$3:A821,"&lt;&gt;0"))</f>
        <v>15.845753755751479</v>
      </c>
    </row>
    <row r="822" spans="1:9">
      <c r="A822">
        <v>820</v>
      </c>
      <c r="B822">
        <v>233</v>
      </c>
      <c r="C822">
        <v>233</v>
      </c>
      <c r="D822">
        <v>233</v>
      </c>
      <c r="E822" s="4">
        <f t="shared" si="48"/>
        <v>1</v>
      </c>
      <c r="F822" s="4">
        <f t="shared" si="49"/>
        <v>0</v>
      </c>
      <c r="G822" s="4">
        <f t="shared" si="50"/>
        <v>0</v>
      </c>
      <c r="H822" s="4">
        <f t="shared" si="51"/>
        <v>0</v>
      </c>
      <c r="I822" s="5">
        <f>SQRT(SUM('p-native-multi'!$C$3:C822)/COUNTIF($A$3:A822,"&lt;&gt;0"))</f>
        <v>15.845057704487434</v>
      </c>
    </row>
    <row r="823" spans="1:9">
      <c r="A823">
        <v>821</v>
      </c>
      <c r="B823">
        <v>233</v>
      </c>
      <c r="C823">
        <v>233</v>
      </c>
      <c r="D823">
        <v>233</v>
      </c>
      <c r="E823" s="4">
        <f t="shared" si="48"/>
        <v>1</v>
      </c>
      <c r="F823" s="4">
        <f t="shared" si="49"/>
        <v>0</v>
      </c>
      <c r="G823" s="4">
        <f t="shared" si="50"/>
        <v>0</v>
      </c>
      <c r="H823" s="4">
        <f t="shared" si="51"/>
        <v>0</v>
      </c>
      <c r="I823" s="5">
        <f>SQRT(SUM('p-native-multi'!$C$3:C823)/COUNTIF($A$3:A823,"&lt;&gt;0"))</f>
        <v>15.844363318375315</v>
      </c>
    </row>
    <row r="824" spans="1:9">
      <c r="A824">
        <v>822</v>
      </c>
      <c r="B824">
        <v>233</v>
      </c>
      <c r="C824">
        <v>253</v>
      </c>
      <c r="D824">
        <v>233</v>
      </c>
      <c r="E824" s="4">
        <f t="shared" si="48"/>
        <v>1</v>
      </c>
      <c r="F824" s="4">
        <f t="shared" si="49"/>
        <v>20</v>
      </c>
      <c r="G824" s="4">
        <f t="shared" si="50"/>
        <v>7.3679750962441747E-3</v>
      </c>
      <c r="H824" s="4">
        <f t="shared" si="51"/>
        <v>400</v>
      </c>
      <c r="I824" s="5">
        <f>SQRT(SUM('p-native-multi'!$C$3:C824)/COUNTIF($A$3:A824,"&lt;&gt;0"))</f>
        <v>15.844438415748987</v>
      </c>
    </row>
    <row r="825" spans="1:9">
      <c r="A825">
        <v>823</v>
      </c>
      <c r="B825">
        <v>233</v>
      </c>
      <c r="C825">
        <v>273</v>
      </c>
      <c r="D825">
        <v>233</v>
      </c>
      <c r="E825" s="4">
        <f t="shared" si="48"/>
        <v>1</v>
      </c>
      <c r="F825" s="4">
        <f t="shared" si="49"/>
        <v>40</v>
      </c>
      <c r="G825" s="4">
        <f t="shared" si="50"/>
        <v>2.9471900384976699E-2</v>
      </c>
      <c r="H825" s="4">
        <f t="shared" si="51"/>
        <v>1600</v>
      </c>
      <c r="I825" s="5">
        <f>SQRT(SUM('p-native-multi'!$C$3:C825)/COUNTIF($A$3:A825,"&lt;&gt;0"))</f>
        <v>15.84528018085261</v>
      </c>
    </row>
    <row r="826" spans="1:9">
      <c r="A826">
        <v>824</v>
      </c>
      <c r="B826">
        <v>233</v>
      </c>
      <c r="C826">
        <v>233</v>
      </c>
      <c r="D826">
        <v>233</v>
      </c>
      <c r="E826" s="4">
        <f t="shared" si="48"/>
        <v>1</v>
      </c>
      <c r="F826" s="4">
        <f t="shared" si="49"/>
        <v>0</v>
      </c>
      <c r="G826" s="4">
        <f t="shared" si="50"/>
        <v>0</v>
      </c>
      <c r="H826" s="4">
        <f t="shared" si="51"/>
        <v>0</v>
      </c>
      <c r="I826" s="5">
        <f>SQRT(SUM('p-native-multi'!$C$3:C826)/COUNTIF($A$3:A826,"&lt;&gt;0"))</f>
        <v>15.844588062609466</v>
      </c>
    </row>
    <row r="827" spans="1:9">
      <c r="A827">
        <v>825</v>
      </c>
      <c r="B827">
        <v>233</v>
      </c>
      <c r="C827">
        <v>233</v>
      </c>
      <c r="D827">
        <v>233</v>
      </c>
      <c r="E827" s="4">
        <f t="shared" si="48"/>
        <v>1</v>
      </c>
      <c r="F827" s="4">
        <f t="shared" si="49"/>
        <v>0</v>
      </c>
      <c r="G827" s="4">
        <f t="shared" si="50"/>
        <v>0</v>
      </c>
      <c r="H827" s="4">
        <f t="shared" si="51"/>
        <v>0</v>
      </c>
      <c r="I827" s="5">
        <f>SQRT(SUM('p-native-multi'!$C$3:C827)/COUNTIF($A$3:A827,"&lt;&gt;0"))</f>
        <v>15.843897592104378</v>
      </c>
    </row>
    <row r="828" spans="1:9">
      <c r="A828">
        <v>826</v>
      </c>
      <c r="B828">
        <v>233</v>
      </c>
      <c r="C828">
        <v>233</v>
      </c>
      <c r="D828">
        <v>233</v>
      </c>
      <c r="E828" s="4">
        <f t="shared" si="48"/>
        <v>1</v>
      </c>
      <c r="F828" s="4">
        <f t="shared" si="49"/>
        <v>0</v>
      </c>
      <c r="G828" s="4">
        <f t="shared" si="50"/>
        <v>0</v>
      </c>
      <c r="H828" s="4">
        <f t="shared" si="51"/>
        <v>0</v>
      </c>
      <c r="I828" s="5">
        <f>SQRT(SUM('p-native-multi'!$C$3:C828)/COUNTIF($A$3:A828,"&lt;&gt;0"))</f>
        <v>15.843208763458183</v>
      </c>
    </row>
    <row r="829" spans="1:9">
      <c r="A829">
        <v>827</v>
      </c>
      <c r="B829">
        <v>233</v>
      </c>
      <c r="C829">
        <v>253</v>
      </c>
      <c r="D829">
        <v>233</v>
      </c>
      <c r="E829" s="4">
        <f t="shared" si="48"/>
        <v>1</v>
      </c>
      <c r="F829" s="4">
        <f t="shared" si="49"/>
        <v>20</v>
      </c>
      <c r="G829" s="4">
        <f t="shared" si="50"/>
        <v>7.3679750962441747E-3</v>
      </c>
      <c r="H829" s="4">
        <f t="shared" si="51"/>
        <v>400</v>
      </c>
      <c r="I829" s="5">
        <f>SQRT(SUM('p-native-multi'!$C$3:C829)/COUNTIF($A$3:A829,"&lt;&gt;0"))</f>
        <v>15.843284808357843</v>
      </c>
    </row>
    <row r="830" spans="1:9">
      <c r="A830">
        <v>828</v>
      </c>
      <c r="B830">
        <v>233</v>
      </c>
      <c r="C830">
        <v>273</v>
      </c>
      <c r="D830">
        <v>233</v>
      </c>
      <c r="E830" s="4">
        <f t="shared" si="48"/>
        <v>1</v>
      </c>
      <c r="F830" s="4">
        <f t="shared" si="49"/>
        <v>40</v>
      </c>
      <c r="G830" s="4">
        <f t="shared" si="50"/>
        <v>2.9471900384976699E-2</v>
      </c>
      <c r="H830" s="4">
        <f t="shared" si="51"/>
        <v>1600</v>
      </c>
      <c r="I830" s="5">
        <f>SQRT(SUM('p-native-multi'!$C$3:C830)/COUNTIF($A$3:A830,"&lt;&gt;0"))</f>
        <v>15.844122944614448</v>
      </c>
    </row>
    <row r="831" spans="1:9">
      <c r="A831">
        <v>829</v>
      </c>
      <c r="B831">
        <v>233</v>
      </c>
      <c r="C831">
        <v>233</v>
      </c>
      <c r="D831">
        <v>233</v>
      </c>
      <c r="E831" s="4">
        <f t="shared" si="48"/>
        <v>1</v>
      </c>
      <c r="F831" s="4">
        <f t="shared" si="49"/>
        <v>0</v>
      </c>
      <c r="G831" s="4">
        <f t="shared" si="50"/>
        <v>0</v>
      </c>
      <c r="H831" s="4">
        <f t="shared" si="51"/>
        <v>0</v>
      </c>
      <c r="I831" s="5">
        <f>SQRT(SUM('p-native-multi'!$C$3:C831)/COUNTIF($A$3:A831,"&lt;&gt;0"))</f>
        <v>15.843436346683484</v>
      </c>
    </row>
    <row r="832" spans="1:9">
      <c r="A832">
        <v>830</v>
      </c>
      <c r="B832">
        <v>233</v>
      </c>
      <c r="C832">
        <v>273</v>
      </c>
      <c r="D832">
        <v>233</v>
      </c>
      <c r="E832" s="4">
        <f t="shared" si="48"/>
        <v>1</v>
      </c>
      <c r="F832" s="4">
        <f t="shared" si="49"/>
        <v>40</v>
      </c>
      <c r="G832" s="4">
        <f t="shared" si="50"/>
        <v>2.9471900384976699E-2</v>
      </c>
      <c r="H832" s="4">
        <f t="shared" si="51"/>
        <v>1600</v>
      </c>
      <c r="I832" s="5">
        <f>SQRT(SUM('p-native-multi'!$C$3:C832)/COUNTIF($A$3:A832,"&lt;&gt;0"))</f>
        <v>15.844272272825334</v>
      </c>
    </row>
    <row r="833" spans="1:9">
      <c r="A833">
        <v>831</v>
      </c>
      <c r="B833">
        <v>233</v>
      </c>
      <c r="C833">
        <v>233</v>
      </c>
      <c r="D833">
        <v>233</v>
      </c>
      <c r="E833" s="4">
        <f t="shared" si="48"/>
        <v>1</v>
      </c>
      <c r="F833" s="4">
        <f t="shared" si="49"/>
        <v>0</v>
      </c>
      <c r="G833" s="4">
        <f t="shared" si="50"/>
        <v>0</v>
      </c>
      <c r="H833" s="4">
        <f t="shared" si="51"/>
        <v>0</v>
      </c>
      <c r="I833" s="5">
        <f>SQRT(SUM('p-native-multi'!$C$3:C833)/COUNTIF($A$3:A833,"&lt;&gt;0"))</f>
        <v>15.843587154143806</v>
      </c>
    </row>
    <row r="834" spans="1:9">
      <c r="A834">
        <v>832</v>
      </c>
      <c r="B834">
        <v>233</v>
      </c>
      <c r="C834">
        <v>233</v>
      </c>
      <c r="D834">
        <v>233</v>
      </c>
      <c r="E834" s="4">
        <f t="shared" si="48"/>
        <v>1</v>
      </c>
      <c r="F834" s="4">
        <f t="shared" si="49"/>
        <v>0</v>
      </c>
      <c r="G834" s="4">
        <f t="shared" si="50"/>
        <v>0</v>
      </c>
      <c r="H834" s="4">
        <f t="shared" si="51"/>
        <v>0</v>
      </c>
      <c r="I834" s="5">
        <f>SQRT(SUM('p-native-multi'!$C$3:C834)/COUNTIF($A$3:A834,"&lt;&gt;0"))</f>
        <v>15.842903652861308</v>
      </c>
    </row>
    <row r="835" spans="1:9">
      <c r="A835">
        <v>833</v>
      </c>
      <c r="B835">
        <v>233</v>
      </c>
      <c r="C835">
        <v>279</v>
      </c>
      <c r="D835">
        <v>233</v>
      </c>
      <c r="E835" s="4">
        <f t="shared" si="48"/>
        <v>1</v>
      </c>
      <c r="F835" s="4">
        <f t="shared" si="49"/>
        <v>46</v>
      </c>
      <c r="G835" s="4">
        <f t="shared" si="50"/>
        <v>3.8976588259131681E-2</v>
      </c>
      <c r="H835" s="4">
        <f t="shared" si="51"/>
        <v>2116</v>
      </c>
      <c r="I835" s="5">
        <f>SQRT(SUM('p-native-multi'!$C$3:C835)/COUNTIF($A$3:A835,"&lt;&gt;0"))</f>
        <v>15.843964544424921</v>
      </c>
    </row>
    <row r="836" spans="1:9">
      <c r="A836">
        <v>834</v>
      </c>
      <c r="B836">
        <v>233</v>
      </c>
      <c r="C836">
        <v>253</v>
      </c>
      <c r="D836">
        <v>233</v>
      </c>
      <c r="E836" s="4">
        <f t="shared" ref="E836:E899" si="52">IF(AND(C836&lt;=B836*1.2,C836&gt;=B836*0.8),1,0)</f>
        <v>1</v>
      </c>
      <c r="F836" s="4">
        <f t="shared" ref="F836:F899" si="53">ABS(B836-C836)</f>
        <v>20</v>
      </c>
      <c r="G836" s="4">
        <f t="shared" ref="G836:G899" si="54">POWER(ABS(B836-C836)/B836,2)</f>
        <v>7.3679750962441747E-3</v>
      </c>
      <c r="H836" s="4">
        <f t="shared" ref="H836:H899" si="55">POWER(F836,2)</f>
        <v>400</v>
      </c>
      <c r="I836" s="5">
        <f>SQRT(SUM('p-native-multi'!$C$3:C836)/COUNTIF($A$3:A836,"&lt;&gt;0"))</f>
        <v>15.844039041276275</v>
      </c>
    </row>
    <row r="837" spans="1:9">
      <c r="A837">
        <v>835</v>
      </c>
      <c r="B837">
        <v>233</v>
      </c>
      <c r="C837">
        <v>273</v>
      </c>
      <c r="D837">
        <v>233</v>
      </c>
      <c r="E837" s="4">
        <f t="shared" si="52"/>
        <v>1</v>
      </c>
      <c r="F837" s="4">
        <f t="shared" si="53"/>
        <v>40</v>
      </c>
      <c r="G837" s="4">
        <f t="shared" si="54"/>
        <v>2.9471900384976699E-2</v>
      </c>
      <c r="H837" s="4">
        <f t="shared" si="55"/>
        <v>1600</v>
      </c>
      <c r="I837" s="5">
        <f>SQRT(SUM('p-native-multi'!$C$3:C837)/COUNTIF($A$3:A837,"&lt;&gt;0"))</f>
        <v>15.844869208659343</v>
      </c>
    </row>
    <row r="838" spans="1:9">
      <c r="A838">
        <v>836</v>
      </c>
      <c r="B838">
        <v>233</v>
      </c>
      <c r="C838">
        <v>233</v>
      </c>
      <c r="D838">
        <v>233</v>
      </c>
      <c r="E838" s="4">
        <f t="shared" si="52"/>
        <v>1</v>
      </c>
      <c r="F838" s="4">
        <f t="shared" si="53"/>
        <v>0</v>
      </c>
      <c r="G838" s="4">
        <f t="shared" si="54"/>
        <v>0</v>
      </c>
      <c r="H838" s="4">
        <f t="shared" si="55"/>
        <v>0</v>
      </c>
      <c r="I838" s="5">
        <f>SQRT(SUM('p-native-multi'!$C$3:C838)/COUNTIF($A$3:A838,"&lt;&gt;0"))</f>
        <v>15.844187499268044</v>
      </c>
    </row>
    <row r="839" spans="1:9">
      <c r="A839">
        <v>837</v>
      </c>
      <c r="B839">
        <v>233</v>
      </c>
      <c r="C839">
        <v>273</v>
      </c>
      <c r="D839">
        <v>233</v>
      </c>
      <c r="E839" s="4">
        <f t="shared" si="52"/>
        <v>1</v>
      </c>
      <c r="F839" s="4">
        <f t="shared" si="53"/>
        <v>40</v>
      </c>
      <c r="G839" s="4">
        <f t="shared" si="54"/>
        <v>2.9471900384976699E-2</v>
      </c>
      <c r="H839" s="4">
        <f t="shared" si="55"/>
        <v>1600</v>
      </c>
      <c r="I839" s="5">
        <f>SQRT(SUM('p-native-multi'!$C$3:C839)/COUNTIF($A$3:A839,"&lt;&gt;0"))</f>
        <v>15.845015497910763</v>
      </c>
    </row>
    <row r="840" spans="1:9">
      <c r="A840">
        <v>838</v>
      </c>
      <c r="B840">
        <v>233</v>
      </c>
      <c r="C840">
        <v>253</v>
      </c>
      <c r="D840">
        <v>233</v>
      </c>
      <c r="E840" s="4">
        <f t="shared" si="52"/>
        <v>1</v>
      </c>
      <c r="F840" s="4">
        <f t="shared" si="53"/>
        <v>20</v>
      </c>
      <c r="G840" s="4">
        <f t="shared" si="54"/>
        <v>7.3679750962441747E-3</v>
      </c>
      <c r="H840" s="4">
        <f t="shared" si="55"/>
        <v>400</v>
      </c>
      <c r="I840" s="5">
        <f>SQRT(SUM('p-native-multi'!$C$3:C840)/COUNTIF($A$3:A840,"&lt;&gt;0"))</f>
        <v>15.84508838017814</v>
      </c>
    </row>
    <row r="841" spans="1:9">
      <c r="A841">
        <v>839</v>
      </c>
      <c r="B841">
        <v>233</v>
      </c>
      <c r="C841">
        <v>233</v>
      </c>
      <c r="D841">
        <v>233</v>
      </c>
      <c r="E841" s="4">
        <f t="shared" si="52"/>
        <v>1</v>
      </c>
      <c r="F841" s="4">
        <f t="shared" si="53"/>
        <v>0</v>
      </c>
      <c r="G841" s="4">
        <f t="shared" si="54"/>
        <v>0</v>
      </c>
      <c r="H841" s="4">
        <f t="shared" si="55"/>
        <v>0</v>
      </c>
      <c r="I841" s="5">
        <f>SQRT(SUM('p-native-multi'!$C$3:C841)/COUNTIF($A$3:A841,"&lt;&gt;0"))</f>
        <v>15.844408856574699</v>
      </c>
    </row>
    <row r="842" spans="1:9">
      <c r="A842">
        <v>840</v>
      </c>
      <c r="B842">
        <v>233</v>
      </c>
      <c r="C842">
        <v>273</v>
      </c>
      <c r="D842">
        <v>233</v>
      </c>
      <c r="E842" s="4">
        <f t="shared" si="52"/>
        <v>1</v>
      </c>
      <c r="F842" s="4">
        <f t="shared" si="53"/>
        <v>40</v>
      </c>
      <c r="G842" s="4">
        <f t="shared" si="54"/>
        <v>2.9471900384976699E-2</v>
      </c>
      <c r="H842" s="4">
        <f t="shared" si="55"/>
        <v>1600</v>
      </c>
      <c r="I842" s="5">
        <f>SQRT(SUM('p-native-multi'!$C$3:C842)/COUNTIF($A$3:A842,"&lt;&gt;0"))</f>
        <v>15.845233623125555</v>
      </c>
    </row>
    <row r="843" spans="1:9">
      <c r="A843">
        <v>841</v>
      </c>
      <c r="B843">
        <v>233</v>
      </c>
      <c r="C843">
        <v>273</v>
      </c>
      <c r="D843">
        <v>233</v>
      </c>
      <c r="E843" s="4">
        <f t="shared" si="52"/>
        <v>1</v>
      </c>
      <c r="F843" s="4">
        <f t="shared" si="53"/>
        <v>40</v>
      </c>
      <c r="G843" s="4">
        <f t="shared" si="54"/>
        <v>2.9471900384976699E-2</v>
      </c>
      <c r="H843" s="4">
        <f t="shared" si="55"/>
        <v>1600</v>
      </c>
      <c r="I843" s="5">
        <f>SQRT(SUM('p-native-multi'!$C$3:C843)/COUNTIF($A$3:A843,"&lt;&gt;0"))</f>
        <v>15.846056385506509</v>
      </c>
    </row>
    <row r="844" spans="1:9">
      <c r="A844">
        <v>842</v>
      </c>
      <c r="B844">
        <v>233</v>
      </c>
      <c r="C844">
        <v>279</v>
      </c>
      <c r="D844">
        <v>233</v>
      </c>
      <c r="E844" s="4">
        <f t="shared" si="52"/>
        <v>1</v>
      </c>
      <c r="F844" s="4">
        <f t="shared" si="53"/>
        <v>46</v>
      </c>
      <c r="G844" s="4">
        <f t="shared" si="54"/>
        <v>3.8976588259131681E-2</v>
      </c>
      <c r="H844" s="4">
        <f t="shared" si="55"/>
        <v>2116</v>
      </c>
      <c r="I844" s="5">
        <f>SQRT(SUM('p-native-multi'!$C$3:C844)/COUNTIF($A$3:A844,"&lt;&gt;0"))</f>
        <v>15.847101985226393</v>
      </c>
    </row>
    <row r="845" spans="1:9">
      <c r="A845">
        <v>843</v>
      </c>
      <c r="B845">
        <v>233</v>
      </c>
      <c r="C845">
        <v>233</v>
      </c>
      <c r="D845">
        <v>233</v>
      </c>
      <c r="E845" s="4">
        <f t="shared" si="52"/>
        <v>1</v>
      </c>
      <c r="F845" s="4">
        <f t="shared" si="53"/>
        <v>0</v>
      </c>
      <c r="G845" s="4">
        <f t="shared" si="54"/>
        <v>0</v>
      </c>
      <c r="H845" s="4">
        <f t="shared" si="55"/>
        <v>0</v>
      </c>
      <c r="I845" s="5">
        <f>SQRT(SUM('p-native-multi'!$C$3:C845)/COUNTIF($A$3:A845,"&lt;&gt;0"))</f>
        <v>15.846423383371944</v>
      </c>
    </row>
    <row r="846" spans="1:9">
      <c r="A846">
        <v>844</v>
      </c>
      <c r="B846">
        <v>233</v>
      </c>
      <c r="C846">
        <v>279</v>
      </c>
      <c r="D846">
        <v>233</v>
      </c>
      <c r="E846" s="4">
        <f t="shared" si="52"/>
        <v>1</v>
      </c>
      <c r="F846" s="4">
        <f t="shared" si="53"/>
        <v>46</v>
      </c>
      <c r="G846" s="4">
        <f t="shared" si="54"/>
        <v>3.8976588259131681E-2</v>
      </c>
      <c r="H846" s="4">
        <f t="shared" si="55"/>
        <v>2116</v>
      </c>
      <c r="I846" s="5">
        <f>SQRT(SUM('p-native-multi'!$C$3:C846)/COUNTIF($A$3:A846,"&lt;&gt;0"))</f>
        <v>15.847466046494207</v>
      </c>
    </row>
    <row r="847" spans="1:9">
      <c r="A847">
        <v>845</v>
      </c>
      <c r="B847">
        <v>233</v>
      </c>
      <c r="C847">
        <v>233</v>
      </c>
      <c r="D847">
        <v>233</v>
      </c>
      <c r="E847" s="4">
        <f t="shared" si="52"/>
        <v>1</v>
      </c>
      <c r="F847" s="4">
        <f t="shared" si="53"/>
        <v>0</v>
      </c>
      <c r="G847" s="4">
        <f t="shared" si="54"/>
        <v>0</v>
      </c>
      <c r="H847" s="4">
        <f t="shared" si="55"/>
        <v>0</v>
      </c>
      <c r="I847" s="5">
        <f>SQRT(SUM('p-native-multi'!$C$3:C847)/COUNTIF($A$3:A847,"&lt;&gt;0"))</f>
        <v>15.846788635530279</v>
      </c>
    </row>
    <row r="848" spans="1:9">
      <c r="A848">
        <v>846</v>
      </c>
      <c r="B848">
        <v>233</v>
      </c>
      <c r="C848">
        <v>233</v>
      </c>
      <c r="D848">
        <v>233</v>
      </c>
      <c r="E848" s="4">
        <f t="shared" si="52"/>
        <v>1</v>
      </c>
      <c r="F848" s="4">
        <f t="shared" si="53"/>
        <v>0</v>
      </c>
      <c r="G848" s="4">
        <f t="shared" si="54"/>
        <v>0</v>
      </c>
      <c r="H848" s="4">
        <f t="shared" si="55"/>
        <v>0</v>
      </c>
      <c r="I848" s="5">
        <f>SQRT(SUM('p-native-multi'!$C$3:C848)/COUNTIF($A$3:A848,"&lt;&gt;0"))</f>
        <v>15.846112797154444</v>
      </c>
    </row>
    <row r="849" spans="1:9">
      <c r="A849">
        <v>847</v>
      </c>
      <c r="B849">
        <v>233</v>
      </c>
      <c r="C849">
        <v>253</v>
      </c>
      <c r="D849">
        <v>233</v>
      </c>
      <c r="E849" s="4">
        <f t="shared" si="52"/>
        <v>1</v>
      </c>
      <c r="F849" s="4">
        <f t="shared" si="53"/>
        <v>20</v>
      </c>
      <c r="G849" s="4">
        <f t="shared" si="54"/>
        <v>7.3679750962441747E-3</v>
      </c>
      <c r="H849" s="4">
        <f t="shared" si="55"/>
        <v>400</v>
      </c>
      <c r="I849" s="5">
        <f>SQRT(SUM('p-native-multi'!$C$3:C849)/COUNTIF($A$3:A849,"&lt;&gt;0"))</f>
        <v>15.846183604540482</v>
      </c>
    </row>
    <row r="850" spans="1:9">
      <c r="A850">
        <v>848</v>
      </c>
      <c r="B850">
        <v>233</v>
      </c>
      <c r="C850">
        <v>279</v>
      </c>
      <c r="D850">
        <v>233</v>
      </c>
      <c r="E850" s="4">
        <f t="shared" si="52"/>
        <v>1</v>
      </c>
      <c r="F850" s="4">
        <f t="shared" si="53"/>
        <v>46</v>
      </c>
      <c r="G850" s="4">
        <f t="shared" si="54"/>
        <v>3.8976588259131681E-2</v>
      </c>
      <c r="H850" s="4">
        <f t="shared" si="55"/>
        <v>2116</v>
      </c>
      <c r="I850" s="5">
        <f>SQRT(SUM('p-native-multi'!$C$3:C850)/COUNTIF($A$3:A850,"&lt;&gt;0"))</f>
        <v>15.84722164804494</v>
      </c>
    </row>
    <row r="851" spans="1:9">
      <c r="A851">
        <v>849</v>
      </c>
      <c r="B851">
        <v>233</v>
      </c>
      <c r="C851">
        <v>233</v>
      </c>
      <c r="D851">
        <v>233</v>
      </c>
      <c r="E851" s="4">
        <f t="shared" si="52"/>
        <v>1</v>
      </c>
      <c r="F851" s="4">
        <f t="shared" si="53"/>
        <v>0</v>
      </c>
      <c r="G851" s="4">
        <f t="shared" si="54"/>
        <v>0</v>
      </c>
      <c r="H851" s="4">
        <f t="shared" si="55"/>
        <v>0</v>
      </c>
      <c r="I851" s="5">
        <f>SQRT(SUM('p-native-multi'!$C$3:C851)/COUNTIF($A$3:A851,"&lt;&gt;0"))</f>
        <v>15.846547706202351</v>
      </c>
    </row>
    <row r="852" spans="1:9">
      <c r="A852">
        <v>850</v>
      </c>
      <c r="B852">
        <v>233</v>
      </c>
      <c r="C852">
        <v>233</v>
      </c>
      <c r="D852">
        <v>233</v>
      </c>
      <c r="E852" s="4">
        <f t="shared" si="52"/>
        <v>1</v>
      </c>
      <c r="F852" s="4">
        <f t="shared" si="53"/>
        <v>0</v>
      </c>
      <c r="G852" s="4">
        <f t="shared" si="54"/>
        <v>0</v>
      </c>
      <c r="H852" s="4">
        <f t="shared" si="55"/>
        <v>0</v>
      </c>
      <c r="I852" s="5">
        <f>SQRT(SUM('p-native-multi'!$C$3:C852)/COUNTIF($A$3:A852,"&lt;&gt;0"))</f>
        <v>15.845875321542902</v>
      </c>
    </row>
    <row r="853" spans="1:9">
      <c r="A853">
        <v>851</v>
      </c>
      <c r="B853">
        <v>233</v>
      </c>
      <c r="C853">
        <v>233</v>
      </c>
      <c r="D853">
        <v>233</v>
      </c>
      <c r="E853" s="4">
        <f t="shared" si="52"/>
        <v>1</v>
      </c>
      <c r="F853" s="4">
        <f t="shared" si="53"/>
        <v>0</v>
      </c>
      <c r="G853" s="4">
        <f t="shared" si="54"/>
        <v>0</v>
      </c>
      <c r="H853" s="4">
        <f t="shared" si="55"/>
        <v>0</v>
      </c>
      <c r="I853" s="5">
        <f>SQRT(SUM('p-native-multi'!$C$3:C853)/COUNTIF($A$3:A853,"&lt;&gt;0"))</f>
        <v>15.84520448867406</v>
      </c>
    </row>
    <row r="854" spans="1:9">
      <c r="A854">
        <v>852</v>
      </c>
      <c r="B854">
        <v>233</v>
      </c>
      <c r="C854">
        <v>233</v>
      </c>
      <c r="D854">
        <v>233</v>
      </c>
      <c r="E854" s="4">
        <f t="shared" si="52"/>
        <v>1</v>
      </c>
      <c r="F854" s="4">
        <f t="shared" si="53"/>
        <v>0</v>
      </c>
      <c r="G854" s="4">
        <f t="shared" si="54"/>
        <v>0</v>
      </c>
      <c r="H854" s="4">
        <f t="shared" si="55"/>
        <v>0</v>
      </c>
      <c r="I854" s="5">
        <f>SQRT(SUM('p-native-multi'!$C$3:C854)/COUNTIF($A$3:A854,"&lt;&gt;0"))</f>
        <v>15.844535202228176</v>
      </c>
    </row>
    <row r="855" spans="1:9">
      <c r="A855">
        <v>853</v>
      </c>
      <c r="B855">
        <v>233</v>
      </c>
      <c r="C855">
        <v>273</v>
      </c>
      <c r="D855">
        <v>233</v>
      </c>
      <c r="E855" s="4">
        <f t="shared" si="52"/>
        <v>1</v>
      </c>
      <c r="F855" s="4">
        <f t="shared" si="53"/>
        <v>40</v>
      </c>
      <c r="G855" s="4">
        <f t="shared" si="54"/>
        <v>2.9471900384976699E-2</v>
      </c>
      <c r="H855" s="4">
        <f t="shared" si="55"/>
        <v>1600</v>
      </c>
      <c r="I855" s="5">
        <f>SQRT(SUM('p-native-multi'!$C$3:C855)/COUNTIF($A$3:A855,"&lt;&gt;0"))</f>
        <v>15.84534724480103</v>
      </c>
    </row>
    <row r="856" spans="1:9">
      <c r="A856">
        <v>854</v>
      </c>
      <c r="B856">
        <v>233</v>
      </c>
      <c r="C856">
        <v>233</v>
      </c>
      <c r="D856">
        <v>233</v>
      </c>
      <c r="E856" s="4">
        <f t="shared" si="52"/>
        <v>1</v>
      </c>
      <c r="F856" s="4">
        <f t="shared" si="53"/>
        <v>0</v>
      </c>
      <c r="G856" s="4">
        <f t="shared" si="54"/>
        <v>0</v>
      </c>
      <c r="H856" s="4">
        <f t="shared" si="55"/>
        <v>0</v>
      </c>
      <c r="I856" s="5">
        <f>SQRT(SUM('p-native-multi'!$C$3:C856)/COUNTIF($A$3:A856,"&lt;&gt;0"))</f>
        <v>15.844679364651665</v>
      </c>
    </row>
    <row r="857" spans="1:9">
      <c r="A857">
        <v>855</v>
      </c>
      <c r="B857">
        <v>233</v>
      </c>
      <c r="C857">
        <v>253</v>
      </c>
      <c r="D857">
        <v>233</v>
      </c>
      <c r="E857" s="4">
        <f t="shared" si="52"/>
        <v>1</v>
      </c>
      <c r="F857" s="4">
        <f t="shared" si="53"/>
        <v>20</v>
      </c>
      <c r="G857" s="4">
        <f t="shared" si="54"/>
        <v>7.3679750962441747E-3</v>
      </c>
      <c r="H857" s="4">
        <f t="shared" si="55"/>
        <v>400</v>
      </c>
      <c r="I857" s="5">
        <f>SQRT(SUM('p-native-multi'!$C$3:C857)/COUNTIF($A$3:A857,"&lt;&gt;0"))</f>
        <v>15.844751192457306</v>
      </c>
    </row>
    <row r="858" spans="1:9">
      <c r="A858">
        <v>856</v>
      </c>
      <c r="B858">
        <v>233</v>
      </c>
      <c r="C858">
        <v>233</v>
      </c>
      <c r="D858">
        <v>233</v>
      </c>
      <c r="E858" s="4">
        <f t="shared" si="52"/>
        <v>1</v>
      </c>
      <c r="F858" s="4">
        <f t="shared" si="53"/>
        <v>0</v>
      </c>
      <c r="G858" s="4">
        <f t="shared" si="54"/>
        <v>0</v>
      </c>
      <c r="H858" s="4">
        <f t="shared" si="55"/>
        <v>0</v>
      </c>
      <c r="I858" s="5">
        <f>SQRT(SUM('p-native-multi'!$C$3:C858)/COUNTIF($A$3:A858,"&lt;&gt;0"))</f>
        <v>15.844085544106733</v>
      </c>
    </row>
    <row r="859" spans="1:9">
      <c r="A859">
        <v>857</v>
      </c>
      <c r="B859">
        <v>233</v>
      </c>
      <c r="C859">
        <v>279</v>
      </c>
      <c r="D859">
        <v>233</v>
      </c>
      <c r="E859" s="4">
        <f t="shared" si="52"/>
        <v>1</v>
      </c>
      <c r="F859" s="4">
        <f t="shared" si="53"/>
        <v>46</v>
      </c>
      <c r="G859" s="4">
        <f t="shared" si="54"/>
        <v>3.8976588259131681E-2</v>
      </c>
      <c r="H859" s="4">
        <f t="shared" si="55"/>
        <v>2116</v>
      </c>
      <c r="I859" s="5">
        <f>SQRT(SUM('p-native-multi'!$C$3:C859)/COUNTIF($A$3:A859,"&lt;&gt;0"))</f>
        <v>15.845115270843705</v>
      </c>
    </row>
    <row r="860" spans="1:9">
      <c r="A860">
        <v>858</v>
      </c>
      <c r="B860">
        <v>233</v>
      </c>
      <c r="C860">
        <v>279</v>
      </c>
      <c r="D860">
        <v>233</v>
      </c>
      <c r="E860" s="4">
        <f t="shared" si="52"/>
        <v>1</v>
      </c>
      <c r="F860" s="4">
        <f t="shared" si="53"/>
        <v>46</v>
      </c>
      <c r="G860" s="4">
        <f t="shared" si="54"/>
        <v>3.8976588259131681E-2</v>
      </c>
      <c r="H860" s="4">
        <f t="shared" si="55"/>
        <v>2116</v>
      </c>
      <c r="I860" s="5">
        <f>SQRT(SUM('p-native-multi'!$C$3:C860)/COUNTIF($A$3:A860,"&lt;&gt;0"))</f>
        <v>15.84614253060451</v>
      </c>
    </row>
    <row r="861" spans="1:9">
      <c r="A861">
        <v>859</v>
      </c>
      <c r="B861">
        <v>233</v>
      </c>
      <c r="C861">
        <v>273</v>
      </c>
      <c r="D861">
        <v>233</v>
      </c>
      <c r="E861" s="4">
        <f t="shared" si="52"/>
        <v>1</v>
      </c>
      <c r="F861" s="4">
        <f t="shared" si="53"/>
        <v>40</v>
      </c>
      <c r="G861" s="4">
        <f t="shared" si="54"/>
        <v>2.9471900384976699E-2</v>
      </c>
      <c r="H861" s="4">
        <f t="shared" si="55"/>
        <v>1600</v>
      </c>
      <c r="I861" s="5">
        <f>SQRT(SUM('p-native-multi'!$C$3:C861)/COUNTIF($A$3:A861,"&lt;&gt;0"))</f>
        <v>15.846946948551988</v>
      </c>
    </row>
    <row r="862" spans="1:9">
      <c r="A862">
        <v>860</v>
      </c>
      <c r="B862">
        <v>233</v>
      </c>
      <c r="C862">
        <v>253</v>
      </c>
      <c r="D862">
        <v>233</v>
      </c>
      <c r="E862" s="4">
        <f t="shared" si="52"/>
        <v>1</v>
      </c>
      <c r="F862" s="4">
        <f t="shared" si="53"/>
        <v>20</v>
      </c>
      <c r="G862" s="4">
        <f t="shared" si="54"/>
        <v>7.3679750962441747E-3</v>
      </c>
      <c r="H862" s="4">
        <f t="shared" si="55"/>
        <v>400</v>
      </c>
      <c r="I862" s="5">
        <f>SQRT(SUM('p-native-multi'!$C$3:C862)/COUNTIF($A$3:A862,"&lt;&gt;0"))</f>
        <v>15.847015712011652</v>
      </c>
    </row>
    <row r="863" spans="1:9">
      <c r="A863">
        <v>861</v>
      </c>
      <c r="B863">
        <v>233</v>
      </c>
      <c r="C863">
        <v>253</v>
      </c>
      <c r="D863">
        <v>233</v>
      </c>
      <c r="E863" s="4">
        <f t="shared" si="52"/>
        <v>1</v>
      </c>
      <c r="F863" s="4">
        <f t="shared" si="53"/>
        <v>20</v>
      </c>
      <c r="G863" s="4">
        <f t="shared" si="54"/>
        <v>7.3679750962441747E-3</v>
      </c>
      <c r="H863" s="4">
        <f t="shared" si="55"/>
        <v>400</v>
      </c>
      <c r="I863" s="5">
        <f>SQRT(SUM('p-native-multi'!$C$3:C863)/COUNTIF($A$3:A863,"&lt;&gt;0"))</f>
        <v>15.847084315444686</v>
      </c>
    </row>
    <row r="864" spans="1:9">
      <c r="A864">
        <v>862</v>
      </c>
      <c r="B864">
        <v>233</v>
      </c>
      <c r="C864">
        <v>233</v>
      </c>
      <c r="D864">
        <v>233</v>
      </c>
      <c r="E864" s="4">
        <f t="shared" si="52"/>
        <v>1</v>
      </c>
      <c r="F864" s="4">
        <f t="shared" si="53"/>
        <v>0</v>
      </c>
      <c r="G864" s="4">
        <f t="shared" si="54"/>
        <v>0</v>
      </c>
      <c r="H864" s="4">
        <f t="shared" si="55"/>
        <v>0</v>
      </c>
      <c r="I864" s="5">
        <f>SQRT(SUM('p-native-multi'!$C$3:C864)/COUNTIF($A$3:A864,"&lt;&gt;0"))</f>
        <v>15.846420691244376</v>
      </c>
    </row>
    <row r="865" spans="1:9">
      <c r="A865">
        <v>863</v>
      </c>
      <c r="B865">
        <v>233</v>
      </c>
      <c r="C865">
        <v>273</v>
      </c>
      <c r="D865">
        <v>233</v>
      </c>
      <c r="E865" s="4">
        <f t="shared" si="52"/>
        <v>1</v>
      </c>
      <c r="F865" s="4">
        <f t="shared" si="53"/>
        <v>40</v>
      </c>
      <c r="G865" s="4">
        <f t="shared" si="54"/>
        <v>2.9471900384976699E-2</v>
      </c>
      <c r="H865" s="4">
        <f t="shared" si="55"/>
        <v>1600</v>
      </c>
      <c r="I865" s="5">
        <f>SQRT(SUM('p-native-multi'!$C$3:C865)/COUNTIF($A$3:A865,"&lt;&gt;0"))</f>
        <v>15.847221044460175</v>
      </c>
    </row>
    <row r="866" spans="1:9">
      <c r="A866">
        <v>864</v>
      </c>
      <c r="B866">
        <v>233</v>
      </c>
      <c r="C866">
        <v>273</v>
      </c>
      <c r="D866">
        <v>233</v>
      </c>
      <c r="E866" s="4">
        <f t="shared" si="52"/>
        <v>1</v>
      </c>
      <c r="F866" s="4">
        <f t="shared" si="53"/>
        <v>40</v>
      </c>
      <c r="G866" s="4">
        <f t="shared" si="54"/>
        <v>2.9471900384976699E-2</v>
      </c>
      <c r="H866" s="4">
        <f t="shared" si="55"/>
        <v>1600</v>
      </c>
      <c r="I866" s="5">
        <f>SQRT(SUM('p-native-multi'!$C$3:C866)/COUNTIF($A$3:A866,"&lt;&gt;0"))</f>
        <v>15.848019504727468</v>
      </c>
    </row>
    <row r="867" spans="1:9">
      <c r="A867">
        <v>865</v>
      </c>
      <c r="B867">
        <v>233</v>
      </c>
      <c r="C867">
        <v>279</v>
      </c>
      <c r="D867">
        <v>233</v>
      </c>
      <c r="E867" s="4">
        <f t="shared" si="52"/>
        <v>1</v>
      </c>
      <c r="F867" s="4">
        <f t="shared" si="53"/>
        <v>46</v>
      </c>
      <c r="G867" s="4">
        <f t="shared" si="54"/>
        <v>3.8976588259131681E-2</v>
      </c>
      <c r="H867" s="4">
        <f t="shared" si="55"/>
        <v>2116</v>
      </c>
      <c r="I867" s="5">
        <f>SQRT(SUM('p-native-multi'!$C$3:C867)/COUNTIF($A$3:A867,"&lt;&gt;0"))</f>
        <v>15.849034907982595</v>
      </c>
    </row>
    <row r="868" spans="1:9">
      <c r="A868">
        <v>866</v>
      </c>
      <c r="B868">
        <v>233</v>
      </c>
      <c r="C868">
        <v>279</v>
      </c>
      <c r="D868">
        <v>233</v>
      </c>
      <c r="E868" s="4">
        <f t="shared" si="52"/>
        <v>1</v>
      </c>
      <c r="F868" s="4">
        <f t="shared" si="53"/>
        <v>46</v>
      </c>
      <c r="G868" s="4">
        <f t="shared" si="54"/>
        <v>3.8976588259131681E-2</v>
      </c>
      <c r="H868" s="4">
        <f t="shared" si="55"/>
        <v>2116</v>
      </c>
      <c r="I868" s="5">
        <f>SQRT(SUM('p-native-multi'!$C$3:C868)/COUNTIF($A$3:A868,"&lt;&gt;0"))</f>
        <v>15.850047901370852</v>
      </c>
    </row>
    <row r="869" spans="1:9">
      <c r="A869">
        <v>867</v>
      </c>
      <c r="B869">
        <v>233</v>
      </c>
      <c r="C869">
        <v>233</v>
      </c>
      <c r="D869">
        <v>233</v>
      </c>
      <c r="E869" s="4">
        <f t="shared" si="52"/>
        <v>1</v>
      </c>
      <c r="F869" s="4">
        <f t="shared" si="53"/>
        <v>0</v>
      </c>
      <c r="G869" s="4">
        <f t="shared" si="54"/>
        <v>0</v>
      </c>
      <c r="H869" s="4">
        <f t="shared" si="55"/>
        <v>0</v>
      </c>
      <c r="I869" s="5">
        <f>SQRT(SUM('p-native-multi'!$C$3:C869)/COUNTIF($A$3:A869,"&lt;&gt;0"))</f>
        <v>15.849384809720453</v>
      </c>
    </row>
    <row r="870" spans="1:9">
      <c r="A870">
        <v>868</v>
      </c>
      <c r="B870">
        <v>233</v>
      </c>
      <c r="C870">
        <v>233</v>
      </c>
      <c r="D870">
        <v>233</v>
      </c>
      <c r="E870" s="4">
        <f t="shared" si="52"/>
        <v>1</v>
      </c>
      <c r="F870" s="4">
        <f t="shared" si="53"/>
        <v>0</v>
      </c>
      <c r="G870" s="4">
        <f t="shared" si="54"/>
        <v>0</v>
      </c>
      <c r="H870" s="4">
        <f t="shared" si="55"/>
        <v>0</v>
      </c>
      <c r="I870" s="5">
        <f>SQRT(SUM('p-native-multi'!$C$3:C870)/COUNTIF($A$3:A870,"&lt;&gt;0"))</f>
        <v>15.848723218283849</v>
      </c>
    </row>
    <row r="871" spans="1:9">
      <c r="A871">
        <v>869</v>
      </c>
      <c r="B871">
        <v>233</v>
      </c>
      <c r="C871">
        <v>233</v>
      </c>
      <c r="D871">
        <v>233</v>
      </c>
      <c r="E871" s="4">
        <f t="shared" si="52"/>
        <v>1</v>
      </c>
      <c r="F871" s="4">
        <f t="shared" si="53"/>
        <v>0</v>
      </c>
      <c r="G871" s="4">
        <f t="shared" si="54"/>
        <v>0</v>
      </c>
      <c r="H871" s="4">
        <f t="shared" si="55"/>
        <v>0</v>
      </c>
      <c r="I871" s="5">
        <f>SQRT(SUM('p-native-multi'!$C$3:C871)/COUNTIF($A$3:A871,"&lt;&gt;0"))</f>
        <v>15.848063121973825</v>
      </c>
    </row>
    <row r="872" spans="1:9">
      <c r="A872">
        <v>870</v>
      </c>
      <c r="B872">
        <v>233</v>
      </c>
      <c r="C872">
        <v>253</v>
      </c>
      <c r="D872">
        <v>233</v>
      </c>
      <c r="E872" s="4">
        <f t="shared" si="52"/>
        <v>1</v>
      </c>
      <c r="F872" s="4">
        <f t="shared" si="53"/>
        <v>20</v>
      </c>
      <c r="G872" s="4">
        <f t="shared" si="54"/>
        <v>7.3679750962441747E-3</v>
      </c>
      <c r="H872" s="4">
        <f t="shared" si="55"/>
        <v>400</v>
      </c>
      <c r="I872" s="5">
        <f>SQRT(SUM('p-native-multi'!$C$3:C872)/COUNTIF($A$3:A872,"&lt;&gt;0"))</f>
        <v>15.848129807355964</v>
      </c>
    </row>
    <row r="873" spans="1:9">
      <c r="A873">
        <v>871</v>
      </c>
      <c r="B873">
        <v>233</v>
      </c>
      <c r="C873">
        <v>253</v>
      </c>
      <c r="D873">
        <v>233</v>
      </c>
      <c r="E873" s="4">
        <f t="shared" si="52"/>
        <v>1</v>
      </c>
      <c r="F873" s="4">
        <f t="shared" si="53"/>
        <v>20</v>
      </c>
      <c r="G873" s="4">
        <f t="shared" si="54"/>
        <v>7.3679750962441747E-3</v>
      </c>
      <c r="H873" s="4">
        <f t="shared" si="55"/>
        <v>400</v>
      </c>
      <c r="I873" s="5">
        <f>SQRT(SUM('p-native-multi'!$C$3:C873)/COUNTIF($A$3:A873,"&lt;&gt;0"))</f>
        <v>15.848196339334748</v>
      </c>
    </row>
    <row r="874" spans="1:9">
      <c r="A874">
        <v>872</v>
      </c>
      <c r="B874">
        <v>233</v>
      </c>
      <c r="C874">
        <v>233</v>
      </c>
      <c r="D874">
        <v>233</v>
      </c>
      <c r="E874" s="4">
        <f t="shared" si="52"/>
        <v>1</v>
      </c>
      <c r="F874" s="4">
        <f t="shared" si="53"/>
        <v>0</v>
      </c>
      <c r="G874" s="4">
        <f t="shared" si="54"/>
        <v>0</v>
      </c>
      <c r="H874" s="4">
        <f t="shared" si="55"/>
        <v>0</v>
      </c>
      <c r="I874" s="5">
        <f>SQRT(SUM('p-native-multi'!$C$3:C874)/COUNTIF($A$3:A874,"&lt;&gt;0"))</f>
        <v>15.847539096428948</v>
      </c>
    </row>
    <row r="875" spans="1:9">
      <c r="A875">
        <v>873</v>
      </c>
      <c r="B875">
        <v>233</v>
      </c>
      <c r="C875">
        <v>279</v>
      </c>
      <c r="D875">
        <v>233</v>
      </c>
      <c r="E875" s="4">
        <f t="shared" si="52"/>
        <v>1</v>
      </c>
      <c r="F875" s="4">
        <f t="shared" si="53"/>
        <v>46</v>
      </c>
      <c r="G875" s="4">
        <f t="shared" si="54"/>
        <v>3.8976588259131681E-2</v>
      </c>
      <c r="H875" s="4">
        <f t="shared" si="55"/>
        <v>2116</v>
      </c>
      <c r="I875" s="5">
        <f>SQRT(SUM('p-native-multi'!$C$3:C875)/COUNTIF($A$3:A875,"&lt;&gt;0"))</f>
        <v>15.848545775790631</v>
      </c>
    </row>
    <row r="876" spans="1:9">
      <c r="A876">
        <v>874</v>
      </c>
      <c r="B876">
        <v>233</v>
      </c>
      <c r="C876">
        <v>233</v>
      </c>
      <c r="D876">
        <v>233</v>
      </c>
      <c r="E876" s="4">
        <f t="shared" si="52"/>
        <v>1</v>
      </c>
      <c r="F876" s="4">
        <f t="shared" si="53"/>
        <v>0</v>
      </c>
      <c r="G876" s="4">
        <f t="shared" si="54"/>
        <v>0</v>
      </c>
      <c r="H876" s="4">
        <f t="shared" si="55"/>
        <v>0</v>
      </c>
      <c r="I876" s="5">
        <f>SQRT(SUM('p-native-multi'!$C$3:C876)/COUNTIF($A$3:A876,"&lt;&gt;0"))</f>
        <v>15.847889651537919</v>
      </c>
    </row>
    <row r="877" spans="1:9">
      <c r="A877">
        <v>875</v>
      </c>
      <c r="B877">
        <v>233</v>
      </c>
      <c r="C877">
        <v>253</v>
      </c>
      <c r="D877">
        <v>233</v>
      </c>
      <c r="E877" s="4">
        <f t="shared" si="52"/>
        <v>1</v>
      </c>
      <c r="F877" s="4">
        <f t="shared" si="53"/>
        <v>20</v>
      </c>
      <c r="G877" s="4">
        <f t="shared" si="54"/>
        <v>7.3679750962441747E-3</v>
      </c>
      <c r="H877" s="4">
        <f t="shared" si="55"/>
        <v>400</v>
      </c>
      <c r="I877" s="5">
        <f>SQRT(SUM('p-native-multi'!$C$3:C877)/COUNTIF($A$3:A877,"&lt;&gt;0"))</f>
        <v>15.847956154839471</v>
      </c>
    </row>
    <row r="878" spans="1:9">
      <c r="A878">
        <v>876</v>
      </c>
      <c r="B878">
        <v>233</v>
      </c>
      <c r="C878">
        <v>233</v>
      </c>
      <c r="D878">
        <v>233</v>
      </c>
      <c r="E878" s="4">
        <f t="shared" si="52"/>
        <v>1</v>
      </c>
      <c r="F878" s="4">
        <f t="shared" si="53"/>
        <v>0</v>
      </c>
      <c r="G878" s="4">
        <f t="shared" si="54"/>
        <v>0</v>
      </c>
      <c r="H878" s="4">
        <f t="shared" si="55"/>
        <v>0</v>
      </c>
      <c r="I878" s="5">
        <f>SQRT(SUM('p-native-multi'!$C$3:C878)/COUNTIF($A$3:A878,"&lt;&gt;0"))</f>
        <v>15.847302177385584</v>
      </c>
    </row>
    <row r="879" spans="1:9">
      <c r="A879">
        <v>877</v>
      </c>
      <c r="B879">
        <v>233</v>
      </c>
      <c r="C879">
        <v>233</v>
      </c>
      <c r="D879">
        <v>233</v>
      </c>
      <c r="E879" s="4">
        <f t="shared" si="52"/>
        <v>1</v>
      </c>
      <c r="F879" s="4">
        <f t="shared" si="53"/>
        <v>0</v>
      </c>
      <c r="G879" s="4">
        <f t="shared" si="54"/>
        <v>0</v>
      </c>
      <c r="H879" s="4">
        <f t="shared" si="55"/>
        <v>0</v>
      </c>
      <c r="I879" s="5">
        <f>SQRT(SUM('p-native-multi'!$C$3:C879)/COUNTIF($A$3:A879,"&lt;&gt;0"))</f>
        <v>15.84664966443157</v>
      </c>
    </row>
    <row r="880" spans="1:9">
      <c r="A880">
        <v>878</v>
      </c>
      <c r="B880">
        <v>233</v>
      </c>
      <c r="C880">
        <v>279</v>
      </c>
      <c r="D880">
        <v>233</v>
      </c>
      <c r="E880" s="4">
        <f t="shared" si="52"/>
        <v>1</v>
      </c>
      <c r="F880" s="4">
        <f t="shared" si="53"/>
        <v>46</v>
      </c>
      <c r="G880" s="4">
        <f t="shared" si="54"/>
        <v>3.8976588259131681E-2</v>
      </c>
      <c r="H880" s="4">
        <f t="shared" si="55"/>
        <v>2116</v>
      </c>
      <c r="I880" s="5">
        <f>SQRT(SUM('p-native-multi'!$C$3:C880)/COUNTIF($A$3:A880,"&lt;&gt;0"))</f>
        <v>15.847651680338043</v>
      </c>
    </row>
    <row r="881" spans="1:9">
      <c r="A881">
        <v>879</v>
      </c>
      <c r="B881">
        <v>233</v>
      </c>
      <c r="C881">
        <v>273</v>
      </c>
      <c r="D881">
        <v>233</v>
      </c>
      <c r="E881" s="4">
        <f t="shared" si="52"/>
        <v>1</v>
      </c>
      <c r="F881" s="4">
        <f t="shared" si="53"/>
        <v>40</v>
      </c>
      <c r="G881" s="4">
        <f t="shared" si="54"/>
        <v>2.9471900384976699E-2</v>
      </c>
      <c r="H881" s="4">
        <f t="shared" si="55"/>
        <v>1600</v>
      </c>
      <c r="I881" s="5">
        <f>SQRT(SUM('p-native-multi'!$C$3:C881)/COUNTIF($A$3:A881,"&lt;&gt;0"))</f>
        <v>15.848436004130482</v>
      </c>
    </row>
    <row r="882" spans="1:9">
      <c r="A882">
        <v>880</v>
      </c>
      <c r="B882">
        <v>233</v>
      </c>
      <c r="C882">
        <v>233</v>
      </c>
      <c r="D882">
        <v>233</v>
      </c>
      <c r="E882" s="4">
        <f t="shared" si="52"/>
        <v>1</v>
      </c>
      <c r="F882" s="4">
        <f t="shared" si="53"/>
        <v>0</v>
      </c>
      <c r="G882" s="4">
        <f t="shared" si="54"/>
        <v>0</v>
      </c>
      <c r="H882" s="4">
        <f t="shared" si="55"/>
        <v>0</v>
      </c>
      <c r="I882" s="5">
        <f>SQRT(SUM('p-native-multi'!$C$3:C882)/COUNTIF($A$3:A882,"&lt;&gt;0"))</f>
        <v>15.847784473776539</v>
      </c>
    </row>
    <row r="883" spans="1:9">
      <c r="A883">
        <v>881</v>
      </c>
      <c r="B883">
        <v>233</v>
      </c>
      <c r="C883">
        <v>233</v>
      </c>
      <c r="D883">
        <v>233</v>
      </c>
      <c r="E883" s="4">
        <f t="shared" si="52"/>
        <v>1</v>
      </c>
      <c r="F883" s="4">
        <f t="shared" si="53"/>
        <v>0</v>
      </c>
      <c r="G883" s="4">
        <f t="shared" si="54"/>
        <v>0</v>
      </c>
      <c r="H883" s="4">
        <f t="shared" si="55"/>
        <v>0</v>
      </c>
      <c r="I883" s="5">
        <f>SQRT(SUM('p-native-multi'!$C$3:C883)/COUNTIF($A$3:A883,"&lt;&gt;0"))</f>
        <v>15.847134395797125</v>
      </c>
    </row>
    <row r="884" spans="1:9">
      <c r="A884">
        <v>882</v>
      </c>
      <c r="B884">
        <v>233</v>
      </c>
      <c r="C884">
        <v>233</v>
      </c>
      <c r="D884">
        <v>233</v>
      </c>
      <c r="E884" s="4">
        <f t="shared" si="52"/>
        <v>1</v>
      </c>
      <c r="F884" s="4">
        <f t="shared" si="53"/>
        <v>0</v>
      </c>
      <c r="G884" s="4">
        <f t="shared" si="54"/>
        <v>0</v>
      </c>
      <c r="H884" s="4">
        <f t="shared" si="55"/>
        <v>0</v>
      </c>
      <c r="I884" s="5">
        <f>SQRT(SUM('p-native-multi'!$C$3:C884)/COUNTIF($A$3:A884,"&lt;&gt;0"))</f>
        <v>15.846485765339617</v>
      </c>
    </row>
    <row r="885" spans="1:9">
      <c r="A885">
        <v>883</v>
      </c>
      <c r="B885">
        <v>233</v>
      </c>
      <c r="C885">
        <v>273</v>
      </c>
      <c r="D885">
        <v>233</v>
      </c>
      <c r="E885" s="4">
        <f t="shared" si="52"/>
        <v>1</v>
      </c>
      <c r="F885" s="4">
        <f t="shared" si="53"/>
        <v>40</v>
      </c>
      <c r="G885" s="4">
        <f t="shared" si="54"/>
        <v>2.9471900384976699E-2</v>
      </c>
      <c r="H885" s="4">
        <f t="shared" si="55"/>
        <v>1600</v>
      </c>
      <c r="I885" s="5">
        <f>SQRT(SUM('p-native-multi'!$C$3:C885)/COUNTIF($A$3:A885,"&lt;&gt;0"))</f>
        <v>15.847267914052278</v>
      </c>
    </row>
    <row r="886" spans="1:9">
      <c r="A886">
        <v>884</v>
      </c>
      <c r="B886">
        <v>233</v>
      </c>
      <c r="C886">
        <v>253</v>
      </c>
      <c r="D886">
        <v>233</v>
      </c>
      <c r="E886" s="4">
        <f t="shared" si="52"/>
        <v>1</v>
      </c>
      <c r="F886" s="4">
        <f t="shared" si="53"/>
        <v>20</v>
      </c>
      <c r="G886" s="4">
        <f t="shared" si="54"/>
        <v>7.3679750962441747E-3</v>
      </c>
      <c r="H886" s="4">
        <f t="shared" si="55"/>
        <v>400</v>
      </c>
      <c r="I886" s="5">
        <f>SQRT(SUM('p-native-multi'!$C$3:C886)/COUNTIF($A$3:A886,"&lt;&gt;0"))</f>
        <v>15.847334446201788</v>
      </c>
    </row>
    <row r="887" spans="1:9">
      <c r="A887">
        <v>885</v>
      </c>
      <c r="B887">
        <v>233</v>
      </c>
      <c r="C887">
        <v>273</v>
      </c>
      <c r="D887">
        <v>233</v>
      </c>
      <c r="E887" s="4">
        <f t="shared" si="52"/>
        <v>1</v>
      </c>
      <c r="F887" s="4">
        <f t="shared" si="53"/>
        <v>40</v>
      </c>
      <c r="G887" s="4">
        <f t="shared" si="54"/>
        <v>2.9471900384976699E-2</v>
      </c>
      <c r="H887" s="4">
        <f t="shared" si="55"/>
        <v>1600</v>
      </c>
      <c r="I887" s="5">
        <f>SQRT(SUM('p-native-multi'!$C$3:C887)/COUNTIF($A$3:A887,"&lt;&gt;0"))</f>
        <v>15.848113826711581</v>
      </c>
    </row>
    <row r="888" spans="1:9">
      <c r="A888">
        <v>886</v>
      </c>
      <c r="B888">
        <v>233</v>
      </c>
      <c r="C888">
        <v>233</v>
      </c>
      <c r="D888">
        <v>233</v>
      </c>
      <c r="E888" s="4">
        <f t="shared" si="52"/>
        <v>1</v>
      </c>
      <c r="F888" s="4">
        <f t="shared" si="53"/>
        <v>0</v>
      </c>
      <c r="G888" s="4">
        <f t="shared" si="54"/>
        <v>0</v>
      </c>
      <c r="H888" s="4">
        <f t="shared" si="55"/>
        <v>0</v>
      </c>
      <c r="I888" s="5">
        <f>SQRT(SUM('p-native-multi'!$C$3:C888)/COUNTIF($A$3:A888,"&lt;&gt;0"))</f>
        <v>15.847467059111253</v>
      </c>
    </row>
    <row r="889" spans="1:9">
      <c r="A889">
        <v>887</v>
      </c>
      <c r="B889">
        <v>233</v>
      </c>
      <c r="C889">
        <v>273</v>
      </c>
      <c r="D889">
        <v>233</v>
      </c>
      <c r="E889" s="4">
        <f t="shared" si="52"/>
        <v>1</v>
      </c>
      <c r="F889" s="4">
        <f t="shared" si="53"/>
        <v>40</v>
      </c>
      <c r="G889" s="4">
        <f t="shared" si="54"/>
        <v>2.9471900384976699E-2</v>
      </c>
      <c r="H889" s="4">
        <f t="shared" si="55"/>
        <v>1600</v>
      </c>
      <c r="I889" s="5">
        <f>SQRT(SUM('p-native-multi'!$C$3:C889)/COUNTIF($A$3:A889,"&lt;&gt;0"))</f>
        <v>15.848244526317503</v>
      </c>
    </row>
    <row r="890" spans="1:9">
      <c r="A890">
        <v>888</v>
      </c>
      <c r="B890">
        <v>233</v>
      </c>
      <c r="C890">
        <v>233</v>
      </c>
      <c r="D890">
        <v>233</v>
      </c>
      <c r="E890" s="4">
        <f t="shared" si="52"/>
        <v>1</v>
      </c>
      <c r="F890" s="4">
        <f t="shared" si="53"/>
        <v>0</v>
      </c>
      <c r="G890" s="4">
        <f t="shared" si="54"/>
        <v>0</v>
      </c>
      <c r="H890" s="4">
        <f t="shared" si="55"/>
        <v>0</v>
      </c>
      <c r="I890" s="5">
        <f>SQRT(SUM('p-native-multi'!$C$3:C890)/COUNTIF($A$3:A890,"&lt;&gt;0"))</f>
        <v>15.847599073563048</v>
      </c>
    </row>
    <row r="891" spans="1:9">
      <c r="A891">
        <v>889</v>
      </c>
      <c r="B891">
        <v>233</v>
      </c>
      <c r="C891">
        <v>233</v>
      </c>
      <c r="D891">
        <v>233</v>
      </c>
      <c r="E891" s="4">
        <f t="shared" si="52"/>
        <v>1</v>
      </c>
      <c r="F891" s="4">
        <f t="shared" si="53"/>
        <v>0</v>
      </c>
      <c r="G891" s="4">
        <f t="shared" si="54"/>
        <v>0</v>
      </c>
      <c r="H891" s="4">
        <f t="shared" si="55"/>
        <v>0</v>
      </c>
      <c r="I891" s="5">
        <f>SQRT(SUM('p-native-multi'!$C$3:C891)/COUNTIF($A$3:A891,"&lt;&gt;0"))</f>
        <v>15.846955046694886</v>
      </c>
    </row>
    <row r="892" spans="1:9">
      <c r="A892">
        <v>890</v>
      </c>
      <c r="B892">
        <v>233</v>
      </c>
      <c r="C892">
        <v>233</v>
      </c>
      <c r="D892">
        <v>233</v>
      </c>
      <c r="E892" s="4">
        <f t="shared" si="52"/>
        <v>1</v>
      </c>
      <c r="F892" s="4">
        <f t="shared" si="53"/>
        <v>0</v>
      </c>
      <c r="G892" s="4">
        <f t="shared" si="54"/>
        <v>0</v>
      </c>
      <c r="H892" s="4">
        <f t="shared" si="55"/>
        <v>0</v>
      </c>
      <c r="I892" s="5">
        <f>SQRT(SUM('p-native-multi'!$C$3:C892)/COUNTIF($A$3:A892,"&lt;&gt;0"))</f>
        <v>15.846312440991692</v>
      </c>
    </row>
    <row r="893" spans="1:9">
      <c r="A893">
        <v>891</v>
      </c>
      <c r="B893">
        <v>233</v>
      </c>
      <c r="C893">
        <v>233</v>
      </c>
      <c r="D893">
        <v>233</v>
      </c>
      <c r="E893" s="4">
        <f t="shared" si="52"/>
        <v>1</v>
      </c>
      <c r="F893" s="4">
        <f t="shared" si="53"/>
        <v>0</v>
      </c>
      <c r="G893" s="4">
        <f t="shared" si="54"/>
        <v>0</v>
      </c>
      <c r="H893" s="4">
        <f t="shared" si="55"/>
        <v>0</v>
      </c>
      <c r="I893" s="5">
        <f>SQRT(SUM('p-native-multi'!$C$3:C893)/COUNTIF($A$3:A893,"&lt;&gt;0"))</f>
        <v>15.845671251752977</v>
      </c>
    </row>
    <row r="894" spans="1:9">
      <c r="A894">
        <v>892</v>
      </c>
      <c r="B894">
        <v>233</v>
      </c>
      <c r="C894">
        <v>253</v>
      </c>
      <c r="D894">
        <v>233</v>
      </c>
      <c r="E894" s="4">
        <f t="shared" si="52"/>
        <v>1</v>
      </c>
      <c r="F894" s="4">
        <f t="shared" si="53"/>
        <v>20</v>
      </c>
      <c r="G894" s="4">
        <f t="shared" si="54"/>
        <v>7.3679750962441747E-3</v>
      </c>
      <c r="H894" s="4">
        <f t="shared" si="55"/>
        <v>400</v>
      </c>
      <c r="I894" s="5">
        <f>SQRT(SUM('p-native-multi'!$C$3:C894)/COUNTIF($A$3:A894,"&lt;&gt;0"))</f>
        <v>15.84573898390947</v>
      </c>
    </row>
    <row r="895" spans="1:9">
      <c r="A895">
        <v>893</v>
      </c>
      <c r="B895">
        <v>233</v>
      </c>
      <c r="C895">
        <v>233</v>
      </c>
      <c r="D895">
        <v>233</v>
      </c>
      <c r="E895" s="4">
        <f t="shared" si="52"/>
        <v>1</v>
      </c>
      <c r="F895" s="4">
        <f t="shared" si="53"/>
        <v>0</v>
      </c>
      <c r="G895" s="4">
        <f t="shared" si="54"/>
        <v>0</v>
      </c>
      <c r="H895" s="4">
        <f t="shared" si="55"/>
        <v>0</v>
      </c>
      <c r="I895" s="5">
        <f>SQRT(SUM('p-native-multi'!$C$3:C895)/COUNTIF($A$3:A895,"&lt;&gt;0"))</f>
        <v>15.845099849787001</v>
      </c>
    </row>
    <row r="896" spans="1:9">
      <c r="A896">
        <v>894</v>
      </c>
      <c r="B896">
        <v>233</v>
      </c>
      <c r="C896">
        <v>233</v>
      </c>
      <c r="D896">
        <v>233</v>
      </c>
      <c r="E896" s="4">
        <f t="shared" si="52"/>
        <v>1</v>
      </c>
      <c r="F896" s="4">
        <f t="shared" si="53"/>
        <v>0</v>
      </c>
      <c r="G896" s="4">
        <f t="shared" si="54"/>
        <v>0</v>
      </c>
      <c r="H896" s="4">
        <f t="shared" si="55"/>
        <v>0</v>
      </c>
      <c r="I896" s="5">
        <f>SQRT(SUM('p-native-multi'!$C$3:C896)/COUNTIF($A$3:A896,"&lt;&gt;0"))</f>
        <v>15.844462119799832</v>
      </c>
    </row>
    <row r="897" spans="1:9">
      <c r="A897">
        <v>895</v>
      </c>
      <c r="B897">
        <v>233</v>
      </c>
      <c r="C897">
        <v>233</v>
      </c>
      <c r="D897">
        <v>233</v>
      </c>
      <c r="E897" s="4">
        <f t="shared" si="52"/>
        <v>1</v>
      </c>
      <c r="F897" s="4">
        <f t="shared" si="53"/>
        <v>0</v>
      </c>
      <c r="G897" s="4">
        <f t="shared" si="54"/>
        <v>0</v>
      </c>
      <c r="H897" s="4">
        <f t="shared" si="55"/>
        <v>0</v>
      </c>
      <c r="I897" s="5">
        <f>SQRT(SUM('p-native-multi'!$C$3:C897)/COUNTIF($A$3:A897,"&lt;&gt;0"))</f>
        <v>15.84382578932431</v>
      </c>
    </row>
    <row r="898" spans="1:9">
      <c r="A898">
        <v>896</v>
      </c>
      <c r="B898">
        <v>233</v>
      </c>
      <c r="C898">
        <v>279</v>
      </c>
      <c r="D898">
        <v>233</v>
      </c>
      <c r="E898" s="4">
        <f t="shared" si="52"/>
        <v>1</v>
      </c>
      <c r="F898" s="4">
        <f t="shared" si="53"/>
        <v>46</v>
      </c>
      <c r="G898" s="4">
        <f t="shared" si="54"/>
        <v>3.8976588259131681E-2</v>
      </c>
      <c r="H898" s="4">
        <f t="shared" si="55"/>
        <v>2116</v>
      </c>
      <c r="I898" s="5">
        <f>SQRT(SUM('p-native-multi'!$C$3:C898)/COUNTIF($A$3:A898,"&lt;&gt;0"))</f>
        <v>15.844811002794755</v>
      </c>
    </row>
    <row r="899" spans="1:9">
      <c r="A899">
        <v>897</v>
      </c>
      <c r="B899">
        <v>233</v>
      </c>
      <c r="C899">
        <v>253</v>
      </c>
      <c r="D899">
        <v>233</v>
      </c>
      <c r="E899" s="4">
        <f t="shared" si="52"/>
        <v>1</v>
      </c>
      <c r="F899" s="4">
        <f t="shared" si="53"/>
        <v>20</v>
      </c>
      <c r="G899" s="4">
        <f t="shared" si="54"/>
        <v>7.3679750962441747E-3</v>
      </c>
      <c r="H899" s="4">
        <f t="shared" si="55"/>
        <v>400</v>
      </c>
      <c r="I899" s="5">
        <f>SQRT(SUM('p-native-multi'!$C$3:C899)/COUNTIF($A$3:A899,"&lt;&gt;0"))</f>
        <v>15.844879320111476</v>
      </c>
    </row>
    <row r="900" spans="1:9">
      <c r="A900">
        <v>898</v>
      </c>
      <c r="B900">
        <v>233</v>
      </c>
      <c r="C900">
        <v>233</v>
      </c>
      <c r="D900">
        <v>233</v>
      </c>
      <c r="E900" s="4">
        <f t="shared" ref="E900:E902" si="56">IF(AND(C900&lt;=B900*1.2,C900&gt;=B900*0.8),1,0)</f>
        <v>1</v>
      </c>
      <c r="F900" s="4">
        <f t="shared" ref="F900:F902" si="57">ABS(B900-C900)</f>
        <v>0</v>
      </c>
      <c r="G900" s="4">
        <f t="shared" ref="G900:G902" si="58">POWER(ABS(B900-C900)/B900,2)</f>
        <v>0</v>
      </c>
      <c r="H900" s="4">
        <f t="shared" ref="H900:H902" si="59">POWER(F900,2)</f>
        <v>0</v>
      </c>
      <c r="I900" s="5">
        <f>SQRT(SUM('p-native-multi'!$C$3:C900)/COUNTIF($A$3:A900,"&lt;&gt;0"))</f>
        <v>15.844244667602798</v>
      </c>
    </row>
    <row r="901" spans="1:9">
      <c r="A901">
        <v>899</v>
      </c>
      <c r="B901">
        <v>233</v>
      </c>
      <c r="C901">
        <v>279</v>
      </c>
      <c r="D901">
        <v>233</v>
      </c>
      <c r="E901" s="4">
        <f t="shared" si="56"/>
        <v>1</v>
      </c>
      <c r="F901" s="4">
        <f t="shared" si="57"/>
        <v>46</v>
      </c>
      <c r="G901" s="4">
        <f t="shared" si="58"/>
        <v>3.8976588259131681E-2</v>
      </c>
      <c r="H901" s="4">
        <f t="shared" si="59"/>
        <v>2116</v>
      </c>
      <c r="I901" s="5">
        <f>SQRT(SUM('p-native-multi'!$C$3:C901)/COUNTIF($A$3:A901,"&lt;&gt;0"))</f>
        <v>15.845226101616408</v>
      </c>
    </row>
    <row r="902" spans="1:9">
      <c r="A902">
        <v>900</v>
      </c>
      <c r="B902">
        <v>233</v>
      </c>
      <c r="C902">
        <v>273</v>
      </c>
      <c r="D902">
        <v>233</v>
      </c>
      <c r="E902" s="4">
        <f t="shared" si="56"/>
        <v>1</v>
      </c>
      <c r="F902" s="4">
        <f t="shared" si="57"/>
        <v>40</v>
      </c>
      <c r="G902" s="4">
        <f t="shared" si="58"/>
        <v>2.9471900384976699E-2</v>
      </c>
      <c r="H902" s="4">
        <f t="shared" si="59"/>
        <v>1600</v>
      </c>
      <c r="I902" s="5">
        <f>SQRT(SUM('p-native-multi'!$C$3:C902)/COUNTIF($A$3:A902,"&lt;&gt;0"))</f>
        <v>15.845994937382619</v>
      </c>
    </row>
  </sheetData>
  <mergeCells count="7">
    <mergeCell ref="I1:I2"/>
    <mergeCell ref="A1:A2"/>
    <mergeCell ref="B1:C1"/>
    <mergeCell ref="E1:E2"/>
    <mergeCell ref="F1:F2"/>
    <mergeCell ref="G1:G2"/>
    <mergeCell ref="H1:H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0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8" t="s">
        <v>6</v>
      </c>
      <c r="C2" s="8" t="s">
        <v>8</v>
      </c>
      <c r="D2" s="12" t="s">
        <v>14</v>
      </c>
      <c r="E2" s="43"/>
      <c r="F2" s="43"/>
      <c r="G2" s="43"/>
      <c r="H2" s="43"/>
    </row>
    <row r="3" spans="1:8">
      <c r="A3">
        <v>1</v>
      </c>
      <c r="B3">
        <v>50</v>
      </c>
      <c r="C3">
        <v>0</v>
      </c>
      <c r="D3">
        <v>50</v>
      </c>
      <c r="E3" s="4">
        <f>IF(AND(C3&lt;=B3*1.2,C3&gt;=B3*0.8),1,0)</f>
        <v>0</v>
      </c>
      <c r="F3" s="4">
        <f>ABS(B3-C3)</f>
        <v>50</v>
      </c>
      <c r="G3" s="4">
        <f>POWER(F3,2)</f>
        <v>2500</v>
      </c>
      <c r="H3" s="5">
        <f>SQRT(SUM('p-pi-3'!$C$3:C3)/COUNTIF($A$3:A3,"&lt;&gt;0"))</f>
        <v>0</v>
      </c>
    </row>
    <row r="4" spans="1:8">
      <c r="A4">
        <v>2</v>
      </c>
      <c r="B4">
        <v>50</v>
      </c>
      <c r="C4">
        <v>19</v>
      </c>
      <c r="D4">
        <v>18</v>
      </c>
      <c r="E4" s="4">
        <f t="shared" ref="E4:E67" si="0">IF(AND(C4&lt;=B4*1.2,C4&gt;=B4*0.8),1,0)</f>
        <v>0</v>
      </c>
      <c r="F4" s="4">
        <f t="shared" ref="F4:F67" si="1">ABS(B4-C4)</f>
        <v>31</v>
      </c>
      <c r="G4" s="4">
        <f t="shared" ref="G4:G67" si="2">POWER(F4,2)</f>
        <v>961</v>
      </c>
      <c r="H4" s="5">
        <f>SQRT(SUM('p-pi-3'!$C$3:C4)/COUNTIF($A$3:A4,"&lt;&gt;0"))</f>
        <v>3.082207001484488</v>
      </c>
    </row>
    <row r="5" spans="1:8">
      <c r="A5">
        <v>3</v>
      </c>
      <c r="B5">
        <v>50</v>
      </c>
      <c r="C5">
        <v>15</v>
      </c>
      <c r="D5">
        <v>15</v>
      </c>
      <c r="E5" s="4">
        <f t="shared" si="0"/>
        <v>0</v>
      </c>
      <c r="F5" s="4">
        <f t="shared" si="1"/>
        <v>35</v>
      </c>
      <c r="G5" s="4">
        <f t="shared" si="2"/>
        <v>1225</v>
      </c>
      <c r="H5" s="5">
        <f>SQRT(SUM('p-pi-3'!$C$3:C5)/COUNTIF($A$3:A5,"&lt;&gt;0"))</f>
        <v>3.3665016461206929</v>
      </c>
    </row>
    <row r="6" spans="1:8">
      <c r="A6">
        <v>4</v>
      </c>
      <c r="B6">
        <v>50</v>
      </c>
      <c r="C6">
        <v>21</v>
      </c>
      <c r="D6">
        <v>18</v>
      </c>
      <c r="E6" s="4">
        <f t="shared" si="0"/>
        <v>0</v>
      </c>
      <c r="F6" s="4">
        <f t="shared" si="1"/>
        <v>29</v>
      </c>
      <c r="G6" s="4">
        <f t="shared" si="2"/>
        <v>841</v>
      </c>
      <c r="H6" s="5">
        <f>SQRT(SUM('p-pi-3'!$C$3:C6)/COUNTIF($A$3:A6,"&lt;&gt;0"))</f>
        <v>3.7080992435478315</v>
      </c>
    </row>
    <row r="7" spans="1:8">
      <c r="A7">
        <v>5</v>
      </c>
      <c r="B7">
        <v>50</v>
      </c>
      <c r="C7">
        <v>18</v>
      </c>
      <c r="D7">
        <v>19</v>
      </c>
      <c r="E7" s="4">
        <f t="shared" si="0"/>
        <v>0</v>
      </c>
      <c r="F7" s="4">
        <f t="shared" si="1"/>
        <v>32</v>
      </c>
      <c r="G7" s="4">
        <f t="shared" si="2"/>
        <v>1024</v>
      </c>
      <c r="H7" s="5">
        <f>SQRT(SUM('p-pi-3'!$C$3:C7)/COUNTIF($A$3:A7,"&lt;&gt;0"))</f>
        <v>3.8209946349085602</v>
      </c>
    </row>
    <row r="8" spans="1:8">
      <c r="A8">
        <v>6</v>
      </c>
      <c r="B8">
        <v>50</v>
      </c>
      <c r="C8">
        <v>25</v>
      </c>
      <c r="D8">
        <v>22</v>
      </c>
      <c r="E8" s="4">
        <f t="shared" si="0"/>
        <v>0</v>
      </c>
      <c r="F8" s="4">
        <f t="shared" si="1"/>
        <v>25</v>
      </c>
      <c r="G8" s="4">
        <f t="shared" si="2"/>
        <v>625</v>
      </c>
      <c r="H8" s="5">
        <f>SQRT(SUM('p-pi-3'!$C$3:C8)/COUNTIF($A$3:A8,"&lt;&gt;0"))</f>
        <v>4.0414518843273806</v>
      </c>
    </row>
    <row r="9" spans="1:8">
      <c r="A9">
        <v>7</v>
      </c>
      <c r="B9">
        <v>50</v>
      </c>
      <c r="C9">
        <v>17</v>
      </c>
      <c r="D9">
        <v>22</v>
      </c>
      <c r="E9" s="4">
        <f t="shared" si="0"/>
        <v>0</v>
      </c>
      <c r="F9" s="4">
        <f t="shared" si="1"/>
        <v>33</v>
      </c>
      <c r="G9" s="4">
        <f t="shared" si="2"/>
        <v>1089</v>
      </c>
      <c r="H9" s="5">
        <f>SQRT(SUM('p-pi-3'!$C$3:C9)/COUNTIF($A$3:A9,"&lt;&gt;0"))</f>
        <v>4.0532174168888879</v>
      </c>
    </row>
    <row r="10" spans="1:8">
      <c r="A10">
        <v>8</v>
      </c>
      <c r="B10">
        <v>50</v>
      </c>
      <c r="C10">
        <v>31</v>
      </c>
      <c r="D10">
        <v>27</v>
      </c>
      <c r="E10" s="4">
        <f t="shared" si="0"/>
        <v>0</v>
      </c>
      <c r="F10" s="4">
        <f t="shared" si="1"/>
        <v>19</v>
      </c>
      <c r="G10" s="4">
        <f t="shared" si="2"/>
        <v>361</v>
      </c>
      <c r="H10" s="5">
        <f>SQRT(SUM('p-pi-3'!$C$3:C10)/COUNTIF($A$3:A10,"&lt;&gt;0"))</f>
        <v>4.2720018726587652</v>
      </c>
    </row>
    <row r="11" spans="1:8">
      <c r="A11">
        <v>9</v>
      </c>
      <c r="B11">
        <v>50</v>
      </c>
      <c r="C11">
        <v>24</v>
      </c>
      <c r="D11">
        <v>24</v>
      </c>
      <c r="E11" s="4">
        <f t="shared" si="0"/>
        <v>0</v>
      </c>
      <c r="F11" s="4">
        <f t="shared" si="1"/>
        <v>26</v>
      </c>
      <c r="G11" s="4">
        <f t="shared" si="2"/>
        <v>676</v>
      </c>
      <c r="H11" s="5">
        <f>SQRT(SUM('p-pi-3'!$C$3:C11)/COUNTIF($A$3:A11,"&lt;&gt;0"))</f>
        <v>4.3461349368017661</v>
      </c>
    </row>
    <row r="12" spans="1:8">
      <c r="A12">
        <v>10</v>
      </c>
      <c r="B12">
        <v>50</v>
      </c>
      <c r="C12">
        <v>27</v>
      </c>
      <c r="D12">
        <v>28</v>
      </c>
      <c r="E12" s="4">
        <f t="shared" si="0"/>
        <v>0</v>
      </c>
      <c r="F12" s="4">
        <f t="shared" si="1"/>
        <v>23</v>
      </c>
      <c r="G12" s="4">
        <f t="shared" si="2"/>
        <v>529</v>
      </c>
      <c r="H12" s="5">
        <f>SQRT(SUM('p-pi-3'!$C$3:C12)/COUNTIF($A$3:A12,"&lt;&gt;0"))</f>
        <v>4.4384682042344297</v>
      </c>
    </row>
    <row r="13" spans="1:8">
      <c r="A13">
        <v>11</v>
      </c>
      <c r="B13">
        <v>50</v>
      </c>
      <c r="C13">
        <v>28</v>
      </c>
      <c r="D13">
        <v>29</v>
      </c>
      <c r="E13" s="4">
        <f t="shared" si="0"/>
        <v>0</v>
      </c>
      <c r="F13" s="4">
        <f t="shared" si="1"/>
        <v>22</v>
      </c>
      <c r="G13" s="4">
        <f t="shared" si="2"/>
        <v>484</v>
      </c>
      <c r="H13" s="5">
        <f>SQRT(SUM('p-pi-3'!$C$3:C13)/COUNTIF($A$3:A13,"&lt;&gt;0"))</f>
        <v>4.5226701686664539</v>
      </c>
    </row>
    <row r="14" spans="1:8">
      <c r="A14">
        <v>12</v>
      </c>
      <c r="B14">
        <v>50</v>
      </c>
      <c r="C14">
        <v>29</v>
      </c>
      <c r="D14">
        <v>30</v>
      </c>
      <c r="E14" s="4">
        <f t="shared" si="0"/>
        <v>0</v>
      </c>
      <c r="F14" s="4">
        <f t="shared" si="1"/>
        <v>21</v>
      </c>
      <c r="G14" s="4">
        <f t="shared" si="2"/>
        <v>441</v>
      </c>
      <c r="H14" s="5">
        <f>SQRT(SUM('p-pi-3'!$C$3:C14)/COUNTIF($A$3:A14,"&lt;&gt;0"))</f>
        <v>4.6007245806140871</v>
      </c>
    </row>
    <row r="15" spans="1:8">
      <c r="A15">
        <v>13</v>
      </c>
      <c r="B15">
        <v>50</v>
      </c>
      <c r="C15">
        <v>30</v>
      </c>
      <c r="D15">
        <v>31</v>
      </c>
      <c r="E15" s="4">
        <f t="shared" si="0"/>
        <v>0</v>
      </c>
      <c r="F15" s="4">
        <f t="shared" si="1"/>
        <v>20</v>
      </c>
      <c r="G15" s="4">
        <f t="shared" si="2"/>
        <v>400</v>
      </c>
      <c r="H15" s="5">
        <f>SQRT(SUM('p-pi-3'!$C$3:C15)/COUNTIF($A$3:A15,"&lt;&gt;0"))</f>
        <v>4.6739869326040964</v>
      </c>
    </row>
    <row r="16" spans="1:8">
      <c r="A16">
        <v>14</v>
      </c>
      <c r="B16">
        <v>50</v>
      </c>
      <c r="C16">
        <v>25</v>
      </c>
      <c r="D16">
        <v>32</v>
      </c>
      <c r="E16" s="4">
        <f t="shared" si="0"/>
        <v>0</v>
      </c>
      <c r="F16" s="4">
        <f t="shared" si="1"/>
        <v>25</v>
      </c>
      <c r="G16" s="4">
        <f t="shared" si="2"/>
        <v>625</v>
      </c>
      <c r="H16" s="5">
        <f>SQRT(SUM('p-pi-3'!$C$3:C16)/COUNTIF($A$3:A16,"&lt;&gt;0"))</f>
        <v>4.6980239006872422</v>
      </c>
    </row>
    <row r="17" spans="1:8">
      <c r="A17">
        <v>15</v>
      </c>
      <c r="B17">
        <v>50</v>
      </c>
      <c r="C17">
        <v>35</v>
      </c>
      <c r="D17">
        <v>36</v>
      </c>
      <c r="E17" s="4">
        <f t="shared" si="0"/>
        <v>0</v>
      </c>
      <c r="F17" s="4">
        <f t="shared" si="1"/>
        <v>15</v>
      </c>
      <c r="G17" s="4">
        <f t="shared" si="2"/>
        <v>225</v>
      </c>
      <c r="H17" s="5">
        <f>SQRT(SUM('p-pi-3'!$C$3:C17)/COUNTIF($A$3:A17,"&lt;&gt;0"))</f>
        <v>4.7888759989514593</v>
      </c>
    </row>
    <row r="18" spans="1:8">
      <c r="A18">
        <v>16</v>
      </c>
      <c r="B18">
        <v>50</v>
      </c>
      <c r="C18">
        <v>34</v>
      </c>
      <c r="D18">
        <v>34</v>
      </c>
      <c r="E18" s="4">
        <f t="shared" si="0"/>
        <v>0</v>
      </c>
      <c r="F18" s="4">
        <f t="shared" si="1"/>
        <v>16</v>
      </c>
      <c r="G18" s="4">
        <f t="shared" si="2"/>
        <v>256</v>
      </c>
      <c r="H18" s="5">
        <f>SQRT(SUM('p-pi-3'!$C$3:C18)/COUNTIF($A$3:A18,"&lt;&gt;0"))</f>
        <v>4.8605555238058953</v>
      </c>
    </row>
    <row r="19" spans="1:8">
      <c r="A19">
        <v>17</v>
      </c>
      <c r="B19">
        <v>50</v>
      </c>
      <c r="C19">
        <v>34</v>
      </c>
      <c r="D19">
        <v>35</v>
      </c>
      <c r="E19" s="4">
        <f t="shared" si="0"/>
        <v>0</v>
      </c>
      <c r="F19" s="4">
        <f t="shared" si="1"/>
        <v>16</v>
      </c>
      <c r="G19" s="4">
        <f t="shared" si="2"/>
        <v>256</v>
      </c>
      <c r="H19" s="5">
        <f>SQRT(SUM('p-pi-3'!$C$3:C19)/COUNTIF($A$3:A19,"&lt;&gt;0"))</f>
        <v>4.9229355183312178</v>
      </c>
    </row>
    <row r="20" spans="1:8">
      <c r="A20">
        <v>18</v>
      </c>
      <c r="B20">
        <v>50</v>
      </c>
      <c r="C20">
        <v>35</v>
      </c>
      <c r="D20">
        <v>36</v>
      </c>
      <c r="E20" s="4">
        <f t="shared" si="0"/>
        <v>0</v>
      </c>
      <c r="F20" s="4">
        <f t="shared" si="1"/>
        <v>15</v>
      </c>
      <c r="G20" s="4">
        <f t="shared" si="2"/>
        <v>225</v>
      </c>
      <c r="H20" s="5">
        <f>SQRT(SUM('p-pi-3'!$C$3:C20)/COUNTIF($A$3:A20,"&lt;&gt;0"))</f>
        <v>4.983305462575351</v>
      </c>
    </row>
    <row r="21" spans="1:8">
      <c r="A21">
        <v>19</v>
      </c>
      <c r="B21">
        <v>50</v>
      </c>
      <c r="C21">
        <v>44</v>
      </c>
      <c r="D21">
        <v>37</v>
      </c>
      <c r="E21" s="4">
        <f t="shared" si="0"/>
        <v>1</v>
      </c>
      <c r="F21" s="4">
        <f t="shared" si="1"/>
        <v>6</v>
      </c>
      <c r="G21" s="4">
        <f t="shared" si="2"/>
        <v>36</v>
      </c>
      <c r="H21" s="5">
        <f>SQRT(SUM('p-pi-3'!$C$3:C21)/COUNTIF($A$3:A21,"&lt;&gt;0"))</f>
        <v>5.0835130828156521</v>
      </c>
    </row>
    <row r="22" spans="1:8">
      <c r="A22">
        <v>20</v>
      </c>
      <c r="B22">
        <v>50</v>
      </c>
      <c r="C22">
        <v>28</v>
      </c>
      <c r="D22">
        <v>35</v>
      </c>
      <c r="E22" s="4">
        <f t="shared" si="0"/>
        <v>0</v>
      </c>
      <c r="F22" s="4">
        <f t="shared" si="1"/>
        <v>22</v>
      </c>
      <c r="G22" s="4">
        <f t="shared" si="2"/>
        <v>484</v>
      </c>
      <c r="H22" s="5">
        <f>SQRT(SUM('p-pi-3'!$C$3:C22)/COUNTIF($A$3:A22,"&lt;&gt;0"))</f>
        <v>5.0941142507800112</v>
      </c>
    </row>
    <row r="23" spans="1:8">
      <c r="A23">
        <v>21</v>
      </c>
      <c r="B23">
        <v>50</v>
      </c>
      <c r="C23">
        <v>39</v>
      </c>
      <c r="D23">
        <v>41</v>
      </c>
      <c r="E23" s="4">
        <f t="shared" si="0"/>
        <v>0</v>
      </c>
      <c r="F23" s="4">
        <f t="shared" si="1"/>
        <v>11</v>
      </c>
      <c r="G23" s="4">
        <f t="shared" si="2"/>
        <v>121</v>
      </c>
      <c r="H23" s="5">
        <f>SQRT(SUM('p-pi-3'!$C$3:C23)/COUNTIF($A$3:A23,"&lt;&gt;0"))</f>
        <v>5.1547481579053471</v>
      </c>
    </row>
    <row r="24" spans="1:8">
      <c r="A24">
        <v>22</v>
      </c>
      <c r="B24">
        <v>50</v>
      </c>
      <c r="C24">
        <v>39</v>
      </c>
      <c r="D24">
        <v>39</v>
      </c>
      <c r="E24" s="4">
        <f t="shared" si="0"/>
        <v>0</v>
      </c>
      <c r="F24" s="4">
        <f t="shared" si="1"/>
        <v>11</v>
      </c>
      <c r="G24" s="4">
        <f t="shared" si="2"/>
        <v>121</v>
      </c>
      <c r="H24" s="5">
        <f>SQRT(SUM('p-pi-3'!$C$3:C24)/COUNTIF($A$3:A24,"&lt;&gt;0"))</f>
        <v>5.2092574937666152</v>
      </c>
    </row>
    <row r="25" spans="1:8">
      <c r="A25">
        <v>23</v>
      </c>
      <c r="B25">
        <v>50</v>
      </c>
      <c r="C25">
        <v>39</v>
      </c>
      <c r="D25">
        <v>40</v>
      </c>
      <c r="E25" s="4">
        <f t="shared" si="0"/>
        <v>0</v>
      </c>
      <c r="F25" s="4">
        <f t="shared" si="1"/>
        <v>11</v>
      </c>
      <c r="G25" s="4">
        <f t="shared" si="2"/>
        <v>121</v>
      </c>
      <c r="H25" s="5">
        <f>SQRT(SUM('p-pi-3'!$C$3:C25)/COUNTIF($A$3:A25,"&lt;&gt;0"))</f>
        <v>5.2585334374750792</v>
      </c>
    </row>
    <row r="26" spans="1:8">
      <c r="A26">
        <v>24</v>
      </c>
      <c r="B26">
        <v>50</v>
      </c>
      <c r="C26">
        <v>40</v>
      </c>
      <c r="D26">
        <v>40</v>
      </c>
      <c r="E26" s="4">
        <f t="shared" si="0"/>
        <v>1</v>
      </c>
      <c r="F26" s="4">
        <f t="shared" si="1"/>
        <v>10</v>
      </c>
      <c r="G26" s="4">
        <f t="shared" si="2"/>
        <v>100</v>
      </c>
      <c r="H26" s="5">
        <f>SQRT(SUM('p-pi-3'!$C$3:C26)/COUNTIF($A$3:A26,"&lt;&gt;0"))</f>
        <v>5.3072277760302189</v>
      </c>
    </row>
    <row r="27" spans="1:8">
      <c r="A27">
        <v>25</v>
      </c>
      <c r="B27">
        <v>50</v>
      </c>
      <c r="C27">
        <v>32</v>
      </c>
      <c r="D27">
        <v>41</v>
      </c>
      <c r="E27" s="4">
        <f t="shared" si="0"/>
        <v>0</v>
      </c>
      <c r="F27" s="4">
        <f t="shared" si="1"/>
        <v>18</v>
      </c>
      <c r="G27" s="4">
        <f t="shared" si="2"/>
        <v>324</v>
      </c>
      <c r="H27" s="5">
        <f>SQRT(SUM('p-pi-3'!$C$3:C27)/COUNTIF($A$3:A27,"&lt;&gt;0"))</f>
        <v>5.3216538782600287</v>
      </c>
    </row>
    <row r="28" spans="1:8">
      <c r="A28">
        <v>26</v>
      </c>
      <c r="B28">
        <v>50</v>
      </c>
      <c r="C28">
        <v>43</v>
      </c>
      <c r="D28">
        <v>44</v>
      </c>
      <c r="E28" s="4">
        <f t="shared" si="0"/>
        <v>1</v>
      </c>
      <c r="F28" s="4">
        <f t="shared" si="1"/>
        <v>7</v>
      </c>
      <c r="G28" s="4">
        <f t="shared" si="2"/>
        <v>49</v>
      </c>
      <c r="H28" s="5">
        <f>SQRT(SUM('p-pi-3'!$C$3:C28)/COUNTIF($A$3:A28,"&lt;&gt;0"))</f>
        <v>5.3744409369361748</v>
      </c>
    </row>
    <row r="29" spans="1:8">
      <c r="A29">
        <v>27</v>
      </c>
      <c r="B29">
        <v>50</v>
      </c>
      <c r="C29">
        <v>42</v>
      </c>
      <c r="D29">
        <v>42</v>
      </c>
      <c r="E29" s="4">
        <f t="shared" si="0"/>
        <v>1</v>
      </c>
      <c r="F29" s="4">
        <f t="shared" si="1"/>
        <v>8</v>
      </c>
      <c r="G29" s="4">
        <f t="shared" si="2"/>
        <v>64</v>
      </c>
      <c r="H29" s="5">
        <f>SQRT(SUM('p-pi-3'!$C$3:C29)/COUNTIF($A$3:A29,"&lt;&gt;0"))</f>
        <v>5.4194437325587552</v>
      </c>
    </row>
    <row r="30" spans="1:8">
      <c r="A30">
        <v>28</v>
      </c>
      <c r="B30">
        <v>50</v>
      </c>
      <c r="C30">
        <v>42</v>
      </c>
      <c r="D30">
        <v>43</v>
      </c>
      <c r="E30" s="4">
        <f t="shared" si="0"/>
        <v>1</v>
      </c>
      <c r="F30" s="4">
        <f t="shared" si="1"/>
        <v>8</v>
      </c>
      <c r="G30" s="4">
        <f t="shared" si="2"/>
        <v>64</v>
      </c>
      <c r="H30" s="5">
        <f>SQRT(SUM('p-pi-3'!$C$3:C30)/COUNTIF($A$3:A30,"&lt;&gt;0"))</f>
        <v>5.4608999781564007</v>
      </c>
    </row>
    <row r="31" spans="1:8">
      <c r="A31">
        <v>29</v>
      </c>
      <c r="B31">
        <v>50</v>
      </c>
      <c r="C31">
        <v>43</v>
      </c>
      <c r="D31">
        <v>43</v>
      </c>
      <c r="E31" s="4">
        <f t="shared" si="0"/>
        <v>1</v>
      </c>
      <c r="F31" s="4">
        <f t="shared" si="1"/>
        <v>7</v>
      </c>
      <c r="G31" s="4">
        <f t="shared" si="2"/>
        <v>49</v>
      </c>
      <c r="H31" s="5">
        <f>SQRT(SUM('p-pi-3'!$C$3:C31)/COUNTIF($A$3:A31,"&lt;&gt;0"))</f>
        <v>5.5023505948790206</v>
      </c>
    </row>
    <row r="32" spans="1:8">
      <c r="A32">
        <v>30</v>
      </c>
      <c r="B32">
        <v>50</v>
      </c>
      <c r="C32">
        <v>34</v>
      </c>
      <c r="D32">
        <v>43</v>
      </c>
      <c r="E32" s="4">
        <f t="shared" si="0"/>
        <v>0</v>
      </c>
      <c r="F32" s="4">
        <f t="shared" si="1"/>
        <v>16</v>
      </c>
      <c r="G32" s="4">
        <f t="shared" si="2"/>
        <v>256</v>
      </c>
      <c r="H32" s="5">
        <f>SQRT(SUM('p-pi-3'!$C$3:C32)/COUNTIF($A$3:A32,"&lt;&gt;0"))</f>
        <v>5.5136195008360884</v>
      </c>
    </row>
    <row r="33" spans="1:8">
      <c r="A33">
        <v>31</v>
      </c>
      <c r="B33">
        <v>50</v>
      </c>
      <c r="C33">
        <v>55</v>
      </c>
      <c r="D33">
        <v>47</v>
      </c>
      <c r="E33" s="4">
        <f t="shared" si="0"/>
        <v>1</v>
      </c>
      <c r="F33" s="4">
        <f t="shared" si="1"/>
        <v>5</v>
      </c>
      <c r="G33" s="4">
        <f t="shared" si="2"/>
        <v>25</v>
      </c>
      <c r="H33" s="5">
        <f>SQRT(SUM('p-pi-3'!$C$3:C33)/COUNTIF($A$3:A33,"&lt;&gt;0"))</f>
        <v>5.5851184756544576</v>
      </c>
    </row>
    <row r="34" spans="1:8">
      <c r="A34">
        <v>32</v>
      </c>
      <c r="B34">
        <v>50</v>
      </c>
      <c r="C34">
        <v>41</v>
      </c>
      <c r="D34">
        <v>40</v>
      </c>
      <c r="E34" s="4">
        <f t="shared" si="0"/>
        <v>1</v>
      </c>
      <c r="F34" s="4">
        <f t="shared" si="1"/>
        <v>9</v>
      </c>
      <c r="G34" s="4">
        <f t="shared" si="2"/>
        <v>81</v>
      </c>
      <c r="H34" s="5">
        <f>SQRT(SUM('p-pi-3'!$C$3:C34)/COUNTIF($A$3:A34,"&lt;&gt;0"))</f>
        <v>5.6124860801609122</v>
      </c>
    </row>
    <row r="35" spans="1:8">
      <c r="A35">
        <v>33</v>
      </c>
      <c r="B35">
        <v>50</v>
      </c>
      <c r="C35">
        <v>44</v>
      </c>
      <c r="D35">
        <v>45</v>
      </c>
      <c r="E35" s="4">
        <f t="shared" si="0"/>
        <v>1</v>
      </c>
      <c r="F35" s="4">
        <f t="shared" si="1"/>
        <v>6</v>
      </c>
      <c r="G35" s="4">
        <f t="shared" si="2"/>
        <v>36</v>
      </c>
      <c r="H35" s="5">
        <f>SQRT(SUM('p-pi-3'!$C$3:C35)/COUNTIF($A$3:A35,"&lt;&gt;0"))</f>
        <v>5.6461303455364789</v>
      </c>
    </row>
    <row r="36" spans="1:8">
      <c r="A36">
        <v>34</v>
      </c>
      <c r="B36">
        <v>50</v>
      </c>
      <c r="C36">
        <v>36</v>
      </c>
      <c r="D36">
        <v>45</v>
      </c>
      <c r="E36" s="4">
        <f t="shared" si="0"/>
        <v>0</v>
      </c>
      <c r="F36" s="4">
        <f t="shared" si="1"/>
        <v>14</v>
      </c>
      <c r="G36" s="4">
        <f t="shared" si="2"/>
        <v>196</v>
      </c>
      <c r="H36" s="5">
        <f>SQRT(SUM('p-pi-3'!$C$3:C36)/COUNTIF($A$3:A36,"&lt;&gt;0"))</f>
        <v>5.6568542494923806</v>
      </c>
    </row>
    <row r="37" spans="1:8">
      <c r="A37">
        <v>35</v>
      </c>
      <c r="B37">
        <v>50</v>
      </c>
      <c r="C37">
        <v>56</v>
      </c>
      <c r="D37">
        <v>48</v>
      </c>
      <c r="E37" s="4">
        <f t="shared" si="0"/>
        <v>1</v>
      </c>
      <c r="F37" s="4">
        <f t="shared" si="1"/>
        <v>6</v>
      </c>
      <c r="G37" s="4">
        <f t="shared" si="2"/>
        <v>36</v>
      </c>
      <c r="H37" s="5">
        <f>SQRT(SUM('p-pi-3'!$C$3:C37)/COUNTIF($A$3:A37,"&lt;&gt;0"))</f>
        <v>5.7171421432140628</v>
      </c>
    </row>
    <row r="38" spans="1:8">
      <c r="A38">
        <v>36</v>
      </c>
      <c r="B38">
        <v>50</v>
      </c>
      <c r="C38">
        <v>43</v>
      </c>
      <c r="D38">
        <v>42</v>
      </c>
      <c r="E38" s="4">
        <f t="shared" si="0"/>
        <v>1</v>
      </c>
      <c r="F38" s="4">
        <f t="shared" si="1"/>
        <v>7</v>
      </c>
      <c r="G38" s="4">
        <f t="shared" si="2"/>
        <v>49</v>
      </c>
      <c r="H38" s="5">
        <f>SQRT(SUM('p-pi-3'!$C$3:C38)/COUNTIF($A$3:A38,"&lt;&gt;0"))</f>
        <v>5.7421443923174049</v>
      </c>
    </row>
    <row r="39" spans="1:8">
      <c r="A39">
        <v>37</v>
      </c>
      <c r="B39">
        <v>50</v>
      </c>
      <c r="C39">
        <v>45</v>
      </c>
      <c r="D39">
        <v>46</v>
      </c>
      <c r="E39" s="4">
        <f t="shared" si="0"/>
        <v>1</v>
      </c>
      <c r="F39" s="4">
        <f t="shared" si="1"/>
        <v>5</v>
      </c>
      <c r="G39" s="4">
        <f t="shared" si="2"/>
        <v>25</v>
      </c>
      <c r="H39" s="5">
        <f>SQRT(SUM('p-pi-3'!$C$3:C39)/COUNTIF($A$3:A39,"&lt;&gt;0"))</f>
        <v>5.7703810357113587</v>
      </c>
    </row>
    <row r="40" spans="1:8">
      <c r="A40">
        <v>38</v>
      </c>
      <c r="B40">
        <v>50</v>
      </c>
      <c r="C40">
        <v>46</v>
      </c>
      <c r="D40">
        <v>46</v>
      </c>
      <c r="E40" s="4">
        <f t="shared" si="0"/>
        <v>1</v>
      </c>
      <c r="F40" s="4">
        <f t="shared" si="1"/>
        <v>4</v>
      </c>
      <c r="G40" s="4">
        <f t="shared" si="2"/>
        <v>16</v>
      </c>
      <c r="H40" s="5">
        <f>SQRT(SUM('p-pi-3'!$C$3:C40)/COUNTIF($A$3:A40,"&lt;&gt;0"))</f>
        <v>5.7992740017495654</v>
      </c>
    </row>
    <row r="41" spans="1:8">
      <c r="A41">
        <v>39</v>
      </c>
      <c r="B41">
        <v>50</v>
      </c>
      <c r="C41">
        <v>36</v>
      </c>
      <c r="D41">
        <v>46</v>
      </c>
      <c r="E41" s="4">
        <f t="shared" si="0"/>
        <v>0</v>
      </c>
      <c r="F41" s="4">
        <f t="shared" si="1"/>
        <v>14</v>
      </c>
      <c r="G41" s="4">
        <f t="shared" si="2"/>
        <v>196</v>
      </c>
      <c r="H41" s="5">
        <f>SQRT(SUM('p-pi-3'!$C$3:C41)/COUNTIF($A$3:A41,"&lt;&gt;0"))</f>
        <v>5.8045075322810717</v>
      </c>
    </row>
    <row r="42" spans="1:8">
      <c r="A42">
        <v>40</v>
      </c>
      <c r="B42">
        <v>50</v>
      </c>
      <c r="C42">
        <v>49</v>
      </c>
      <c r="D42">
        <v>50</v>
      </c>
      <c r="E42" s="4">
        <f t="shared" si="0"/>
        <v>1</v>
      </c>
      <c r="F42" s="4">
        <f t="shared" si="1"/>
        <v>1</v>
      </c>
      <c r="G42" s="4">
        <f t="shared" si="2"/>
        <v>1</v>
      </c>
      <c r="H42" s="5">
        <f>SQRT(SUM('p-pi-3'!$C$3:C42)/COUNTIF($A$3:A42,"&lt;&gt;0"))</f>
        <v>5.8373795490785074</v>
      </c>
    </row>
    <row r="43" spans="1:8">
      <c r="A43">
        <v>41</v>
      </c>
      <c r="B43">
        <v>50</v>
      </c>
      <c r="C43">
        <v>46</v>
      </c>
      <c r="D43">
        <v>46</v>
      </c>
      <c r="E43" s="4">
        <f t="shared" si="0"/>
        <v>1</v>
      </c>
      <c r="F43" s="4">
        <f t="shared" si="1"/>
        <v>4</v>
      </c>
      <c r="G43" s="4">
        <f t="shared" si="2"/>
        <v>16</v>
      </c>
      <c r="H43" s="5">
        <f>SQRT(SUM('p-pi-3'!$C$3:C43)/COUNTIF($A$3:A43,"&lt;&gt;0"))</f>
        <v>5.8622396452666949</v>
      </c>
    </row>
    <row r="44" spans="1:8">
      <c r="A44">
        <v>42</v>
      </c>
      <c r="B44">
        <v>50</v>
      </c>
      <c r="C44">
        <v>46</v>
      </c>
      <c r="D44">
        <v>47</v>
      </c>
      <c r="E44" s="4">
        <f t="shared" si="0"/>
        <v>1</v>
      </c>
      <c r="F44" s="4">
        <f t="shared" si="1"/>
        <v>4</v>
      </c>
      <c r="G44" s="4">
        <f t="shared" si="2"/>
        <v>16</v>
      </c>
      <c r="H44" s="5">
        <f>SQRT(SUM('p-pi-3'!$C$3:C44)/COUNTIF($A$3:A44,"&lt;&gt;0"))</f>
        <v>5.8858183069864758</v>
      </c>
    </row>
    <row r="45" spans="1:8">
      <c r="A45">
        <v>43</v>
      </c>
      <c r="B45">
        <v>50</v>
      </c>
      <c r="C45">
        <v>28</v>
      </c>
      <c r="D45">
        <v>47</v>
      </c>
      <c r="E45" s="4">
        <f t="shared" si="0"/>
        <v>0</v>
      </c>
      <c r="F45" s="4">
        <f t="shared" si="1"/>
        <v>22</v>
      </c>
      <c r="G45" s="4">
        <f t="shared" si="2"/>
        <v>484</v>
      </c>
      <c r="H45" s="5">
        <f>SQRT(SUM('p-pi-3'!$C$3:C45)/COUNTIF($A$3:A45,"&lt;&gt;0"))</f>
        <v>5.8726801456424695</v>
      </c>
    </row>
    <row r="46" spans="1:8">
      <c r="A46">
        <v>44</v>
      </c>
      <c r="B46">
        <v>50</v>
      </c>
      <c r="C46">
        <v>73</v>
      </c>
      <c r="D46">
        <v>55</v>
      </c>
      <c r="E46" s="4">
        <f t="shared" si="0"/>
        <v>0</v>
      </c>
      <c r="F46" s="4">
        <f t="shared" si="1"/>
        <v>23</v>
      </c>
      <c r="G46" s="4">
        <f t="shared" si="2"/>
        <v>529</v>
      </c>
      <c r="H46" s="5">
        <f>SQRT(SUM('p-pi-3'!$C$3:C46)/COUNTIF($A$3:A46,"&lt;&gt;0"))</f>
        <v>5.9467332514277427</v>
      </c>
    </row>
    <row r="47" spans="1:8">
      <c r="A47">
        <v>45</v>
      </c>
      <c r="B47">
        <v>50</v>
      </c>
      <c r="C47">
        <v>42</v>
      </c>
      <c r="D47">
        <v>39</v>
      </c>
      <c r="E47" s="4">
        <f t="shared" si="0"/>
        <v>1</v>
      </c>
      <c r="F47" s="4">
        <f t="shared" si="1"/>
        <v>8</v>
      </c>
      <c r="G47" s="4">
        <f t="shared" si="2"/>
        <v>64</v>
      </c>
      <c r="H47" s="5">
        <f>SQRT(SUM('p-pi-3'!$C$3:C47)/COUNTIF($A$3:A47,"&lt;&gt;0"))</f>
        <v>5.959119994689746</v>
      </c>
    </row>
    <row r="48" spans="1:8">
      <c r="A48">
        <v>46</v>
      </c>
      <c r="B48">
        <v>50</v>
      </c>
      <c r="C48">
        <v>47</v>
      </c>
      <c r="D48">
        <v>49</v>
      </c>
      <c r="E48" s="4">
        <f t="shared" si="0"/>
        <v>1</v>
      </c>
      <c r="F48" s="4">
        <f t="shared" si="1"/>
        <v>3</v>
      </c>
      <c r="G48" s="4">
        <f t="shared" si="2"/>
        <v>9</v>
      </c>
      <c r="H48" s="5">
        <f>SQRT(SUM('p-pi-3'!$C$3:C48)/COUNTIF($A$3:A48,"&lt;&gt;0"))</f>
        <v>5.9800392611769189</v>
      </c>
    </row>
    <row r="49" spans="1:8">
      <c r="A49">
        <v>47</v>
      </c>
      <c r="B49">
        <v>50</v>
      </c>
      <c r="C49">
        <v>38</v>
      </c>
      <c r="D49">
        <v>48</v>
      </c>
      <c r="E49" s="4">
        <f t="shared" si="0"/>
        <v>0</v>
      </c>
      <c r="F49" s="4">
        <f t="shared" si="1"/>
        <v>12</v>
      </c>
      <c r="G49" s="4">
        <f t="shared" si="2"/>
        <v>144</v>
      </c>
      <c r="H49" s="5">
        <f>SQRT(SUM('p-pi-3'!$C$3:C49)/COUNTIF($A$3:A49,"&lt;&gt;0"))</f>
        <v>5.9840212765579199</v>
      </c>
    </row>
    <row r="50" spans="1:8">
      <c r="A50">
        <v>48</v>
      </c>
      <c r="B50">
        <v>50</v>
      </c>
      <c r="C50">
        <v>60</v>
      </c>
      <c r="D50">
        <v>51</v>
      </c>
      <c r="E50" s="4">
        <f t="shared" si="0"/>
        <v>1</v>
      </c>
      <c r="F50" s="4">
        <f t="shared" si="1"/>
        <v>10</v>
      </c>
      <c r="G50" s="4">
        <f t="shared" si="2"/>
        <v>100</v>
      </c>
      <c r="H50" s="5">
        <f>SQRT(SUM('p-pi-3'!$C$3:C50)/COUNTIF($A$3:A50,"&lt;&gt;0"))</f>
        <v>6.0259853965969752</v>
      </c>
    </row>
    <row r="51" spans="1:8">
      <c r="A51">
        <v>49</v>
      </c>
      <c r="B51">
        <v>50</v>
      </c>
      <c r="C51">
        <v>45</v>
      </c>
      <c r="D51">
        <v>44</v>
      </c>
      <c r="E51" s="4">
        <f t="shared" si="0"/>
        <v>1</v>
      </c>
      <c r="F51" s="4">
        <f t="shared" si="1"/>
        <v>5</v>
      </c>
      <c r="G51" s="4">
        <f t="shared" si="2"/>
        <v>25</v>
      </c>
      <c r="H51" s="5">
        <f>SQRT(SUM('p-pi-3'!$C$3:C51)/COUNTIF($A$3:A51,"&lt;&gt;0"))</f>
        <v>6.0406784319617071</v>
      </c>
    </row>
    <row r="52" spans="1:8">
      <c r="A52">
        <v>50</v>
      </c>
      <c r="B52">
        <v>50</v>
      </c>
      <c r="C52">
        <v>48</v>
      </c>
      <c r="D52">
        <v>49</v>
      </c>
      <c r="E52" s="4">
        <f t="shared" si="0"/>
        <v>1</v>
      </c>
      <c r="F52" s="4">
        <f t="shared" si="1"/>
        <v>2</v>
      </c>
      <c r="G52" s="4">
        <f t="shared" si="2"/>
        <v>4</v>
      </c>
      <c r="H52" s="5">
        <f>SQRT(SUM('p-pi-3'!$C$3:C52)/COUNTIF($A$3:A52,"&lt;&gt;0"))</f>
        <v>6.059702963017247</v>
      </c>
    </row>
    <row r="53" spans="1:8">
      <c r="A53">
        <v>51</v>
      </c>
      <c r="B53">
        <v>50</v>
      </c>
      <c r="C53">
        <v>48</v>
      </c>
      <c r="D53">
        <v>48</v>
      </c>
      <c r="E53" s="4">
        <f t="shared" si="0"/>
        <v>1</v>
      </c>
      <c r="F53" s="4">
        <f t="shared" si="1"/>
        <v>2</v>
      </c>
      <c r="G53" s="4">
        <f t="shared" si="2"/>
        <v>4</v>
      </c>
      <c r="H53" s="5">
        <f>SQRT(SUM('p-pi-3'!$C$3:C53)/COUNTIF($A$3:A53,"&lt;&gt;0"))</f>
        <v>6.0779253426303477</v>
      </c>
    </row>
    <row r="54" spans="1:8">
      <c r="A54">
        <v>52</v>
      </c>
      <c r="B54">
        <v>50</v>
      </c>
      <c r="C54">
        <v>57</v>
      </c>
      <c r="D54">
        <v>48</v>
      </c>
      <c r="E54" s="4">
        <f t="shared" si="0"/>
        <v>1</v>
      </c>
      <c r="F54" s="4">
        <f t="shared" si="1"/>
        <v>7</v>
      </c>
      <c r="G54" s="4">
        <f t="shared" si="2"/>
        <v>49</v>
      </c>
      <c r="H54" s="5">
        <f>SQRT(SUM('p-pi-3'!$C$3:C54)/COUNTIF($A$3:A54,"&lt;&gt;0"))</f>
        <v>6.1095763418524429</v>
      </c>
    </row>
    <row r="55" spans="1:8">
      <c r="A55">
        <v>53</v>
      </c>
      <c r="B55">
        <v>50</v>
      </c>
      <c r="C55">
        <v>45</v>
      </c>
      <c r="D55">
        <v>45</v>
      </c>
      <c r="E55" s="4">
        <f t="shared" si="0"/>
        <v>1</v>
      </c>
      <c r="F55" s="4">
        <f t="shared" si="1"/>
        <v>5</v>
      </c>
      <c r="G55" s="4">
        <f t="shared" si="2"/>
        <v>25</v>
      </c>
      <c r="H55" s="5">
        <f>SQRT(SUM('p-pi-3'!$C$3:C55)/COUNTIF($A$3:A55,"&lt;&gt;0"))</f>
        <v>6.1214130814059216</v>
      </c>
    </row>
    <row r="56" spans="1:8">
      <c r="A56">
        <v>54</v>
      </c>
      <c r="B56">
        <v>50</v>
      </c>
      <c r="C56">
        <v>48</v>
      </c>
      <c r="D56">
        <v>49</v>
      </c>
      <c r="E56" s="4">
        <f t="shared" si="0"/>
        <v>1</v>
      </c>
      <c r="F56" s="4">
        <f t="shared" si="1"/>
        <v>2</v>
      </c>
      <c r="G56" s="4">
        <f t="shared" si="2"/>
        <v>4</v>
      </c>
      <c r="H56" s="5">
        <f>SQRT(SUM('p-pi-3'!$C$3:C56)/COUNTIF($A$3:A56,"&lt;&gt;0"))</f>
        <v>6.1373175465073224</v>
      </c>
    </row>
    <row r="57" spans="1:8">
      <c r="A57">
        <v>55</v>
      </c>
      <c r="B57">
        <v>50</v>
      </c>
      <c r="C57">
        <v>48</v>
      </c>
      <c r="D57">
        <v>48</v>
      </c>
      <c r="E57" s="4">
        <f t="shared" si="0"/>
        <v>1</v>
      </c>
      <c r="F57" s="4">
        <f t="shared" si="1"/>
        <v>2</v>
      </c>
      <c r="G57" s="4">
        <f t="shared" si="2"/>
        <v>4</v>
      </c>
      <c r="H57" s="5">
        <f>SQRT(SUM('p-pi-3'!$C$3:C57)/COUNTIF($A$3:A57,"&lt;&gt;0"))</f>
        <v>6.1526047698958735</v>
      </c>
    </row>
    <row r="58" spans="1:8">
      <c r="A58">
        <v>56</v>
      </c>
      <c r="B58">
        <v>50</v>
      </c>
      <c r="C58">
        <v>57</v>
      </c>
      <c r="D58">
        <v>48</v>
      </c>
      <c r="E58" s="4">
        <f t="shared" si="0"/>
        <v>1</v>
      </c>
      <c r="F58" s="4">
        <f t="shared" si="1"/>
        <v>7</v>
      </c>
      <c r="G58" s="4">
        <f t="shared" si="2"/>
        <v>49</v>
      </c>
      <c r="H58" s="5">
        <f>SQRT(SUM('p-pi-3'!$C$3:C58)/COUNTIF($A$3:A58,"&lt;&gt;0"))</f>
        <v>6.1803259276051588</v>
      </c>
    </row>
    <row r="59" spans="1:8">
      <c r="A59">
        <v>57</v>
      </c>
      <c r="B59">
        <v>50</v>
      </c>
      <c r="C59">
        <v>45</v>
      </c>
      <c r="D59">
        <v>45</v>
      </c>
      <c r="E59" s="4">
        <f t="shared" si="0"/>
        <v>1</v>
      </c>
      <c r="F59" s="4">
        <f t="shared" si="1"/>
        <v>5</v>
      </c>
      <c r="G59" s="4">
        <f t="shared" si="2"/>
        <v>25</v>
      </c>
      <c r="H59" s="5">
        <f>SQRT(SUM('p-pi-3'!$C$3:C59)/COUNTIF($A$3:A59,"&lt;&gt;0"))</f>
        <v>6.1899749170480662</v>
      </c>
    </row>
    <row r="60" spans="1:8">
      <c r="A60">
        <v>58</v>
      </c>
      <c r="B60">
        <v>50</v>
      </c>
      <c r="C60">
        <v>48</v>
      </c>
      <c r="D60">
        <v>49</v>
      </c>
      <c r="E60" s="4">
        <f t="shared" si="0"/>
        <v>1</v>
      </c>
      <c r="F60" s="4">
        <f t="shared" si="1"/>
        <v>2</v>
      </c>
      <c r="G60" s="4">
        <f t="shared" si="2"/>
        <v>4</v>
      </c>
      <c r="H60" s="5">
        <f>SQRT(SUM('p-pi-3'!$C$3:C60)/COUNTIF($A$3:A60,"&lt;&gt;0"))</f>
        <v>6.2034473174751517</v>
      </c>
    </row>
    <row r="61" spans="1:8">
      <c r="A61">
        <v>59</v>
      </c>
      <c r="B61">
        <v>50</v>
      </c>
      <c r="C61">
        <v>48</v>
      </c>
      <c r="D61">
        <v>48</v>
      </c>
      <c r="E61" s="4">
        <f t="shared" si="0"/>
        <v>1</v>
      </c>
      <c r="F61" s="4">
        <f t="shared" si="1"/>
        <v>2</v>
      </c>
      <c r="G61" s="4">
        <f t="shared" si="2"/>
        <v>4</v>
      </c>
      <c r="H61" s="5">
        <f>SQRT(SUM('p-pi-3'!$C$3:C61)/COUNTIF($A$3:A61,"&lt;&gt;0"))</f>
        <v>6.2164352965835787</v>
      </c>
    </row>
    <row r="62" spans="1:8">
      <c r="A62">
        <v>60</v>
      </c>
      <c r="B62">
        <v>50</v>
      </c>
      <c r="C62">
        <v>57</v>
      </c>
      <c r="D62">
        <v>48</v>
      </c>
      <c r="E62" s="4">
        <f t="shared" si="0"/>
        <v>1</v>
      </c>
      <c r="F62" s="4">
        <f t="shared" si="1"/>
        <v>7</v>
      </c>
      <c r="G62" s="4">
        <f t="shared" si="2"/>
        <v>49</v>
      </c>
      <c r="H62" s="5">
        <f>SQRT(SUM('p-pi-3'!$C$3:C62)/COUNTIF($A$3:A62,"&lt;&gt;0"))</f>
        <v>6.2409935106519701</v>
      </c>
    </row>
    <row r="63" spans="1:8">
      <c r="A63">
        <v>61</v>
      </c>
      <c r="B63">
        <v>50</v>
      </c>
      <c r="C63">
        <v>45</v>
      </c>
      <c r="D63">
        <v>45</v>
      </c>
      <c r="E63" s="4">
        <f t="shared" si="0"/>
        <v>1</v>
      </c>
      <c r="F63" s="4">
        <f t="shared" si="1"/>
        <v>5</v>
      </c>
      <c r="G63" s="4">
        <f t="shared" si="2"/>
        <v>25</v>
      </c>
      <c r="H63" s="5">
        <f>SQRT(SUM('p-pi-3'!$C$3:C63)/COUNTIF($A$3:A63,"&lt;&gt;0"))</f>
        <v>6.2489343353782214</v>
      </c>
    </row>
    <row r="64" spans="1:8">
      <c r="A64">
        <v>62</v>
      </c>
      <c r="B64">
        <v>50</v>
      </c>
      <c r="C64">
        <v>48</v>
      </c>
      <c r="D64">
        <v>49</v>
      </c>
      <c r="E64" s="4">
        <f t="shared" si="0"/>
        <v>1</v>
      </c>
      <c r="F64" s="4">
        <f t="shared" si="1"/>
        <v>2</v>
      </c>
      <c r="G64" s="4">
        <f t="shared" si="2"/>
        <v>4</v>
      </c>
      <c r="H64" s="5">
        <f>SQRT(SUM('p-pi-3'!$C$3:C64)/COUNTIF($A$3:A64,"&lt;&gt;0"))</f>
        <v>6.2604750927622721</v>
      </c>
    </row>
    <row r="65" spans="1:8">
      <c r="A65">
        <v>63</v>
      </c>
      <c r="B65">
        <v>50</v>
      </c>
      <c r="C65">
        <v>48</v>
      </c>
      <c r="D65">
        <v>48</v>
      </c>
      <c r="E65" s="4">
        <f t="shared" si="0"/>
        <v>1</v>
      </c>
      <c r="F65" s="4">
        <f t="shared" si="1"/>
        <v>2</v>
      </c>
      <c r="G65" s="4">
        <f t="shared" si="2"/>
        <v>4</v>
      </c>
      <c r="H65" s="5">
        <f>SQRT(SUM('p-pi-3'!$C$3:C65)/COUNTIF($A$3:A65,"&lt;&gt;0"))</f>
        <v>6.2716292407422598</v>
      </c>
    </row>
    <row r="66" spans="1:8">
      <c r="A66">
        <v>64</v>
      </c>
      <c r="B66">
        <v>50</v>
      </c>
      <c r="C66">
        <v>57</v>
      </c>
      <c r="D66">
        <v>48</v>
      </c>
      <c r="E66" s="4">
        <f t="shared" si="0"/>
        <v>1</v>
      </c>
      <c r="F66" s="4">
        <f t="shared" si="1"/>
        <v>7</v>
      </c>
      <c r="G66" s="4">
        <f t="shared" si="2"/>
        <v>49</v>
      </c>
      <c r="H66" s="5">
        <f>SQRT(SUM('p-pi-3'!$C$3:C66)/COUNTIF($A$3:A66,"&lt;&gt;0"))</f>
        <v>6.2935979375870525</v>
      </c>
    </row>
    <row r="67" spans="1:8">
      <c r="A67">
        <v>65</v>
      </c>
      <c r="B67">
        <v>50</v>
      </c>
      <c r="C67">
        <v>45</v>
      </c>
      <c r="D67">
        <v>45</v>
      </c>
      <c r="E67" s="4">
        <f t="shared" si="0"/>
        <v>1</v>
      </c>
      <c r="F67" s="4">
        <f t="shared" si="1"/>
        <v>5</v>
      </c>
      <c r="G67" s="4">
        <f t="shared" si="2"/>
        <v>25</v>
      </c>
      <c r="H67" s="5">
        <f>SQRT(SUM('p-pi-3'!$C$3:C67)/COUNTIF($A$3:A67,"&lt;&gt;0"))</f>
        <v>6.3001831475210066</v>
      </c>
    </row>
    <row r="68" spans="1:8">
      <c r="A68">
        <v>66</v>
      </c>
      <c r="B68">
        <v>50</v>
      </c>
      <c r="C68">
        <v>48</v>
      </c>
      <c r="D68">
        <v>49</v>
      </c>
      <c r="E68" s="4">
        <f t="shared" ref="E68:E131" si="3">IF(AND(C68&lt;=B68*1.2,C68&gt;=B68*0.8),1,0)</f>
        <v>1</v>
      </c>
      <c r="F68" s="4">
        <f t="shared" ref="F68:F131" si="4">ABS(B68-C68)</f>
        <v>2</v>
      </c>
      <c r="G68" s="4">
        <f t="shared" ref="G68:G131" si="5">POWER(F68,2)</f>
        <v>4</v>
      </c>
      <c r="H68" s="5">
        <f>SQRT(SUM('p-pi-3'!$C$3:C68)/COUNTIF($A$3:A68,"&lt;&gt;0"))</f>
        <v>6.3101649596648279</v>
      </c>
    </row>
    <row r="69" spans="1:8">
      <c r="A69">
        <v>67</v>
      </c>
      <c r="B69">
        <v>50</v>
      </c>
      <c r="C69">
        <v>48</v>
      </c>
      <c r="D69">
        <v>48</v>
      </c>
      <c r="E69" s="4">
        <f t="shared" si="3"/>
        <v>1</v>
      </c>
      <c r="F69" s="4">
        <f t="shared" si="4"/>
        <v>2</v>
      </c>
      <c r="G69" s="4">
        <f t="shared" si="5"/>
        <v>4</v>
      </c>
      <c r="H69" s="5">
        <f>SQRT(SUM('p-pi-3'!$C$3:C69)/COUNTIF($A$3:A69,"&lt;&gt;0"))</f>
        <v>6.3198337404921254</v>
      </c>
    </row>
    <row r="70" spans="1:8">
      <c r="A70">
        <v>68</v>
      </c>
      <c r="B70">
        <v>50</v>
      </c>
      <c r="C70">
        <v>57</v>
      </c>
      <c r="D70">
        <v>48</v>
      </c>
      <c r="E70" s="4">
        <f t="shared" si="3"/>
        <v>1</v>
      </c>
      <c r="F70" s="4">
        <f t="shared" si="4"/>
        <v>7</v>
      </c>
      <c r="G70" s="4">
        <f t="shared" si="5"/>
        <v>49</v>
      </c>
      <c r="H70" s="5">
        <f>SQRT(SUM('p-pi-3'!$C$3:C70)/COUNTIF($A$3:A70,"&lt;&gt;0"))</f>
        <v>6.3396511316150699</v>
      </c>
    </row>
    <row r="71" spans="1:8">
      <c r="A71">
        <v>69</v>
      </c>
      <c r="B71">
        <v>50</v>
      </c>
      <c r="C71">
        <v>45</v>
      </c>
      <c r="D71">
        <v>45</v>
      </c>
      <c r="E71" s="4">
        <f t="shared" si="3"/>
        <v>1</v>
      </c>
      <c r="F71" s="4">
        <f t="shared" si="4"/>
        <v>5</v>
      </c>
      <c r="G71" s="4">
        <f t="shared" si="5"/>
        <v>25</v>
      </c>
      <c r="H71" s="5">
        <f>SQRT(SUM('p-pi-3'!$C$3:C71)/COUNTIF($A$3:A71,"&lt;&gt;0"))</f>
        <v>6.345145354144174</v>
      </c>
    </row>
    <row r="72" spans="1:8">
      <c r="A72">
        <v>70</v>
      </c>
      <c r="B72">
        <v>50</v>
      </c>
      <c r="C72">
        <v>48</v>
      </c>
      <c r="D72">
        <v>49</v>
      </c>
      <c r="E72" s="4">
        <f t="shared" si="3"/>
        <v>1</v>
      </c>
      <c r="F72" s="4">
        <f t="shared" si="4"/>
        <v>2</v>
      </c>
      <c r="G72" s="4">
        <f t="shared" si="5"/>
        <v>4</v>
      </c>
      <c r="H72" s="5">
        <f>SQRT(SUM('p-pi-3'!$C$3:C72)/COUNTIF($A$3:A72,"&lt;&gt;0"))</f>
        <v>6.3538514753988835</v>
      </c>
    </row>
    <row r="73" spans="1:8">
      <c r="A73">
        <v>71</v>
      </c>
      <c r="B73">
        <v>50</v>
      </c>
      <c r="C73">
        <v>48</v>
      </c>
      <c r="D73">
        <v>48</v>
      </c>
      <c r="E73" s="4">
        <f t="shared" si="3"/>
        <v>1</v>
      </c>
      <c r="F73" s="4">
        <f t="shared" si="4"/>
        <v>2</v>
      </c>
      <c r="G73" s="4">
        <f t="shared" si="5"/>
        <v>4</v>
      </c>
      <c r="H73" s="5">
        <f>SQRT(SUM('p-pi-3'!$C$3:C73)/COUNTIF($A$3:A73,"&lt;&gt;0"))</f>
        <v>6.3623009390814431</v>
      </c>
    </row>
    <row r="74" spans="1:8">
      <c r="A74">
        <v>72</v>
      </c>
      <c r="B74">
        <v>50</v>
      </c>
      <c r="C74">
        <v>57</v>
      </c>
      <c r="D74">
        <v>48</v>
      </c>
      <c r="E74" s="4">
        <f t="shared" si="3"/>
        <v>1</v>
      </c>
      <c r="F74" s="4">
        <f t="shared" si="4"/>
        <v>7</v>
      </c>
      <c r="G74" s="4">
        <f t="shared" si="5"/>
        <v>49</v>
      </c>
      <c r="H74" s="5">
        <f>SQRT(SUM('p-pi-3'!$C$3:C74)/COUNTIF($A$3:A74,"&lt;&gt;0"))</f>
        <v>6.3803082475169912</v>
      </c>
    </row>
    <row r="75" spans="1:8">
      <c r="A75">
        <v>73</v>
      </c>
      <c r="B75">
        <v>50</v>
      </c>
      <c r="C75">
        <v>45</v>
      </c>
      <c r="D75">
        <v>45</v>
      </c>
      <c r="E75" s="4">
        <f t="shared" si="3"/>
        <v>1</v>
      </c>
      <c r="F75" s="4">
        <f t="shared" si="4"/>
        <v>5</v>
      </c>
      <c r="G75" s="4">
        <f t="shared" si="5"/>
        <v>25</v>
      </c>
      <c r="H75" s="5">
        <f>SQRT(SUM('p-pi-3'!$C$3:C75)/COUNTIF($A$3:A75,"&lt;&gt;0"))</f>
        <v>6.3849137259379809</v>
      </c>
    </row>
    <row r="76" spans="1:8">
      <c r="A76">
        <v>74</v>
      </c>
      <c r="B76">
        <v>50</v>
      </c>
      <c r="C76">
        <v>48</v>
      </c>
      <c r="D76">
        <v>49</v>
      </c>
      <c r="E76" s="4">
        <f t="shared" si="3"/>
        <v>1</v>
      </c>
      <c r="F76" s="4">
        <f t="shared" si="4"/>
        <v>2</v>
      </c>
      <c r="G76" s="4">
        <f t="shared" si="5"/>
        <v>4</v>
      </c>
      <c r="H76" s="5">
        <f>SQRT(SUM('p-pi-3'!$C$3:C76)/COUNTIF($A$3:A76,"&lt;&gt;0"))</f>
        <v>6.3925632468411964</v>
      </c>
    </row>
    <row r="77" spans="1:8">
      <c r="A77">
        <v>75</v>
      </c>
      <c r="B77">
        <v>50</v>
      </c>
      <c r="C77">
        <v>48</v>
      </c>
      <c r="D77">
        <v>48</v>
      </c>
      <c r="E77" s="4">
        <f t="shared" si="3"/>
        <v>1</v>
      </c>
      <c r="F77" s="4">
        <f t="shared" si="4"/>
        <v>2</v>
      </c>
      <c r="G77" s="4">
        <f t="shared" si="5"/>
        <v>4</v>
      </c>
      <c r="H77" s="5">
        <f>SQRT(SUM('p-pi-3'!$C$3:C77)/COUNTIF($A$3:A77,"&lt;&gt;0"))</f>
        <v>6.4</v>
      </c>
    </row>
    <row r="78" spans="1:8">
      <c r="A78">
        <v>76</v>
      </c>
      <c r="B78">
        <v>50</v>
      </c>
      <c r="C78">
        <v>48</v>
      </c>
      <c r="D78">
        <v>49</v>
      </c>
      <c r="E78" s="4">
        <f t="shared" si="3"/>
        <v>1</v>
      </c>
      <c r="F78" s="4">
        <f t="shared" si="4"/>
        <v>2</v>
      </c>
      <c r="G78" s="4">
        <f t="shared" si="5"/>
        <v>4</v>
      </c>
      <c r="H78" s="5">
        <f>SQRT(SUM('p-pi-3'!$C$3:C78)/COUNTIF($A$3:A78,"&lt;&gt;0"))</f>
        <v>6.4072327551718748</v>
      </c>
    </row>
    <row r="79" spans="1:8">
      <c r="A79">
        <v>77</v>
      </c>
      <c r="B79">
        <v>50</v>
      </c>
      <c r="C79">
        <v>48</v>
      </c>
      <c r="D79">
        <v>48</v>
      </c>
      <c r="E79" s="4">
        <f t="shared" si="3"/>
        <v>1</v>
      </c>
      <c r="F79" s="4">
        <f t="shared" si="4"/>
        <v>2</v>
      </c>
      <c r="G79" s="4">
        <f t="shared" si="5"/>
        <v>4</v>
      </c>
      <c r="H79" s="5">
        <f>SQRT(SUM('p-pi-3'!$C$3:C79)/COUNTIF($A$3:A79,"&lt;&gt;0"))</f>
        <v>6.4142698058981855</v>
      </c>
    </row>
    <row r="80" spans="1:8">
      <c r="A80">
        <v>78</v>
      </c>
      <c r="B80">
        <v>50</v>
      </c>
      <c r="C80">
        <v>48</v>
      </c>
      <c r="D80">
        <v>49</v>
      </c>
      <c r="E80" s="4">
        <f t="shared" si="3"/>
        <v>1</v>
      </c>
      <c r="F80" s="4">
        <f t="shared" si="4"/>
        <v>2</v>
      </c>
      <c r="G80" s="4">
        <f t="shared" si="5"/>
        <v>4</v>
      </c>
      <c r="H80" s="5">
        <f>SQRT(SUM('p-pi-3'!$C$3:C80)/COUNTIF($A$3:A80,"&lt;&gt;0"))</f>
        <v>6.4211190014489867</v>
      </c>
    </row>
    <row r="81" spans="1:8">
      <c r="A81">
        <v>79</v>
      </c>
      <c r="B81">
        <v>50</v>
      </c>
      <c r="C81">
        <v>49</v>
      </c>
      <c r="D81">
        <v>49</v>
      </c>
      <c r="E81" s="4">
        <f t="shared" si="3"/>
        <v>1</v>
      </c>
      <c r="F81" s="4">
        <f t="shared" si="4"/>
        <v>1</v>
      </c>
      <c r="G81" s="4">
        <f t="shared" si="5"/>
        <v>1</v>
      </c>
      <c r="H81" s="5">
        <f>SQRT(SUM('p-pi-3'!$C$3:C81)/COUNTIF($A$3:A81,"&lt;&gt;0"))</f>
        <v>6.4287723496831513</v>
      </c>
    </row>
    <row r="82" spans="1:8">
      <c r="A82">
        <v>80</v>
      </c>
      <c r="B82">
        <v>50</v>
      </c>
      <c r="C82">
        <v>58</v>
      </c>
      <c r="D82">
        <v>49</v>
      </c>
      <c r="E82" s="4">
        <f t="shared" si="3"/>
        <v>1</v>
      </c>
      <c r="F82" s="4">
        <f t="shared" si="4"/>
        <v>8</v>
      </c>
      <c r="G82" s="4">
        <f t="shared" si="5"/>
        <v>64</v>
      </c>
      <c r="H82" s="5">
        <f>SQRT(SUM('p-pi-3'!$C$3:C82)/COUNTIF($A$3:A82,"&lt;&gt;0"))</f>
        <v>6.4449592706238263</v>
      </c>
    </row>
    <row r="83" spans="1:8">
      <c r="A83">
        <v>81</v>
      </c>
      <c r="B83">
        <v>50</v>
      </c>
      <c r="C83">
        <v>45</v>
      </c>
      <c r="D83">
        <v>45</v>
      </c>
      <c r="E83" s="4">
        <f t="shared" si="3"/>
        <v>1</v>
      </c>
      <c r="F83" s="4">
        <f t="shared" si="4"/>
        <v>5</v>
      </c>
      <c r="G83" s="4">
        <f t="shared" si="5"/>
        <v>25</v>
      </c>
      <c r="H83" s="5">
        <f>SQRT(SUM('p-pi-3'!$C$3:C83)/COUNTIF($A$3:A83,"&lt;&gt;0"))</f>
        <v>6.448274723798626</v>
      </c>
    </row>
    <row r="84" spans="1:8">
      <c r="A84">
        <v>82</v>
      </c>
      <c r="B84">
        <v>50</v>
      </c>
      <c r="C84">
        <v>48</v>
      </c>
      <c r="D84">
        <v>49</v>
      </c>
      <c r="E84" s="4">
        <f t="shared" si="3"/>
        <v>1</v>
      </c>
      <c r="F84" s="4">
        <f t="shared" si="4"/>
        <v>2</v>
      </c>
      <c r="G84" s="4">
        <f t="shared" si="5"/>
        <v>4</v>
      </c>
      <c r="H84" s="5">
        <f>SQRT(SUM('p-pi-3'!$C$3:C84)/COUNTIF($A$3:A84,"&lt;&gt;0"))</f>
        <v>6.4543424595667256</v>
      </c>
    </row>
    <row r="85" spans="1:8">
      <c r="A85">
        <v>83</v>
      </c>
      <c r="B85">
        <v>50</v>
      </c>
      <c r="C85">
        <v>49</v>
      </c>
      <c r="D85">
        <v>49</v>
      </c>
      <c r="E85" s="4">
        <f t="shared" si="3"/>
        <v>1</v>
      </c>
      <c r="F85" s="4">
        <f t="shared" si="4"/>
        <v>1</v>
      </c>
      <c r="G85" s="4">
        <f t="shared" si="5"/>
        <v>1</v>
      </c>
      <c r="H85" s="5">
        <f>SQRT(SUM('p-pi-3'!$C$3:C85)/COUNTIF($A$3:A85,"&lt;&gt;0"))</f>
        <v>6.4611909081691143</v>
      </c>
    </row>
    <row r="86" spans="1:8">
      <c r="A86">
        <v>84</v>
      </c>
      <c r="B86">
        <v>50</v>
      </c>
      <c r="C86">
        <v>58</v>
      </c>
      <c r="D86">
        <v>49</v>
      </c>
      <c r="E86" s="4">
        <f t="shared" si="3"/>
        <v>1</v>
      </c>
      <c r="F86" s="4">
        <f t="shared" si="4"/>
        <v>8</v>
      </c>
      <c r="G86" s="4">
        <f t="shared" si="5"/>
        <v>64</v>
      </c>
      <c r="H86" s="5">
        <f>SQRT(SUM('p-pi-3'!$C$3:C86)/COUNTIF($A$3:A86,"&lt;&gt;0"))</f>
        <v>6.4761467085355768</v>
      </c>
    </row>
    <row r="87" spans="1:8">
      <c r="A87">
        <v>85</v>
      </c>
      <c r="B87">
        <v>50</v>
      </c>
      <c r="C87">
        <v>45</v>
      </c>
      <c r="D87">
        <v>45</v>
      </c>
      <c r="E87" s="4">
        <f t="shared" si="3"/>
        <v>1</v>
      </c>
      <c r="F87" s="4">
        <f t="shared" si="4"/>
        <v>5</v>
      </c>
      <c r="G87" s="4">
        <f t="shared" si="5"/>
        <v>25</v>
      </c>
      <c r="H87" s="5">
        <f>SQRT(SUM('p-pi-3'!$C$3:C87)/COUNTIF($A$3:A87,"&lt;&gt;0"))</f>
        <v>6.478925110559258</v>
      </c>
    </row>
    <row r="88" spans="1:8">
      <c r="A88">
        <v>86</v>
      </c>
      <c r="B88">
        <v>50</v>
      </c>
      <c r="C88">
        <v>48</v>
      </c>
      <c r="D88">
        <v>49</v>
      </c>
      <c r="E88" s="4">
        <f t="shared" si="3"/>
        <v>1</v>
      </c>
      <c r="F88" s="4">
        <f t="shared" si="4"/>
        <v>2</v>
      </c>
      <c r="G88" s="4">
        <f t="shared" si="5"/>
        <v>4</v>
      </c>
      <c r="H88" s="5">
        <f>SQRT(SUM('p-pi-3'!$C$3:C88)/COUNTIF($A$3:A88,"&lt;&gt;0"))</f>
        <v>6.4843281554766312</v>
      </c>
    </row>
    <row r="89" spans="1:8">
      <c r="A89">
        <v>87</v>
      </c>
      <c r="B89">
        <v>50</v>
      </c>
      <c r="C89">
        <v>49</v>
      </c>
      <c r="D89">
        <v>49</v>
      </c>
      <c r="E89" s="4">
        <f t="shared" si="3"/>
        <v>1</v>
      </c>
      <c r="F89" s="4">
        <f t="shared" si="4"/>
        <v>1</v>
      </c>
      <c r="G89" s="4">
        <f t="shared" si="5"/>
        <v>1</v>
      </c>
      <c r="H89" s="5">
        <f>SQRT(SUM('p-pi-3'!$C$3:C89)/COUNTIF($A$3:A89,"&lt;&gt;0"))</f>
        <v>6.4904881774493042</v>
      </c>
    </row>
    <row r="90" spans="1:8">
      <c r="A90">
        <v>88</v>
      </c>
      <c r="B90">
        <v>50</v>
      </c>
      <c r="C90">
        <v>57</v>
      </c>
      <c r="D90">
        <v>48</v>
      </c>
      <c r="E90" s="4">
        <f t="shared" si="3"/>
        <v>1</v>
      </c>
      <c r="F90" s="4">
        <f t="shared" si="4"/>
        <v>7</v>
      </c>
      <c r="G90" s="4">
        <f t="shared" si="5"/>
        <v>49</v>
      </c>
      <c r="H90" s="5">
        <f>SQRT(SUM('p-pi-3'!$C$3:C90)/COUNTIF($A$3:A90,"&lt;&gt;0"))</f>
        <v>6.5034955635761413</v>
      </c>
    </row>
    <row r="91" spans="1:8">
      <c r="A91">
        <v>89</v>
      </c>
      <c r="B91">
        <v>50</v>
      </c>
      <c r="C91">
        <v>45</v>
      </c>
      <c r="D91">
        <v>45</v>
      </c>
      <c r="E91" s="4">
        <f t="shared" si="3"/>
        <v>1</v>
      </c>
      <c r="F91" s="4">
        <f t="shared" si="4"/>
        <v>5</v>
      </c>
      <c r="G91" s="4">
        <f t="shared" si="5"/>
        <v>25</v>
      </c>
      <c r="H91" s="5">
        <f>SQRT(SUM('p-pi-3'!$C$3:C91)/COUNTIF($A$3:A91,"&lt;&gt;0"))</f>
        <v>6.5058314377663686</v>
      </c>
    </row>
    <row r="92" spans="1:8">
      <c r="A92">
        <v>90</v>
      </c>
      <c r="B92">
        <v>50</v>
      </c>
      <c r="C92">
        <v>48</v>
      </c>
      <c r="D92">
        <v>49</v>
      </c>
      <c r="E92" s="4">
        <f t="shared" si="3"/>
        <v>1</v>
      </c>
      <c r="F92" s="4">
        <f t="shared" si="4"/>
        <v>2</v>
      </c>
      <c r="G92" s="4">
        <f t="shared" si="5"/>
        <v>4</v>
      </c>
      <c r="H92" s="5">
        <f>SQRT(SUM('p-pi-3'!$C$3:C92)/COUNTIF($A$3:A92,"&lt;&gt;0"))</f>
        <v>6.5106749948748694</v>
      </c>
    </row>
    <row r="93" spans="1:8">
      <c r="A93">
        <v>91</v>
      </c>
      <c r="B93">
        <v>50</v>
      </c>
      <c r="C93">
        <v>49</v>
      </c>
      <c r="D93">
        <v>49</v>
      </c>
      <c r="E93" s="4">
        <f t="shared" si="3"/>
        <v>1</v>
      </c>
      <c r="F93" s="4">
        <f t="shared" si="4"/>
        <v>1</v>
      </c>
      <c r="G93" s="4">
        <f t="shared" si="5"/>
        <v>1</v>
      </c>
      <c r="H93" s="5">
        <f>SQRT(SUM('p-pi-3'!$C$3:C93)/COUNTIF($A$3:A93,"&lt;&gt;0"))</f>
        <v>6.5162518721684215</v>
      </c>
    </row>
    <row r="94" spans="1:8">
      <c r="A94">
        <v>92</v>
      </c>
      <c r="B94">
        <v>50</v>
      </c>
      <c r="C94">
        <v>57</v>
      </c>
      <c r="D94">
        <v>48</v>
      </c>
      <c r="E94" s="4">
        <f t="shared" si="3"/>
        <v>1</v>
      </c>
      <c r="F94" s="4">
        <f t="shared" si="4"/>
        <v>7</v>
      </c>
      <c r="G94" s="4">
        <f t="shared" si="5"/>
        <v>49</v>
      </c>
      <c r="H94" s="5">
        <f>SQRT(SUM('p-pi-3'!$C$3:C94)/COUNTIF($A$3:A94,"&lt;&gt;0"))</f>
        <v>6.5283661981686736</v>
      </c>
    </row>
    <row r="95" spans="1:8">
      <c r="A95">
        <v>93</v>
      </c>
      <c r="B95">
        <v>50</v>
      </c>
      <c r="C95">
        <v>45</v>
      </c>
      <c r="D95">
        <v>45</v>
      </c>
      <c r="E95" s="4">
        <f t="shared" si="3"/>
        <v>1</v>
      </c>
      <c r="F95" s="4">
        <f t="shared" si="4"/>
        <v>5</v>
      </c>
      <c r="G95" s="4">
        <f t="shared" si="5"/>
        <v>25</v>
      </c>
      <c r="H95" s="5">
        <f>SQRT(SUM('p-pi-3'!$C$3:C95)/COUNTIF($A$3:A95,"&lt;&gt;0"))</f>
        <v>6.5303262774782231</v>
      </c>
    </row>
    <row r="96" spans="1:8">
      <c r="A96">
        <v>94</v>
      </c>
      <c r="B96">
        <v>50</v>
      </c>
      <c r="C96">
        <v>48</v>
      </c>
      <c r="D96">
        <v>49</v>
      </c>
      <c r="E96" s="4">
        <f t="shared" si="3"/>
        <v>1</v>
      </c>
      <c r="F96" s="4">
        <f t="shared" si="4"/>
        <v>2</v>
      </c>
      <c r="G96" s="4">
        <f t="shared" si="5"/>
        <v>4</v>
      </c>
      <c r="H96" s="5">
        <f>SQRT(SUM('p-pi-3'!$C$3:C96)/COUNTIF($A$3:A96,"&lt;&gt;0"))</f>
        <v>6.5346865004814472</v>
      </c>
    </row>
    <row r="97" spans="1:8">
      <c r="A97">
        <v>95</v>
      </c>
      <c r="B97">
        <v>50</v>
      </c>
      <c r="C97">
        <v>48</v>
      </c>
      <c r="D97">
        <v>48</v>
      </c>
      <c r="E97" s="4">
        <f t="shared" si="3"/>
        <v>1</v>
      </c>
      <c r="F97" s="4">
        <f t="shared" si="4"/>
        <v>2</v>
      </c>
      <c r="G97" s="4">
        <f t="shared" si="5"/>
        <v>4</v>
      </c>
      <c r="H97" s="5">
        <f>SQRT(SUM('p-pi-3'!$C$3:C97)/COUNTIF($A$3:A97,"&lt;&gt;0"))</f>
        <v>6.5389521130561974</v>
      </c>
    </row>
    <row r="98" spans="1:8">
      <c r="A98">
        <v>96</v>
      </c>
      <c r="B98">
        <v>50</v>
      </c>
      <c r="C98">
        <v>58</v>
      </c>
      <c r="D98">
        <v>49</v>
      </c>
      <c r="E98" s="4">
        <f t="shared" si="3"/>
        <v>1</v>
      </c>
      <c r="F98" s="4">
        <f t="shared" si="4"/>
        <v>8</v>
      </c>
      <c r="G98" s="4">
        <f t="shared" si="5"/>
        <v>64</v>
      </c>
      <c r="H98" s="5">
        <f>SQRT(SUM('p-pi-3'!$C$3:C98)/COUNTIF($A$3:A98,"&lt;&gt;0"))</f>
        <v>6.5510813356778481</v>
      </c>
    </row>
    <row r="99" spans="1:8">
      <c r="A99">
        <v>97</v>
      </c>
      <c r="B99">
        <v>50</v>
      </c>
      <c r="C99">
        <v>45</v>
      </c>
      <c r="D99">
        <v>45</v>
      </c>
      <c r="E99" s="4">
        <f t="shared" si="3"/>
        <v>1</v>
      </c>
      <c r="F99" s="4">
        <f t="shared" si="4"/>
        <v>5</v>
      </c>
      <c r="G99" s="4">
        <f t="shared" si="5"/>
        <v>25</v>
      </c>
      <c r="H99" s="5">
        <f>SQRT(SUM('p-pi-3'!$C$3:C99)/COUNTIF($A$3:A99,"&lt;&gt;0"))</f>
        <v>6.5527203762938724</v>
      </c>
    </row>
    <row r="100" spans="1:8">
      <c r="A100">
        <v>98</v>
      </c>
      <c r="B100">
        <v>50</v>
      </c>
      <c r="C100">
        <v>48</v>
      </c>
      <c r="D100">
        <v>49</v>
      </c>
      <c r="E100" s="4">
        <f t="shared" si="3"/>
        <v>1</v>
      </c>
      <c r="F100" s="4">
        <f t="shared" si="4"/>
        <v>2</v>
      </c>
      <c r="G100" s="4">
        <f t="shared" si="5"/>
        <v>4</v>
      </c>
      <c r="H100" s="5">
        <f>SQRT(SUM('p-pi-3'!$C$3:C100)/COUNTIF($A$3:A100,"&lt;&gt;0"))</f>
        <v>6.5566604242073838</v>
      </c>
    </row>
    <row r="101" spans="1:8">
      <c r="A101">
        <v>99</v>
      </c>
      <c r="B101">
        <v>50</v>
      </c>
      <c r="C101">
        <v>48</v>
      </c>
      <c r="D101">
        <v>48</v>
      </c>
      <c r="E101" s="4">
        <f t="shared" si="3"/>
        <v>1</v>
      </c>
      <c r="F101" s="4">
        <f t="shared" si="4"/>
        <v>2</v>
      </c>
      <c r="G101" s="4">
        <f t="shared" si="5"/>
        <v>4</v>
      </c>
      <c r="H101" s="5">
        <f>SQRT(SUM('p-pi-3'!$C$3:C101)/COUNTIF($A$3:A101,"&lt;&gt;0"))</f>
        <v>6.5605185801431922</v>
      </c>
    </row>
    <row r="102" spans="1:8">
      <c r="A102">
        <v>100</v>
      </c>
      <c r="B102">
        <v>50</v>
      </c>
      <c r="C102">
        <v>58</v>
      </c>
      <c r="D102">
        <v>49</v>
      </c>
      <c r="E102" s="4">
        <f t="shared" si="3"/>
        <v>1</v>
      </c>
      <c r="F102" s="4">
        <f t="shared" si="4"/>
        <v>8</v>
      </c>
      <c r="G102" s="4">
        <f t="shared" si="5"/>
        <v>64</v>
      </c>
      <c r="H102" s="5">
        <f>SQRT(SUM('p-pi-3'!$C$3:C102)/COUNTIF($A$3:A102,"&lt;&gt;0"))</f>
        <v>6.5719099202591025</v>
      </c>
    </row>
    <row r="103" spans="1:8">
      <c r="A103">
        <v>101</v>
      </c>
      <c r="B103">
        <v>50</v>
      </c>
      <c r="C103">
        <v>45</v>
      </c>
      <c r="D103">
        <v>45</v>
      </c>
      <c r="E103" s="4">
        <f t="shared" si="3"/>
        <v>1</v>
      </c>
      <c r="F103" s="4">
        <f t="shared" si="4"/>
        <v>5</v>
      </c>
      <c r="G103" s="4">
        <f t="shared" si="5"/>
        <v>25</v>
      </c>
      <c r="H103" s="5">
        <f>SQRT(SUM('p-pi-3'!$C$3:C103)/COUNTIF($A$3:A103,"&lt;&gt;0"))</f>
        <v>6.5732732175134183</v>
      </c>
    </row>
    <row r="104" spans="1:8">
      <c r="A104">
        <v>102</v>
      </c>
      <c r="B104">
        <v>50</v>
      </c>
      <c r="C104">
        <v>48</v>
      </c>
      <c r="D104">
        <v>49</v>
      </c>
      <c r="E104" s="4">
        <f t="shared" si="3"/>
        <v>1</v>
      </c>
      <c r="F104" s="4">
        <f t="shared" si="4"/>
        <v>2</v>
      </c>
      <c r="G104" s="4">
        <f t="shared" si="5"/>
        <v>4</v>
      </c>
      <c r="H104" s="5">
        <f>SQRT(SUM('p-pi-3'!$C$3:C104)/COUNTIF($A$3:A104,"&lt;&gt;0"))</f>
        <v>6.5768458976004842</v>
      </c>
    </row>
    <row r="105" spans="1:8">
      <c r="A105">
        <v>103</v>
      </c>
      <c r="B105">
        <v>50</v>
      </c>
      <c r="C105">
        <v>48</v>
      </c>
      <c r="D105">
        <v>48</v>
      </c>
      <c r="E105" s="4">
        <f t="shared" si="3"/>
        <v>1</v>
      </c>
      <c r="F105" s="4">
        <f t="shared" si="4"/>
        <v>2</v>
      </c>
      <c r="G105" s="4">
        <f t="shared" si="5"/>
        <v>4</v>
      </c>
      <c r="H105" s="5">
        <f>SQRT(SUM('p-pi-3'!$C$3:C105)/COUNTIF($A$3:A105,"&lt;&gt;0"))</f>
        <v>6.580347321668242</v>
      </c>
    </row>
    <row r="106" spans="1:8">
      <c r="A106">
        <v>104</v>
      </c>
      <c r="B106">
        <v>50</v>
      </c>
      <c r="C106">
        <v>57</v>
      </c>
      <c r="D106">
        <v>48</v>
      </c>
      <c r="E106" s="4">
        <f t="shared" si="3"/>
        <v>1</v>
      </c>
      <c r="F106" s="4">
        <f t="shared" si="4"/>
        <v>7</v>
      </c>
      <c r="G106" s="4">
        <f t="shared" si="5"/>
        <v>49</v>
      </c>
      <c r="H106" s="5">
        <f>SQRT(SUM('p-pi-3'!$C$3:C106)/COUNTIF($A$3:A106,"&lt;&gt;0"))</f>
        <v>6.5903484208114751</v>
      </c>
    </row>
    <row r="107" spans="1:8">
      <c r="A107">
        <v>105</v>
      </c>
      <c r="B107">
        <v>50</v>
      </c>
      <c r="C107">
        <v>45</v>
      </c>
      <c r="D107">
        <v>45</v>
      </c>
      <c r="E107" s="4">
        <f t="shared" si="3"/>
        <v>1</v>
      </c>
      <c r="F107" s="4">
        <f t="shared" si="4"/>
        <v>5</v>
      </c>
      <c r="G107" s="4">
        <f t="shared" si="5"/>
        <v>25</v>
      </c>
      <c r="H107" s="5">
        <f>SQRT(SUM('p-pi-3'!$C$3:C107)/COUNTIF($A$3:A107,"&lt;&gt;0"))</f>
        <v>6.5914807932375146</v>
      </c>
    </row>
    <row r="108" spans="1:8">
      <c r="A108">
        <v>106</v>
      </c>
      <c r="B108">
        <v>50</v>
      </c>
      <c r="C108">
        <v>48</v>
      </c>
      <c r="D108">
        <v>49</v>
      </c>
      <c r="E108" s="4">
        <f t="shared" si="3"/>
        <v>1</v>
      </c>
      <c r="F108" s="4">
        <f t="shared" si="4"/>
        <v>2</v>
      </c>
      <c r="G108" s="4">
        <f t="shared" si="5"/>
        <v>4</v>
      </c>
      <c r="H108" s="5">
        <f>SQRT(SUM('p-pi-3'!$C$3:C108)/COUNTIF($A$3:A108,"&lt;&gt;0"))</f>
        <v>6.5947377535225646</v>
      </c>
    </row>
    <row r="109" spans="1:8">
      <c r="A109">
        <v>107</v>
      </c>
      <c r="B109">
        <v>50</v>
      </c>
      <c r="C109">
        <v>57</v>
      </c>
      <c r="D109">
        <v>48</v>
      </c>
      <c r="E109" s="4">
        <f t="shared" si="3"/>
        <v>1</v>
      </c>
      <c r="F109" s="4">
        <f t="shared" si="4"/>
        <v>7</v>
      </c>
      <c r="G109" s="4">
        <f t="shared" si="5"/>
        <v>49</v>
      </c>
      <c r="H109" s="5">
        <f>SQRT(SUM('p-pi-3'!$C$3:C109)/COUNTIF($A$3:A109,"&lt;&gt;0"))</f>
        <v>6.6043033266126221</v>
      </c>
    </row>
    <row r="110" spans="1:8">
      <c r="A110">
        <v>108</v>
      </c>
      <c r="B110">
        <v>50</v>
      </c>
      <c r="C110">
        <v>45</v>
      </c>
      <c r="D110">
        <v>45</v>
      </c>
      <c r="E110" s="4">
        <f t="shared" si="3"/>
        <v>1</v>
      </c>
      <c r="F110" s="4">
        <f t="shared" si="4"/>
        <v>5</v>
      </c>
      <c r="G110" s="4">
        <f t="shared" si="5"/>
        <v>25</v>
      </c>
      <c r="H110" s="5">
        <f>SQRT(SUM('p-pi-3'!$C$3:C110)/COUNTIF($A$3:A110,"&lt;&gt;0"))</f>
        <v>6.6052728656452659</v>
      </c>
    </row>
    <row r="111" spans="1:8">
      <c r="A111">
        <v>109</v>
      </c>
      <c r="B111">
        <v>50</v>
      </c>
      <c r="C111">
        <v>48</v>
      </c>
      <c r="D111">
        <v>49</v>
      </c>
      <c r="E111" s="4">
        <f t="shared" si="3"/>
        <v>1</v>
      </c>
      <c r="F111" s="4">
        <f t="shared" si="4"/>
        <v>2</v>
      </c>
      <c r="G111" s="4">
        <f t="shared" si="5"/>
        <v>4</v>
      </c>
      <c r="H111" s="5">
        <f>SQRT(SUM('p-pi-3'!$C$3:C111)/COUNTIF($A$3:A111,"&lt;&gt;0"))</f>
        <v>6.6083072545578725</v>
      </c>
    </row>
    <row r="112" spans="1:8">
      <c r="A112">
        <v>110</v>
      </c>
      <c r="B112">
        <v>50</v>
      </c>
      <c r="C112">
        <v>48</v>
      </c>
      <c r="D112">
        <v>48</v>
      </c>
      <c r="E112" s="4">
        <f t="shared" si="3"/>
        <v>1</v>
      </c>
      <c r="F112" s="4">
        <f t="shared" si="4"/>
        <v>2</v>
      </c>
      <c r="G112" s="4">
        <f t="shared" si="5"/>
        <v>4</v>
      </c>
      <c r="H112" s="5">
        <f>SQRT(SUM('p-pi-3'!$C$3:C112)/COUNTIF($A$3:A112,"&lt;&gt;0"))</f>
        <v>6.6112851178186913</v>
      </c>
    </row>
    <row r="113" spans="1:8">
      <c r="A113">
        <v>111</v>
      </c>
      <c r="B113">
        <v>50</v>
      </c>
      <c r="C113">
        <v>48</v>
      </c>
      <c r="D113">
        <v>48</v>
      </c>
      <c r="E113" s="4">
        <f t="shared" si="3"/>
        <v>1</v>
      </c>
      <c r="F113" s="4">
        <f t="shared" si="4"/>
        <v>2</v>
      </c>
      <c r="G113" s="4">
        <f t="shared" si="5"/>
        <v>4</v>
      </c>
      <c r="H113" s="5">
        <f>SQRT(SUM('p-pi-3'!$C$3:C113)/COUNTIF($A$3:A113,"&lt;&gt;0"))</f>
        <v>6.6142080212031242</v>
      </c>
    </row>
    <row r="114" spans="1:8">
      <c r="A114">
        <v>112</v>
      </c>
      <c r="B114">
        <v>50</v>
      </c>
      <c r="C114">
        <v>58</v>
      </c>
      <c r="D114">
        <v>49</v>
      </c>
      <c r="E114" s="4">
        <f t="shared" si="3"/>
        <v>1</v>
      </c>
      <c r="F114" s="4">
        <f t="shared" si="4"/>
        <v>8</v>
      </c>
      <c r="G114" s="4">
        <f t="shared" si="5"/>
        <v>64</v>
      </c>
      <c r="H114" s="5">
        <f>SQRT(SUM('p-pi-3'!$C$3:C114)/COUNTIF($A$3:A114,"&lt;&gt;0"))</f>
        <v>6.6238206497458849</v>
      </c>
    </row>
    <row r="115" spans="1:8">
      <c r="A115">
        <v>113</v>
      </c>
      <c r="B115">
        <v>50</v>
      </c>
      <c r="C115">
        <v>45</v>
      </c>
      <c r="D115">
        <v>45</v>
      </c>
      <c r="E115" s="4">
        <f t="shared" si="3"/>
        <v>1</v>
      </c>
      <c r="F115" s="4">
        <f t="shared" si="4"/>
        <v>5</v>
      </c>
      <c r="G115" s="4">
        <f t="shared" si="5"/>
        <v>25</v>
      </c>
      <c r="H115" s="5">
        <f>SQRT(SUM('p-pi-3'!$C$3:C115)/COUNTIF($A$3:A115,"&lt;&gt;0"))</f>
        <v>6.6245721184248865</v>
      </c>
    </row>
    <row r="116" spans="1:8">
      <c r="A116">
        <v>114</v>
      </c>
      <c r="B116">
        <v>50</v>
      </c>
      <c r="C116">
        <v>48</v>
      </c>
      <c r="D116">
        <v>49</v>
      </c>
      <c r="E116" s="4">
        <f t="shared" si="3"/>
        <v>1</v>
      </c>
      <c r="F116" s="4">
        <f t="shared" si="4"/>
        <v>2</v>
      </c>
      <c r="G116" s="4">
        <f t="shared" si="5"/>
        <v>4</v>
      </c>
      <c r="H116" s="5">
        <f>SQRT(SUM('p-pi-3'!$C$3:C116)/COUNTIF($A$3:A116,"&lt;&gt;0"))</f>
        <v>6.6272960271576027</v>
      </c>
    </row>
    <row r="117" spans="1:8">
      <c r="A117">
        <v>115</v>
      </c>
      <c r="B117">
        <v>50</v>
      </c>
      <c r="C117">
        <v>57</v>
      </c>
      <c r="D117">
        <v>48</v>
      </c>
      <c r="E117" s="4">
        <f t="shared" si="3"/>
        <v>1</v>
      </c>
      <c r="F117" s="4">
        <f t="shared" si="4"/>
        <v>7</v>
      </c>
      <c r="G117" s="4">
        <f t="shared" si="5"/>
        <v>49</v>
      </c>
      <c r="H117" s="5">
        <f>SQRT(SUM('p-pi-3'!$C$3:C117)/COUNTIF($A$3:A117,"&lt;&gt;0"))</f>
        <v>6.6358709005446794</v>
      </c>
    </row>
    <row r="118" spans="1:8">
      <c r="A118">
        <v>116</v>
      </c>
      <c r="B118">
        <v>50</v>
      </c>
      <c r="C118">
        <v>45</v>
      </c>
      <c r="D118">
        <v>45</v>
      </c>
      <c r="E118" s="4">
        <f t="shared" si="3"/>
        <v>1</v>
      </c>
      <c r="F118" s="4">
        <f t="shared" si="4"/>
        <v>5</v>
      </c>
      <c r="G118" s="4">
        <f t="shared" si="5"/>
        <v>25</v>
      </c>
      <c r="H118" s="5">
        <f>SQRT(SUM('p-pi-3'!$C$3:C118)/COUNTIF($A$3:A118,"&lt;&gt;0"))</f>
        <v>6.6364978300513187</v>
      </c>
    </row>
    <row r="119" spans="1:8">
      <c r="A119">
        <v>117</v>
      </c>
      <c r="B119">
        <v>50</v>
      </c>
      <c r="C119">
        <v>58</v>
      </c>
      <c r="D119">
        <v>49</v>
      </c>
      <c r="E119" s="4">
        <f t="shared" si="3"/>
        <v>1</v>
      </c>
      <c r="F119" s="4">
        <f t="shared" si="4"/>
        <v>8</v>
      </c>
      <c r="G119" s="4">
        <f t="shared" si="5"/>
        <v>64</v>
      </c>
      <c r="H119" s="5">
        <f>SQRT(SUM('p-pi-3'!$C$3:C119)/COUNTIF($A$3:A119,"&lt;&gt;0"))</f>
        <v>6.6454791522051417</v>
      </c>
    </row>
    <row r="120" spans="1:8">
      <c r="A120">
        <v>118</v>
      </c>
      <c r="B120">
        <v>50</v>
      </c>
      <c r="C120">
        <v>45</v>
      </c>
      <c r="D120">
        <v>45</v>
      </c>
      <c r="E120" s="4">
        <f t="shared" si="3"/>
        <v>1</v>
      </c>
      <c r="F120" s="4">
        <f t="shared" si="4"/>
        <v>5</v>
      </c>
      <c r="G120" s="4">
        <f t="shared" si="5"/>
        <v>25</v>
      </c>
      <c r="H120" s="5">
        <f>SQRT(SUM('p-pi-3'!$C$3:C120)/COUNTIF($A$3:A120,"&lt;&gt;0"))</f>
        <v>6.6460132053302248</v>
      </c>
    </row>
    <row r="121" spans="1:8">
      <c r="A121">
        <v>119</v>
      </c>
      <c r="B121">
        <v>50</v>
      </c>
      <c r="C121">
        <v>48</v>
      </c>
      <c r="D121">
        <v>49</v>
      </c>
      <c r="E121" s="4">
        <f t="shared" si="3"/>
        <v>1</v>
      </c>
      <c r="F121" s="4">
        <f t="shared" si="4"/>
        <v>2</v>
      </c>
      <c r="G121" s="4">
        <f t="shared" si="5"/>
        <v>4</v>
      </c>
      <c r="H121" s="5">
        <f>SQRT(SUM('p-pi-3'!$C$3:C121)/COUNTIF($A$3:A121,"&lt;&gt;0"))</f>
        <v>6.6484344527316281</v>
      </c>
    </row>
    <row r="122" spans="1:8">
      <c r="A122">
        <v>120</v>
      </c>
      <c r="B122">
        <v>50</v>
      </c>
      <c r="C122">
        <v>48</v>
      </c>
      <c r="D122">
        <v>48</v>
      </c>
      <c r="E122" s="4">
        <f t="shared" si="3"/>
        <v>1</v>
      </c>
      <c r="F122" s="4">
        <f t="shared" si="4"/>
        <v>2</v>
      </c>
      <c r="G122" s="4">
        <f t="shared" si="5"/>
        <v>4</v>
      </c>
      <c r="H122" s="5">
        <f>SQRT(SUM('p-pi-3'!$C$3:C122)/COUNTIF($A$3:A122,"&lt;&gt;0"))</f>
        <v>6.65081448646204</v>
      </c>
    </row>
    <row r="123" spans="1:8">
      <c r="A123">
        <v>121</v>
      </c>
      <c r="B123">
        <v>50</v>
      </c>
      <c r="C123">
        <v>48</v>
      </c>
      <c r="D123">
        <v>48</v>
      </c>
      <c r="E123" s="4">
        <f t="shared" si="3"/>
        <v>1</v>
      </c>
      <c r="F123" s="4">
        <f t="shared" si="4"/>
        <v>2</v>
      </c>
      <c r="G123" s="4">
        <f t="shared" si="5"/>
        <v>4</v>
      </c>
      <c r="H123" s="5">
        <f>SQRT(SUM('p-pi-3'!$C$3:C123)/COUNTIF($A$3:A123,"&lt;&gt;0"))</f>
        <v>6.6531543503752681</v>
      </c>
    </row>
    <row r="124" spans="1:8">
      <c r="A124">
        <v>122</v>
      </c>
      <c r="B124">
        <v>50</v>
      </c>
      <c r="C124">
        <v>57</v>
      </c>
      <c r="D124">
        <v>48</v>
      </c>
      <c r="E124" s="4">
        <f t="shared" si="3"/>
        <v>1</v>
      </c>
      <c r="F124" s="4">
        <f t="shared" si="4"/>
        <v>7</v>
      </c>
      <c r="G124" s="4">
        <f t="shared" si="5"/>
        <v>49</v>
      </c>
      <c r="H124" s="5">
        <f>SQRT(SUM('p-pi-3'!$C$3:C124)/COUNTIF($A$3:A124,"&lt;&gt;0"))</f>
        <v>6.6609948550510376</v>
      </c>
    </row>
    <row r="125" spans="1:8">
      <c r="A125">
        <v>123</v>
      </c>
      <c r="B125">
        <v>50</v>
      </c>
      <c r="C125">
        <v>45</v>
      </c>
      <c r="D125">
        <v>45</v>
      </c>
      <c r="E125" s="4">
        <f t="shared" si="3"/>
        <v>1</v>
      </c>
      <c r="F125" s="4">
        <f t="shared" si="4"/>
        <v>5</v>
      </c>
      <c r="G125" s="4">
        <f t="shared" si="5"/>
        <v>25</v>
      </c>
      <c r="H125" s="5">
        <f>SQRT(SUM('p-pi-3'!$C$3:C125)/COUNTIF($A$3:A125,"&lt;&gt;0"))</f>
        <v>6.661380017671819</v>
      </c>
    </row>
    <row r="126" spans="1:8">
      <c r="A126">
        <v>124</v>
      </c>
      <c r="B126">
        <v>50</v>
      </c>
      <c r="C126">
        <v>48</v>
      </c>
      <c r="D126">
        <v>49</v>
      </c>
      <c r="E126" s="4">
        <f t="shared" si="3"/>
        <v>1</v>
      </c>
      <c r="F126" s="4">
        <f t="shared" si="4"/>
        <v>2</v>
      </c>
      <c r="G126" s="4">
        <f t="shared" si="5"/>
        <v>4</v>
      </c>
      <c r="H126" s="5">
        <f>SQRT(SUM('p-pi-3'!$C$3:C126)/COUNTIF($A$3:A126,"&lt;&gt;0"))</f>
        <v>6.6635745517290959</v>
      </c>
    </row>
    <row r="127" spans="1:8">
      <c r="A127">
        <v>125</v>
      </c>
      <c r="B127">
        <v>50</v>
      </c>
      <c r="C127">
        <v>48</v>
      </c>
      <c r="D127">
        <v>48</v>
      </c>
      <c r="E127" s="4">
        <f t="shared" si="3"/>
        <v>1</v>
      </c>
      <c r="F127" s="4">
        <f t="shared" si="4"/>
        <v>2</v>
      </c>
      <c r="G127" s="4">
        <f t="shared" si="5"/>
        <v>4</v>
      </c>
      <c r="H127" s="5">
        <f>SQRT(SUM('p-pi-3'!$C$3:C127)/COUNTIF($A$3:A127,"&lt;&gt;0"))</f>
        <v>6.6657332679908521</v>
      </c>
    </row>
    <row r="128" spans="1:8">
      <c r="A128">
        <v>126</v>
      </c>
      <c r="B128">
        <v>50</v>
      </c>
      <c r="C128">
        <v>48</v>
      </c>
      <c r="D128">
        <v>48</v>
      </c>
      <c r="E128" s="4">
        <f t="shared" si="3"/>
        <v>1</v>
      </c>
      <c r="F128" s="4">
        <f t="shared" si="4"/>
        <v>2</v>
      </c>
      <c r="G128" s="4">
        <f t="shared" si="5"/>
        <v>4</v>
      </c>
      <c r="H128" s="5">
        <f>SQRT(SUM('p-pi-3'!$C$3:C128)/COUNTIF($A$3:A128,"&lt;&gt;0"))</f>
        <v>6.6678570365836025</v>
      </c>
    </row>
    <row r="129" spans="1:8">
      <c r="A129">
        <v>127</v>
      </c>
      <c r="B129">
        <v>50</v>
      </c>
      <c r="C129">
        <v>48</v>
      </c>
      <c r="D129">
        <v>48</v>
      </c>
      <c r="E129" s="4">
        <f t="shared" si="3"/>
        <v>1</v>
      </c>
      <c r="F129" s="4">
        <f t="shared" si="4"/>
        <v>2</v>
      </c>
      <c r="G129" s="4">
        <f t="shared" si="5"/>
        <v>4</v>
      </c>
      <c r="H129" s="5">
        <f>SQRT(SUM('p-pi-3'!$C$3:C129)/COUNTIF($A$3:A129,"&lt;&gt;0"))</f>
        <v>6.6699466996654442</v>
      </c>
    </row>
    <row r="130" spans="1:8">
      <c r="A130">
        <v>128</v>
      </c>
      <c r="B130">
        <v>50</v>
      </c>
      <c r="C130">
        <v>58</v>
      </c>
      <c r="D130">
        <v>49</v>
      </c>
      <c r="E130" s="4">
        <f t="shared" si="3"/>
        <v>1</v>
      </c>
      <c r="F130" s="4">
        <f t="shared" si="4"/>
        <v>8</v>
      </c>
      <c r="G130" s="4">
        <f t="shared" si="5"/>
        <v>64</v>
      </c>
      <c r="H130" s="5">
        <f>SQRT(SUM('p-pi-3'!$C$3:C130)/COUNTIF($A$3:A130,"&lt;&gt;0"))</f>
        <v>6.6778551945965408</v>
      </c>
    </row>
    <row r="131" spans="1:8">
      <c r="A131">
        <v>129</v>
      </c>
      <c r="B131">
        <v>50</v>
      </c>
      <c r="C131">
        <v>45</v>
      </c>
      <c r="D131">
        <v>45</v>
      </c>
      <c r="E131" s="4">
        <f t="shared" si="3"/>
        <v>1</v>
      </c>
      <c r="F131" s="4">
        <f t="shared" si="4"/>
        <v>5</v>
      </c>
      <c r="G131" s="4">
        <f t="shared" si="5"/>
        <v>25</v>
      </c>
      <c r="H131" s="5">
        <f>SQRT(SUM('p-pi-3'!$C$3:C131)/COUNTIF($A$3:A131,"&lt;&gt;0"))</f>
        <v>6.6780909865624176</v>
      </c>
    </row>
    <row r="132" spans="1:8">
      <c r="A132">
        <v>130</v>
      </c>
      <c r="B132">
        <v>50</v>
      </c>
      <c r="C132">
        <v>48</v>
      </c>
      <c r="D132">
        <v>49</v>
      </c>
      <c r="E132" s="4">
        <f t="shared" ref="E132:E152" si="6">IF(AND(C132&lt;=B132*1.2,C132&gt;=B132*0.8),1,0)</f>
        <v>1</v>
      </c>
      <c r="F132" s="4">
        <f t="shared" ref="F132:F152" si="7">ABS(B132-C132)</f>
        <v>2</v>
      </c>
      <c r="G132" s="4">
        <f t="shared" ref="G132:G152" si="8">POWER(F132,2)</f>
        <v>4</v>
      </c>
      <c r="H132" s="5">
        <f>SQRT(SUM('p-pi-3'!$C$3:C132)/COUNTIF($A$3:A132,"&lt;&gt;0"))</f>
        <v>6.6800506677028224</v>
      </c>
    </row>
    <row r="133" spans="1:8">
      <c r="A133">
        <v>131</v>
      </c>
      <c r="B133">
        <v>50</v>
      </c>
      <c r="C133">
        <v>48</v>
      </c>
      <c r="D133">
        <v>48</v>
      </c>
      <c r="E133" s="4">
        <f t="shared" si="6"/>
        <v>1</v>
      </c>
      <c r="F133" s="4">
        <f t="shared" si="7"/>
        <v>2</v>
      </c>
      <c r="G133" s="4">
        <f t="shared" si="8"/>
        <v>4</v>
      </c>
      <c r="H133" s="5">
        <f>SQRT(SUM('p-pi-3'!$C$3:C133)/COUNTIF($A$3:A133,"&lt;&gt;0"))</f>
        <v>6.6819798684096661</v>
      </c>
    </row>
    <row r="134" spans="1:8">
      <c r="A134">
        <v>132</v>
      </c>
      <c r="B134">
        <v>50</v>
      </c>
      <c r="C134">
        <v>58</v>
      </c>
      <c r="D134">
        <v>49</v>
      </c>
      <c r="E134" s="4">
        <f t="shared" si="6"/>
        <v>1</v>
      </c>
      <c r="F134" s="4">
        <f t="shared" si="7"/>
        <v>8</v>
      </c>
      <c r="G134" s="4">
        <f t="shared" si="8"/>
        <v>64</v>
      </c>
      <c r="H134" s="5">
        <f>SQRT(SUM('p-pi-3'!$C$3:C134)/COUNTIF($A$3:A134,"&lt;&gt;0"))</f>
        <v>6.689544080129826</v>
      </c>
    </row>
    <row r="135" spans="1:8">
      <c r="A135">
        <v>133</v>
      </c>
      <c r="B135">
        <v>50</v>
      </c>
      <c r="C135">
        <v>45</v>
      </c>
      <c r="D135">
        <v>45</v>
      </c>
      <c r="E135" s="4">
        <f t="shared" si="6"/>
        <v>1</v>
      </c>
      <c r="F135" s="4">
        <f t="shared" si="7"/>
        <v>5</v>
      </c>
      <c r="G135" s="4">
        <f t="shared" si="8"/>
        <v>25</v>
      </c>
      <c r="H135" s="5">
        <f>SQRT(SUM('p-pi-3'!$C$3:C135)/COUNTIF($A$3:A135,"&lt;&gt;0"))</f>
        <v>6.689684573972686</v>
      </c>
    </row>
    <row r="136" spans="1:8">
      <c r="A136">
        <v>134</v>
      </c>
      <c r="B136">
        <v>50</v>
      </c>
      <c r="C136">
        <v>48</v>
      </c>
      <c r="D136">
        <v>49</v>
      </c>
      <c r="E136" s="4">
        <f t="shared" si="6"/>
        <v>1</v>
      </c>
      <c r="F136" s="4">
        <f t="shared" si="7"/>
        <v>2</v>
      </c>
      <c r="G136" s="4">
        <f t="shared" si="8"/>
        <v>4</v>
      </c>
      <c r="H136" s="5">
        <f>SQRT(SUM('p-pi-3'!$C$3:C136)/COUNTIF($A$3:A136,"&lt;&gt;0"))</f>
        <v>6.6914960511820576</v>
      </c>
    </row>
    <row r="137" spans="1:8">
      <c r="A137">
        <v>135</v>
      </c>
      <c r="B137">
        <v>50</v>
      </c>
      <c r="C137">
        <v>48</v>
      </c>
      <c r="D137">
        <v>48</v>
      </c>
      <c r="E137" s="4">
        <f t="shared" si="6"/>
        <v>1</v>
      </c>
      <c r="F137" s="4">
        <f t="shared" si="7"/>
        <v>2</v>
      </c>
      <c r="G137" s="4">
        <f t="shared" si="8"/>
        <v>4</v>
      </c>
      <c r="H137" s="5">
        <f>SQRT(SUM('p-pi-3'!$C$3:C137)/COUNTIF($A$3:A137,"&lt;&gt;0"))</f>
        <v>6.6932802122726045</v>
      </c>
    </row>
    <row r="138" spans="1:8">
      <c r="A138">
        <v>136</v>
      </c>
      <c r="B138">
        <v>50</v>
      </c>
      <c r="C138">
        <v>57</v>
      </c>
      <c r="D138">
        <v>48</v>
      </c>
      <c r="E138" s="4">
        <f t="shared" si="6"/>
        <v>1</v>
      </c>
      <c r="F138" s="4">
        <f t="shared" si="7"/>
        <v>7</v>
      </c>
      <c r="G138" s="4">
        <f t="shared" si="8"/>
        <v>49</v>
      </c>
      <c r="H138" s="5">
        <f>SQRT(SUM('p-pi-3'!$C$3:C138)/COUNTIF($A$3:A138,"&lt;&gt;0"))</f>
        <v>6.6999780508859086</v>
      </c>
    </row>
    <row r="139" spans="1:8">
      <c r="A139">
        <v>137</v>
      </c>
      <c r="B139">
        <v>50</v>
      </c>
      <c r="C139">
        <v>45</v>
      </c>
      <c r="D139">
        <v>45</v>
      </c>
      <c r="E139" s="4">
        <f t="shared" si="6"/>
        <v>1</v>
      </c>
      <c r="F139" s="4">
        <f t="shared" si="7"/>
        <v>5</v>
      </c>
      <c r="G139" s="4">
        <f t="shared" si="8"/>
        <v>25</v>
      </c>
      <c r="H139" s="5">
        <f>SQRT(SUM('p-pi-3'!$C$3:C139)/COUNTIF($A$3:A139,"&lt;&gt;0"))</f>
        <v>6.7000381304068046</v>
      </c>
    </row>
    <row r="140" spans="1:8">
      <c r="A140">
        <v>138</v>
      </c>
      <c r="B140">
        <v>50</v>
      </c>
      <c r="C140">
        <v>48</v>
      </c>
      <c r="D140">
        <v>49</v>
      </c>
      <c r="E140" s="4">
        <f t="shared" si="6"/>
        <v>1</v>
      </c>
      <c r="F140" s="4">
        <f t="shared" si="7"/>
        <v>2</v>
      </c>
      <c r="G140" s="4">
        <f t="shared" si="8"/>
        <v>4</v>
      </c>
      <c r="H140" s="5">
        <f>SQRT(SUM('p-pi-3'!$C$3:C140)/COUNTIF($A$3:A140,"&lt;&gt;0"))</f>
        <v>6.7017194419239061</v>
      </c>
    </row>
    <row r="141" spans="1:8">
      <c r="A141">
        <v>139</v>
      </c>
      <c r="B141">
        <v>50</v>
      </c>
      <c r="C141">
        <v>48</v>
      </c>
      <c r="D141">
        <v>48</v>
      </c>
      <c r="E141" s="4">
        <f t="shared" si="6"/>
        <v>1</v>
      </c>
      <c r="F141" s="4">
        <f t="shared" si="7"/>
        <v>2</v>
      </c>
      <c r="G141" s="4">
        <f t="shared" si="8"/>
        <v>4</v>
      </c>
      <c r="H141" s="5">
        <f>SQRT(SUM('p-pi-3'!$C$3:C141)/COUNTIF($A$3:A141,"&lt;&gt;0"))</f>
        <v>6.703376149266961</v>
      </c>
    </row>
    <row r="142" spans="1:8">
      <c r="A142">
        <v>140</v>
      </c>
      <c r="B142">
        <v>50</v>
      </c>
      <c r="C142">
        <v>57</v>
      </c>
      <c r="D142">
        <v>48</v>
      </c>
      <c r="E142" s="4">
        <f t="shared" si="6"/>
        <v>1</v>
      </c>
      <c r="F142" s="4">
        <f t="shared" si="7"/>
        <v>7</v>
      </c>
      <c r="G142" s="4">
        <f t="shared" si="8"/>
        <v>49</v>
      </c>
      <c r="H142" s="5">
        <f>SQRT(SUM('p-pi-3'!$C$3:C142)/COUNTIF($A$3:A142,"&lt;&gt;0"))</f>
        <v>6.7098009338152922</v>
      </c>
    </row>
    <row r="143" spans="1:8">
      <c r="A143">
        <v>141</v>
      </c>
      <c r="B143">
        <v>50</v>
      </c>
      <c r="C143">
        <v>45</v>
      </c>
      <c r="D143">
        <v>45</v>
      </c>
      <c r="E143" s="4">
        <f t="shared" si="6"/>
        <v>1</v>
      </c>
      <c r="F143" s="4">
        <f t="shared" si="7"/>
        <v>5</v>
      </c>
      <c r="G143" s="4">
        <f t="shared" si="8"/>
        <v>25</v>
      </c>
      <c r="H143" s="5">
        <f>SQRT(SUM('p-pi-3'!$C$3:C143)/COUNTIF($A$3:A143,"&lt;&gt;0"))</f>
        <v>6.7097896089031499</v>
      </c>
    </row>
    <row r="144" spans="1:8">
      <c r="A144">
        <v>142</v>
      </c>
      <c r="B144">
        <v>50</v>
      </c>
      <c r="C144">
        <v>48</v>
      </c>
      <c r="D144">
        <v>49</v>
      </c>
      <c r="E144" s="4">
        <f t="shared" si="6"/>
        <v>1</v>
      </c>
      <c r="F144" s="4">
        <f t="shared" si="7"/>
        <v>2</v>
      </c>
      <c r="G144" s="4">
        <f t="shared" si="8"/>
        <v>4</v>
      </c>
      <c r="H144" s="5">
        <f>SQRT(SUM('p-pi-3'!$C$3:C144)/COUNTIF($A$3:A144,"&lt;&gt;0"))</f>
        <v>6.7113525850700739</v>
      </c>
    </row>
    <row r="145" spans="1:8">
      <c r="A145">
        <v>143</v>
      </c>
      <c r="B145">
        <v>50</v>
      </c>
      <c r="C145">
        <v>57</v>
      </c>
      <c r="D145">
        <v>48</v>
      </c>
      <c r="E145" s="4">
        <f t="shared" si="6"/>
        <v>1</v>
      </c>
      <c r="F145" s="4">
        <f t="shared" si="7"/>
        <v>7</v>
      </c>
      <c r="G145" s="4">
        <f t="shared" si="8"/>
        <v>49</v>
      </c>
      <c r="H145" s="5">
        <f>SQRT(SUM('p-pi-3'!$C$3:C145)/COUNTIF($A$3:A145,"&lt;&gt;0"))</f>
        <v>6.7175794841500851</v>
      </c>
    </row>
    <row r="146" spans="1:8">
      <c r="A146">
        <v>144</v>
      </c>
      <c r="B146">
        <v>50</v>
      </c>
      <c r="C146">
        <v>45</v>
      </c>
      <c r="D146">
        <v>45</v>
      </c>
      <c r="E146" s="4">
        <f t="shared" si="6"/>
        <v>1</v>
      </c>
      <c r="F146" s="4">
        <f t="shared" si="7"/>
        <v>5</v>
      </c>
      <c r="G146" s="4">
        <f t="shared" si="8"/>
        <v>25</v>
      </c>
      <c r="H146" s="5">
        <f>SQRT(SUM('p-pi-3'!$C$3:C146)/COUNTIF($A$3:A146,"&lt;&gt;0"))</f>
        <v>6.7175144212722016</v>
      </c>
    </row>
    <row r="147" spans="1:8">
      <c r="A147">
        <v>145</v>
      </c>
      <c r="B147">
        <v>50</v>
      </c>
      <c r="C147">
        <v>48</v>
      </c>
      <c r="D147">
        <v>49</v>
      </c>
      <c r="E147" s="4">
        <f t="shared" si="6"/>
        <v>1</v>
      </c>
      <c r="F147" s="4">
        <f t="shared" si="7"/>
        <v>2</v>
      </c>
      <c r="G147" s="4">
        <f t="shared" si="8"/>
        <v>4</v>
      </c>
      <c r="H147" s="5">
        <f>SQRT(SUM('p-pi-3'!$C$3:C147)/COUNTIF($A$3:A147,"&lt;&gt;0"))</f>
        <v>6.7189900718937583</v>
      </c>
    </row>
    <row r="148" spans="1:8">
      <c r="A148">
        <v>146</v>
      </c>
      <c r="B148">
        <v>50</v>
      </c>
      <c r="C148">
        <v>48</v>
      </c>
      <c r="D148">
        <v>48</v>
      </c>
      <c r="E148" s="4">
        <f t="shared" si="6"/>
        <v>1</v>
      </c>
      <c r="F148" s="4">
        <f t="shared" si="7"/>
        <v>2</v>
      </c>
      <c r="G148" s="4">
        <f t="shared" si="8"/>
        <v>4</v>
      </c>
      <c r="H148" s="5">
        <f>SQRT(SUM('p-pi-3'!$C$3:C148)/COUNTIF($A$3:A148,"&lt;&gt;0"))</f>
        <v>6.720445190732816</v>
      </c>
    </row>
    <row r="149" spans="1:8">
      <c r="A149">
        <v>147</v>
      </c>
      <c r="B149">
        <v>50</v>
      </c>
      <c r="C149">
        <v>48</v>
      </c>
      <c r="D149">
        <v>48</v>
      </c>
      <c r="E149" s="4">
        <f t="shared" si="6"/>
        <v>1</v>
      </c>
      <c r="F149" s="4">
        <f t="shared" si="7"/>
        <v>2</v>
      </c>
      <c r="G149" s="4">
        <f t="shared" si="8"/>
        <v>4</v>
      </c>
      <c r="H149" s="5">
        <f>SQRT(SUM('p-pi-3'!$C$3:C149)/COUNTIF($A$3:A149,"&lt;&gt;0"))</f>
        <v>6.7218802034391949</v>
      </c>
    </row>
    <row r="150" spans="1:8">
      <c r="A150">
        <v>148</v>
      </c>
      <c r="B150">
        <v>50</v>
      </c>
      <c r="C150">
        <v>58</v>
      </c>
      <c r="D150">
        <v>49</v>
      </c>
      <c r="E150" s="4">
        <f t="shared" si="6"/>
        <v>1</v>
      </c>
      <c r="F150" s="4">
        <f t="shared" si="7"/>
        <v>8</v>
      </c>
      <c r="G150" s="4">
        <f t="shared" si="8"/>
        <v>64</v>
      </c>
      <c r="H150" s="5">
        <f>SQRT(SUM('p-pi-3'!$C$3:C150)/COUNTIF($A$3:A150,"&lt;&gt;0"))</f>
        <v>6.7283185321646499</v>
      </c>
    </row>
    <row r="151" spans="1:8">
      <c r="A151">
        <v>149</v>
      </c>
      <c r="B151">
        <v>50</v>
      </c>
      <c r="C151">
        <v>45</v>
      </c>
      <c r="D151">
        <v>45</v>
      </c>
      <c r="E151" s="4">
        <f t="shared" si="6"/>
        <v>1</v>
      </c>
      <c r="F151" s="4">
        <f t="shared" si="7"/>
        <v>5</v>
      </c>
      <c r="G151" s="4">
        <f t="shared" si="8"/>
        <v>25</v>
      </c>
      <c r="H151" s="5">
        <f>SQRT(SUM('p-pi-3'!$C$3:C151)/COUNTIF($A$3:A151,"&lt;&gt;0"))</f>
        <v>6.7281837352913394</v>
      </c>
    </row>
    <row r="152" spans="1:8">
      <c r="A152">
        <v>150</v>
      </c>
      <c r="B152">
        <v>50</v>
      </c>
      <c r="C152">
        <v>48</v>
      </c>
      <c r="D152">
        <v>49</v>
      </c>
      <c r="E152" s="4">
        <f t="shared" si="6"/>
        <v>1</v>
      </c>
      <c r="F152" s="4">
        <f t="shared" si="7"/>
        <v>2</v>
      </c>
      <c r="G152" s="4">
        <f t="shared" si="8"/>
        <v>4</v>
      </c>
      <c r="H152" s="5">
        <f>SQRT(SUM('p-pi-3'!$C$3:C152)/COUNTIF($A$3:A152,"&lt;&gt;0"))</f>
        <v>6.7295368835207876</v>
      </c>
    </row>
    <row r="153" spans="1:8">
      <c r="A153">
        <v>151</v>
      </c>
      <c r="B153">
        <v>5</v>
      </c>
      <c r="C153">
        <v>9500</v>
      </c>
      <c r="D153">
        <v>4462</v>
      </c>
    </row>
    <row r="154" spans="1:8">
      <c r="A154">
        <v>152</v>
      </c>
      <c r="B154">
        <v>7</v>
      </c>
      <c r="C154">
        <v>9500</v>
      </c>
      <c r="D154">
        <v>5729</v>
      </c>
    </row>
    <row r="155" spans="1:8">
      <c r="A155">
        <v>153</v>
      </c>
      <c r="B155">
        <v>7</v>
      </c>
      <c r="C155">
        <v>9500</v>
      </c>
      <c r="D155">
        <v>5736</v>
      </c>
    </row>
    <row r="156" spans="1:8">
      <c r="A156">
        <v>154</v>
      </c>
      <c r="B156">
        <v>7</v>
      </c>
      <c r="C156">
        <v>9500</v>
      </c>
      <c r="D156">
        <v>5805</v>
      </c>
    </row>
    <row r="157" spans="1:8">
      <c r="A157">
        <v>155</v>
      </c>
      <c r="B157">
        <v>8</v>
      </c>
      <c r="C157">
        <v>9500</v>
      </c>
      <c r="D157">
        <v>6571</v>
      </c>
    </row>
    <row r="158" spans="1:8">
      <c r="A158">
        <v>156</v>
      </c>
      <c r="B158">
        <v>8</v>
      </c>
      <c r="C158">
        <v>9500</v>
      </c>
      <c r="D158">
        <v>6615</v>
      </c>
    </row>
    <row r="159" spans="1:8">
      <c r="A159">
        <v>157</v>
      </c>
      <c r="B159">
        <v>8</v>
      </c>
      <c r="C159">
        <v>9500</v>
      </c>
      <c r="D159">
        <v>6549</v>
      </c>
    </row>
    <row r="160" spans="1:8">
      <c r="A160">
        <v>158</v>
      </c>
      <c r="B160">
        <v>9</v>
      </c>
      <c r="C160">
        <v>9500</v>
      </c>
      <c r="D160">
        <v>6859</v>
      </c>
    </row>
    <row r="161" spans="1:4">
      <c r="A161">
        <v>159</v>
      </c>
      <c r="B161">
        <v>9</v>
      </c>
      <c r="C161">
        <v>9500</v>
      </c>
      <c r="D161">
        <v>7011</v>
      </c>
    </row>
    <row r="162" spans="1:4">
      <c r="A162">
        <v>160</v>
      </c>
      <c r="B162">
        <v>9</v>
      </c>
      <c r="C162">
        <v>9500</v>
      </c>
      <c r="D162">
        <v>7007</v>
      </c>
    </row>
    <row r="163" spans="1:4">
      <c r="A163">
        <v>161</v>
      </c>
      <c r="B163">
        <v>9</v>
      </c>
      <c r="C163">
        <v>9500</v>
      </c>
      <c r="D163">
        <v>7117</v>
      </c>
    </row>
    <row r="164" spans="1:4">
      <c r="A164">
        <v>162</v>
      </c>
      <c r="B164">
        <v>9</v>
      </c>
      <c r="C164">
        <v>9500</v>
      </c>
      <c r="D164">
        <v>7083</v>
      </c>
    </row>
    <row r="165" spans="1:4">
      <c r="A165">
        <v>163</v>
      </c>
      <c r="B165">
        <v>10</v>
      </c>
      <c r="C165">
        <v>9500</v>
      </c>
      <c r="D165">
        <v>7768</v>
      </c>
    </row>
    <row r="166" spans="1:4">
      <c r="A166">
        <v>164</v>
      </c>
      <c r="B166">
        <v>10</v>
      </c>
      <c r="C166">
        <v>9500</v>
      </c>
      <c r="D166">
        <v>7482</v>
      </c>
    </row>
    <row r="167" spans="1:4">
      <c r="A167">
        <v>165</v>
      </c>
      <c r="B167">
        <v>10</v>
      </c>
      <c r="C167">
        <v>9500</v>
      </c>
      <c r="D167">
        <v>7627</v>
      </c>
    </row>
    <row r="168" spans="1:4">
      <c r="A168">
        <v>166</v>
      </c>
      <c r="B168">
        <v>10</v>
      </c>
      <c r="C168">
        <v>9500</v>
      </c>
      <c r="D168">
        <v>7525</v>
      </c>
    </row>
    <row r="169" spans="1:4">
      <c r="A169">
        <v>167</v>
      </c>
      <c r="B169">
        <v>10</v>
      </c>
      <c r="C169">
        <v>9500</v>
      </c>
      <c r="D169">
        <v>7488</v>
      </c>
    </row>
    <row r="170" spans="1:4">
      <c r="A170">
        <v>168</v>
      </c>
      <c r="B170">
        <v>11</v>
      </c>
      <c r="C170">
        <v>9500</v>
      </c>
      <c r="D170">
        <v>7860</v>
      </c>
    </row>
    <row r="171" spans="1:4">
      <c r="A171">
        <v>169</v>
      </c>
      <c r="B171">
        <v>11</v>
      </c>
      <c r="C171">
        <v>9500</v>
      </c>
      <c r="D171">
        <v>7806</v>
      </c>
    </row>
    <row r="172" spans="1:4">
      <c r="A172">
        <v>170</v>
      </c>
      <c r="B172">
        <v>11</v>
      </c>
      <c r="C172">
        <v>9500</v>
      </c>
      <c r="D172">
        <v>7661</v>
      </c>
    </row>
    <row r="173" spans="1:4">
      <c r="A173">
        <v>171</v>
      </c>
      <c r="B173">
        <v>11</v>
      </c>
      <c r="C173">
        <v>9500</v>
      </c>
      <c r="D173">
        <v>7894</v>
      </c>
    </row>
    <row r="174" spans="1:4">
      <c r="A174">
        <v>172</v>
      </c>
      <c r="B174">
        <v>11</v>
      </c>
      <c r="C174">
        <v>9500</v>
      </c>
      <c r="D174">
        <v>7890</v>
      </c>
    </row>
    <row r="175" spans="1:4">
      <c r="A175">
        <v>173</v>
      </c>
      <c r="B175">
        <v>11</v>
      </c>
      <c r="C175">
        <v>9500</v>
      </c>
      <c r="D175">
        <v>7949</v>
      </c>
    </row>
    <row r="176" spans="1:4">
      <c r="A176">
        <v>174</v>
      </c>
      <c r="B176">
        <v>11</v>
      </c>
      <c r="C176">
        <v>9500</v>
      </c>
      <c r="D176">
        <v>7928</v>
      </c>
    </row>
    <row r="177" spans="1:4">
      <c r="A177">
        <v>175</v>
      </c>
      <c r="B177">
        <v>12</v>
      </c>
      <c r="C177">
        <v>9500</v>
      </c>
      <c r="D177">
        <v>8426</v>
      </c>
    </row>
    <row r="178" spans="1:4">
      <c r="A178">
        <v>176</v>
      </c>
      <c r="B178">
        <v>12</v>
      </c>
      <c r="C178">
        <v>9500</v>
      </c>
      <c r="D178">
        <v>8572</v>
      </c>
    </row>
    <row r="179" spans="1:4">
      <c r="A179">
        <v>177</v>
      </c>
      <c r="B179">
        <v>12</v>
      </c>
      <c r="C179">
        <v>9500</v>
      </c>
      <c r="D179">
        <v>8388</v>
      </c>
    </row>
    <row r="180" spans="1:4">
      <c r="A180">
        <v>178</v>
      </c>
      <c r="B180">
        <v>12</v>
      </c>
      <c r="C180">
        <v>9500</v>
      </c>
      <c r="D180">
        <v>8447</v>
      </c>
    </row>
    <row r="181" spans="1:4">
      <c r="A181">
        <v>179</v>
      </c>
      <c r="B181">
        <v>12</v>
      </c>
      <c r="C181">
        <v>9500</v>
      </c>
      <c r="D181">
        <v>8480</v>
      </c>
    </row>
    <row r="182" spans="1:4">
      <c r="A182">
        <v>180</v>
      </c>
      <c r="B182">
        <v>12</v>
      </c>
      <c r="C182">
        <v>9500</v>
      </c>
      <c r="D182">
        <v>8559</v>
      </c>
    </row>
    <row r="183" spans="1:4">
      <c r="A183">
        <v>181</v>
      </c>
      <c r="B183">
        <v>12</v>
      </c>
      <c r="C183">
        <v>9500</v>
      </c>
      <c r="D183">
        <v>8479</v>
      </c>
    </row>
    <row r="184" spans="1:4">
      <c r="A184">
        <v>182</v>
      </c>
      <c r="B184">
        <v>12</v>
      </c>
      <c r="C184">
        <v>9500</v>
      </c>
      <c r="D184">
        <v>8395</v>
      </c>
    </row>
    <row r="185" spans="1:4">
      <c r="A185">
        <v>183</v>
      </c>
      <c r="B185">
        <v>12</v>
      </c>
      <c r="C185">
        <v>9500</v>
      </c>
      <c r="D185">
        <v>8389</v>
      </c>
    </row>
    <row r="186" spans="1:4">
      <c r="A186">
        <v>184</v>
      </c>
      <c r="B186">
        <v>12</v>
      </c>
      <c r="C186">
        <v>9500</v>
      </c>
      <c r="D186">
        <v>8457</v>
      </c>
    </row>
    <row r="187" spans="1:4">
      <c r="A187">
        <v>185</v>
      </c>
      <c r="B187">
        <v>13</v>
      </c>
      <c r="C187">
        <v>9500</v>
      </c>
      <c r="D187">
        <v>8923</v>
      </c>
    </row>
    <row r="188" spans="1:4">
      <c r="A188">
        <v>186</v>
      </c>
      <c r="B188">
        <v>12</v>
      </c>
      <c r="C188">
        <v>9500</v>
      </c>
      <c r="D188">
        <v>8437</v>
      </c>
    </row>
    <row r="189" spans="1:4">
      <c r="A189">
        <v>187</v>
      </c>
      <c r="B189">
        <v>13</v>
      </c>
      <c r="C189">
        <v>9500</v>
      </c>
      <c r="D189">
        <v>8753</v>
      </c>
    </row>
    <row r="190" spans="1:4">
      <c r="A190">
        <v>188</v>
      </c>
      <c r="B190">
        <v>13</v>
      </c>
      <c r="C190">
        <v>9500</v>
      </c>
      <c r="D190">
        <v>8774</v>
      </c>
    </row>
    <row r="191" spans="1:4">
      <c r="A191">
        <v>189</v>
      </c>
      <c r="B191">
        <v>13</v>
      </c>
      <c r="C191">
        <v>9500</v>
      </c>
      <c r="D191">
        <v>8841</v>
      </c>
    </row>
    <row r="192" spans="1:4">
      <c r="A192">
        <v>190</v>
      </c>
      <c r="B192">
        <v>13</v>
      </c>
      <c r="C192">
        <v>9500</v>
      </c>
      <c r="D192">
        <v>8880</v>
      </c>
    </row>
    <row r="193" spans="1:4">
      <c r="A193">
        <v>191</v>
      </c>
      <c r="B193">
        <v>13</v>
      </c>
      <c r="C193">
        <v>9500</v>
      </c>
      <c r="D193">
        <v>8869</v>
      </c>
    </row>
    <row r="194" spans="1:4">
      <c r="A194">
        <v>192</v>
      </c>
      <c r="B194">
        <v>13</v>
      </c>
      <c r="C194">
        <v>9500</v>
      </c>
      <c r="D194">
        <v>9006</v>
      </c>
    </row>
    <row r="195" spans="1:4">
      <c r="A195">
        <v>193</v>
      </c>
      <c r="B195">
        <v>13</v>
      </c>
      <c r="C195">
        <v>9500</v>
      </c>
      <c r="D195">
        <v>8176</v>
      </c>
    </row>
    <row r="196" spans="1:4">
      <c r="A196">
        <v>194</v>
      </c>
      <c r="B196">
        <v>13</v>
      </c>
      <c r="C196">
        <v>9500</v>
      </c>
      <c r="D196">
        <v>8800</v>
      </c>
    </row>
    <row r="197" spans="1:4">
      <c r="A197">
        <v>195</v>
      </c>
      <c r="B197">
        <v>13</v>
      </c>
      <c r="C197">
        <v>9500</v>
      </c>
      <c r="D197">
        <v>8671</v>
      </c>
    </row>
    <row r="198" spans="1:4">
      <c r="A198">
        <v>196</v>
      </c>
      <c r="B198">
        <v>13</v>
      </c>
      <c r="C198">
        <v>9500</v>
      </c>
      <c r="D198">
        <v>9006</v>
      </c>
    </row>
    <row r="199" spans="1:4">
      <c r="A199">
        <v>197</v>
      </c>
      <c r="B199">
        <v>13</v>
      </c>
      <c r="C199">
        <v>9500</v>
      </c>
      <c r="D199">
        <v>8834</v>
      </c>
    </row>
    <row r="200" spans="1:4">
      <c r="A200">
        <v>198</v>
      </c>
      <c r="B200">
        <v>13</v>
      </c>
      <c r="C200">
        <v>9500</v>
      </c>
      <c r="D200">
        <v>8792</v>
      </c>
    </row>
    <row r="201" spans="1:4">
      <c r="A201">
        <v>199</v>
      </c>
      <c r="B201">
        <v>13</v>
      </c>
      <c r="C201">
        <v>9500</v>
      </c>
      <c r="D201">
        <v>8940</v>
      </c>
    </row>
    <row r="202" spans="1:4">
      <c r="A202">
        <v>200</v>
      </c>
      <c r="B202">
        <v>14</v>
      </c>
      <c r="C202">
        <v>9500</v>
      </c>
      <c r="D202">
        <v>9301</v>
      </c>
    </row>
    <row r="203" spans="1:4">
      <c r="A203">
        <v>201</v>
      </c>
      <c r="B203">
        <v>13</v>
      </c>
      <c r="C203">
        <v>9500</v>
      </c>
      <c r="D203">
        <v>8952</v>
      </c>
    </row>
    <row r="204" spans="1:4">
      <c r="A204">
        <v>202</v>
      </c>
      <c r="B204">
        <v>14</v>
      </c>
      <c r="C204">
        <v>9500</v>
      </c>
      <c r="D204">
        <v>9275</v>
      </c>
    </row>
    <row r="205" spans="1:4">
      <c r="A205">
        <v>203</v>
      </c>
      <c r="B205">
        <v>14</v>
      </c>
      <c r="C205">
        <v>9500</v>
      </c>
      <c r="D205">
        <v>9396</v>
      </c>
    </row>
    <row r="206" spans="1:4">
      <c r="A206">
        <v>204</v>
      </c>
      <c r="B206">
        <v>14</v>
      </c>
      <c r="C206">
        <v>9500</v>
      </c>
      <c r="D206">
        <v>9358</v>
      </c>
    </row>
    <row r="207" spans="1:4">
      <c r="A207">
        <v>205</v>
      </c>
      <c r="B207">
        <v>14</v>
      </c>
      <c r="C207">
        <v>9500</v>
      </c>
      <c r="D207">
        <v>9206</v>
      </c>
    </row>
    <row r="208" spans="1:4">
      <c r="A208">
        <v>206</v>
      </c>
      <c r="B208">
        <v>14</v>
      </c>
      <c r="C208">
        <v>9500</v>
      </c>
      <c r="D208">
        <v>9264</v>
      </c>
    </row>
    <row r="209" spans="1:4">
      <c r="A209">
        <v>207</v>
      </c>
      <c r="B209">
        <v>14</v>
      </c>
      <c r="C209">
        <v>9500</v>
      </c>
      <c r="D209">
        <v>9125</v>
      </c>
    </row>
    <row r="210" spans="1:4">
      <c r="A210">
        <v>208</v>
      </c>
      <c r="B210">
        <v>14</v>
      </c>
      <c r="C210">
        <v>9500</v>
      </c>
      <c r="D210">
        <v>9470</v>
      </c>
    </row>
    <row r="211" spans="1:4">
      <c r="A211">
        <v>209</v>
      </c>
      <c r="B211">
        <v>14</v>
      </c>
      <c r="C211">
        <v>9500</v>
      </c>
      <c r="D211">
        <v>9380</v>
      </c>
    </row>
    <row r="212" spans="1:4">
      <c r="A212">
        <v>210</v>
      </c>
      <c r="B212">
        <v>14</v>
      </c>
      <c r="C212">
        <v>9500</v>
      </c>
      <c r="D212">
        <v>9218</v>
      </c>
    </row>
    <row r="213" spans="1:4">
      <c r="A213">
        <v>211</v>
      </c>
      <c r="B213">
        <v>14</v>
      </c>
      <c r="C213">
        <v>9500</v>
      </c>
      <c r="D213">
        <v>9216</v>
      </c>
    </row>
    <row r="214" spans="1:4">
      <c r="A214">
        <v>212</v>
      </c>
      <c r="B214">
        <v>14</v>
      </c>
      <c r="C214">
        <v>9500</v>
      </c>
      <c r="D214">
        <v>9222</v>
      </c>
    </row>
    <row r="215" spans="1:4">
      <c r="A215">
        <v>213</v>
      </c>
      <c r="B215">
        <v>14</v>
      </c>
      <c r="C215">
        <v>9500</v>
      </c>
      <c r="D215">
        <v>9340</v>
      </c>
    </row>
    <row r="216" spans="1:4">
      <c r="A216">
        <v>214</v>
      </c>
      <c r="B216">
        <v>14</v>
      </c>
      <c r="C216">
        <v>9500</v>
      </c>
      <c r="D216">
        <v>9350</v>
      </c>
    </row>
    <row r="217" spans="1:4">
      <c r="A217">
        <v>215</v>
      </c>
      <c r="B217">
        <v>14</v>
      </c>
      <c r="C217">
        <v>9500</v>
      </c>
      <c r="D217">
        <v>9257</v>
      </c>
    </row>
    <row r="218" spans="1:4">
      <c r="A218">
        <v>216</v>
      </c>
      <c r="B218">
        <v>14</v>
      </c>
      <c r="C218">
        <v>9500</v>
      </c>
      <c r="D218">
        <v>9302</v>
      </c>
    </row>
    <row r="219" spans="1:4">
      <c r="A219">
        <v>217</v>
      </c>
      <c r="B219">
        <v>14</v>
      </c>
      <c r="C219">
        <v>9500</v>
      </c>
      <c r="D219">
        <v>8872</v>
      </c>
    </row>
    <row r="220" spans="1:4">
      <c r="A220">
        <v>218</v>
      </c>
      <c r="B220">
        <v>14</v>
      </c>
      <c r="C220">
        <v>9500</v>
      </c>
      <c r="D220">
        <v>9294</v>
      </c>
    </row>
    <row r="221" spans="1:4">
      <c r="A221">
        <v>219</v>
      </c>
      <c r="B221">
        <v>14</v>
      </c>
      <c r="C221">
        <v>9500</v>
      </c>
      <c r="D221">
        <v>9067</v>
      </c>
    </row>
    <row r="222" spans="1:4">
      <c r="A222">
        <v>220</v>
      </c>
      <c r="B222">
        <v>14</v>
      </c>
      <c r="C222">
        <v>9500</v>
      </c>
      <c r="D222">
        <v>9338</v>
      </c>
    </row>
    <row r="223" spans="1:4">
      <c r="A223">
        <v>221</v>
      </c>
      <c r="B223">
        <v>14</v>
      </c>
      <c r="C223">
        <v>9500</v>
      </c>
      <c r="D223">
        <v>9284</v>
      </c>
    </row>
    <row r="224" spans="1:4">
      <c r="A224">
        <v>222</v>
      </c>
      <c r="B224">
        <v>14</v>
      </c>
      <c r="C224">
        <v>9500</v>
      </c>
      <c r="D224">
        <v>9300</v>
      </c>
    </row>
    <row r="225" spans="1:4">
      <c r="A225">
        <v>223</v>
      </c>
      <c r="B225">
        <v>14</v>
      </c>
      <c r="C225">
        <v>9500</v>
      </c>
      <c r="D225">
        <v>9423</v>
      </c>
    </row>
    <row r="226" spans="1:4">
      <c r="A226">
        <v>224</v>
      </c>
      <c r="B226">
        <v>14</v>
      </c>
      <c r="C226">
        <v>9500</v>
      </c>
      <c r="D226">
        <v>9401</v>
      </c>
    </row>
    <row r="227" spans="1:4">
      <c r="A227">
        <v>225</v>
      </c>
      <c r="B227">
        <v>14</v>
      </c>
      <c r="C227">
        <v>9500</v>
      </c>
      <c r="D227">
        <v>9351</v>
      </c>
    </row>
    <row r="228" spans="1:4">
      <c r="A228">
        <v>226</v>
      </c>
      <c r="B228">
        <v>14</v>
      </c>
      <c r="C228">
        <v>9500</v>
      </c>
      <c r="D228">
        <v>9443</v>
      </c>
    </row>
    <row r="229" spans="1:4">
      <c r="A229">
        <v>227</v>
      </c>
      <c r="B229">
        <v>14</v>
      </c>
      <c r="C229">
        <v>9500</v>
      </c>
      <c r="D229">
        <v>9380</v>
      </c>
    </row>
    <row r="230" spans="1:4">
      <c r="A230">
        <v>228</v>
      </c>
      <c r="B230">
        <v>14</v>
      </c>
      <c r="C230">
        <v>9500</v>
      </c>
      <c r="D230">
        <v>9309</v>
      </c>
    </row>
    <row r="231" spans="1:4">
      <c r="A231">
        <v>229</v>
      </c>
      <c r="B231">
        <v>14</v>
      </c>
      <c r="C231">
        <v>9500</v>
      </c>
      <c r="D231">
        <v>9174</v>
      </c>
    </row>
    <row r="232" spans="1:4">
      <c r="A232">
        <v>230</v>
      </c>
      <c r="B232">
        <v>14</v>
      </c>
      <c r="C232">
        <v>9500</v>
      </c>
      <c r="D232">
        <v>9319</v>
      </c>
    </row>
    <row r="233" spans="1:4">
      <c r="A233">
        <v>231</v>
      </c>
      <c r="B233">
        <v>14</v>
      </c>
      <c r="C233">
        <v>9500</v>
      </c>
      <c r="D233">
        <v>9098</v>
      </c>
    </row>
    <row r="234" spans="1:4">
      <c r="A234">
        <v>232</v>
      </c>
      <c r="B234">
        <v>14</v>
      </c>
      <c r="C234">
        <v>9500</v>
      </c>
      <c r="D234">
        <v>9259</v>
      </c>
    </row>
    <row r="235" spans="1:4">
      <c r="A235">
        <v>233</v>
      </c>
      <c r="B235">
        <v>14</v>
      </c>
      <c r="C235">
        <v>9500</v>
      </c>
      <c r="D235">
        <v>9350</v>
      </c>
    </row>
    <row r="236" spans="1:4">
      <c r="A236">
        <v>234</v>
      </c>
      <c r="B236">
        <v>14</v>
      </c>
      <c r="C236">
        <v>9500</v>
      </c>
      <c r="D236">
        <v>9336</v>
      </c>
    </row>
    <row r="237" spans="1:4">
      <c r="A237">
        <v>235</v>
      </c>
      <c r="B237">
        <v>14</v>
      </c>
      <c r="C237">
        <v>9500</v>
      </c>
      <c r="D237">
        <v>8024</v>
      </c>
    </row>
    <row r="238" spans="1:4">
      <c r="A238">
        <v>236</v>
      </c>
      <c r="B238">
        <v>15</v>
      </c>
      <c r="C238">
        <v>9500</v>
      </c>
      <c r="D238">
        <v>9577</v>
      </c>
    </row>
    <row r="239" spans="1:4">
      <c r="A239">
        <v>237</v>
      </c>
      <c r="B239">
        <v>14</v>
      </c>
      <c r="C239">
        <v>9500</v>
      </c>
      <c r="D239">
        <v>9241</v>
      </c>
    </row>
    <row r="240" spans="1:4">
      <c r="A240">
        <v>238</v>
      </c>
      <c r="B240">
        <v>14</v>
      </c>
      <c r="C240">
        <v>9500</v>
      </c>
      <c r="D240">
        <v>9323</v>
      </c>
    </row>
    <row r="241" spans="1:4">
      <c r="A241">
        <v>239</v>
      </c>
      <c r="B241">
        <v>14</v>
      </c>
      <c r="C241">
        <v>9500</v>
      </c>
      <c r="D241">
        <v>9306</v>
      </c>
    </row>
    <row r="242" spans="1:4">
      <c r="A242">
        <v>240</v>
      </c>
      <c r="B242">
        <v>14</v>
      </c>
      <c r="C242">
        <v>9500</v>
      </c>
      <c r="D242">
        <v>9181</v>
      </c>
    </row>
    <row r="243" spans="1:4">
      <c r="A243">
        <v>241</v>
      </c>
      <c r="B243">
        <v>14</v>
      </c>
      <c r="C243">
        <v>9500</v>
      </c>
      <c r="D243">
        <v>9084</v>
      </c>
    </row>
    <row r="244" spans="1:4">
      <c r="A244">
        <v>242</v>
      </c>
      <c r="B244">
        <v>15</v>
      </c>
      <c r="C244">
        <v>9500</v>
      </c>
      <c r="D244">
        <v>9370</v>
      </c>
    </row>
    <row r="245" spans="1:4">
      <c r="A245">
        <v>243</v>
      </c>
      <c r="B245">
        <v>14</v>
      </c>
      <c r="C245">
        <v>9500</v>
      </c>
      <c r="D245">
        <v>8941</v>
      </c>
    </row>
    <row r="246" spans="1:4">
      <c r="A246">
        <v>244</v>
      </c>
      <c r="B246">
        <v>15</v>
      </c>
      <c r="C246">
        <v>9500</v>
      </c>
      <c r="D246">
        <v>9470</v>
      </c>
    </row>
    <row r="247" spans="1:4">
      <c r="A247">
        <v>245</v>
      </c>
      <c r="B247">
        <v>15</v>
      </c>
      <c r="C247">
        <v>9500</v>
      </c>
      <c r="D247">
        <v>9645</v>
      </c>
    </row>
    <row r="248" spans="1:4">
      <c r="A248">
        <v>246</v>
      </c>
      <c r="B248">
        <v>14</v>
      </c>
      <c r="C248">
        <v>9500</v>
      </c>
      <c r="D248">
        <v>9392</v>
      </c>
    </row>
    <row r="249" spans="1:4">
      <c r="A249">
        <v>247</v>
      </c>
      <c r="B249">
        <v>15</v>
      </c>
      <c r="C249">
        <v>9500</v>
      </c>
      <c r="D249">
        <v>9662</v>
      </c>
    </row>
    <row r="250" spans="1:4">
      <c r="A250">
        <v>248</v>
      </c>
      <c r="B250">
        <v>14</v>
      </c>
      <c r="C250">
        <v>9500</v>
      </c>
      <c r="D250">
        <v>9055</v>
      </c>
    </row>
    <row r="251" spans="1:4">
      <c r="A251">
        <v>249</v>
      </c>
      <c r="B251">
        <v>15</v>
      </c>
      <c r="C251">
        <v>9500</v>
      </c>
      <c r="D251">
        <v>9680</v>
      </c>
    </row>
    <row r="252" spans="1:4">
      <c r="A252">
        <v>250</v>
      </c>
      <c r="B252">
        <v>14</v>
      </c>
      <c r="C252">
        <v>9500</v>
      </c>
      <c r="D252">
        <v>9245</v>
      </c>
    </row>
    <row r="253" spans="1:4">
      <c r="A253">
        <v>251</v>
      </c>
      <c r="B253">
        <v>15</v>
      </c>
      <c r="C253">
        <v>9500</v>
      </c>
      <c r="D253">
        <v>9646</v>
      </c>
    </row>
    <row r="254" spans="1:4">
      <c r="A254">
        <v>252</v>
      </c>
      <c r="B254">
        <v>15</v>
      </c>
      <c r="C254">
        <v>9500</v>
      </c>
      <c r="D254">
        <v>9598</v>
      </c>
    </row>
    <row r="255" spans="1:4">
      <c r="A255">
        <v>253</v>
      </c>
      <c r="B255">
        <v>15</v>
      </c>
      <c r="C255">
        <v>9500</v>
      </c>
      <c r="D255">
        <v>9467</v>
      </c>
    </row>
    <row r="256" spans="1:4">
      <c r="A256">
        <v>254</v>
      </c>
      <c r="B256">
        <v>15</v>
      </c>
      <c r="C256">
        <v>9500</v>
      </c>
      <c r="D256">
        <v>9644</v>
      </c>
    </row>
    <row r="257" spans="1:4">
      <c r="A257">
        <v>255</v>
      </c>
      <c r="B257">
        <v>14</v>
      </c>
      <c r="C257">
        <v>9500</v>
      </c>
      <c r="D257">
        <v>9172</v>
      </c>
    </row>
    <row r="258" spans="1:4">
      <c r="A258">
        <v>256</v>
      </c>
      <c r="B258">
        <v>15</v>
      </c>
      <c r="C258">
        <v>9500</v>
      </c>
      <c r="D258">
        <v>9669</v>
      </c>
    </row>
    <row r="259" spans="1:4">
      <c r="A259">
        <v>257</v>
      </c>
      <c r="B259">
        <v>15</v>
      </c>
      <c r="C259">
        <v>9500</v>
      </c>
      <c r="D259">
        <v>9614</v>
      </c>
    </row>
    <row r="260" spans="1:4">
      <c r="A260">
        <v>258</v>
      </c>
      <c r="B260">
        <v>15</v>
      </c>
      <c r="C260">
        <v>9500</v>
      </c>
      <c r="D260">
        <v>9661</v>
      </c>
    </row>
    <row r="261" spans="1:4">
      <c r="A261">
        <v>259</v>
      </c>
      <c r="B261">
        <v>14</v>
      </c>
      <c r="C261">
        <v>9500</v>
      </c>
      <c r="D261">
        <v>9288</v>
      </c>
    </row>
    <row r="262" spans="1:4">
      <c r="A262">
        <v>260</v>
      </c>
      <c r="B262">
        <v>15</v>
      </c>
      <c r="C262">
        <v>9500</v>
      </c>
      <c r="D262">
        <v>9573</v>
      </c>
    </row>
    <row r="263" spans="1:4">
      <c r="A263">
        <v>261</v>
      </c>
      <c r="B263">
        <v>15</v>
      </c>
      <c r="C263">
        <v>9500</v>
      </c>
      <c r="D263">
        <v>9618</v>
      </c>
    </row>
    <row r="264" spans="1:4">
      <c r="A264">
        <v>262</v>
      </c>
      <c r="B264">
        <v>14</v>
      </c>
      <c r="C264">
        <v>9500</v>
      </c>
      <c r="D264">
        <v>9267</v>
      </c>
    </row>
    <row r="265" spans="1:4">
      <c r="A265">
        <v>263</v>
      </c>
      <c r="B265">
        <v>15</v>
      </c>
      <c r="C265">
        <v>9500</v>
      </c>
      <c r="D265">
        <v>9651</v>
      </c>
    </row>
    <row r="266" spans="1:4">
      <c r="A266">
        <v>264</v>
      </c>
      <c r="B266">
        <v>14</v>
      </c>
      <c r="C266">
        <v>9500</v>
      </c>
      <c r="D266">
        <v>9216</v>
      </c>
    </row>
    <row r="267" spans="1:4">
      <c r="A267">
        <v>265</v>
      </c>
      <c r="B267">
        <v>15</v>
      </c>
      <c r="C267">
        <v>9500</v>
      </c>
      <c r="D267">
        <v>9442</v>
      </c>
    </row>
    <row r="268" spans="1:4">
      <c r="A268">
        <v>266</v>
      </c>
      <c r="B268">
        <v>15</v>
      </c>
      <c r="C268">
        <v>9500</v>
      </c>
      <c r="D268">
        <v>7668</v>
      </c>
    </row>
    <row r="269" spans="1:4">
      <c r="A269">
        <v>267</v>
      </c>
      <c r="B269">
        <v>15</v>
      </c>
      <c r="C269">
        <v>9500</v>
      </c>
      <c r="D269">
        <v>9048</v>
      </c>
    </row>
    <row r="270" spans="1:4">
      <c r="A270">
        <v>268</v>
      </c>
      <c r="B270">
        <v>15</v>
      </c>
      <c r="C270">
        <v>9500</v>
      </c>
      <c r="D270">
        <v>9688</v>
      </c>
    </row>
    <row r="271" spans="1:4">
      <c r="A271">
        <v>269</v>
      </c>
      <c r="B271">
        <v>15</v>
      </c>
      <c r="C271">
        <v>9500</v>
      </c>
      <c r="D271">
        <v>9527</v>
      </c>
    </row>
    <row r="272" spans="1:4">
      <c r="A272">
        <v>270</v>
      </c>
      <c r="B272">
        <v>15</v>
      </c>
      <c r="C272">
        <v>9500</v>
      </c>
      <c r="D272">
        <v>9435</v>
      </c>
    </row>
    <row r="273" spans="1:4">
      <c r="A273">
        <v>271</v>
      </c>
      <c r="B273">
        <v>15</v>
      </c>
      <c r="C273">
        <v>9500</v>
      </c>
      <c r="D273">
        <v>9525</v>
      </c>
    </row>
    <row r="274" spans="1:4">
      <c r="A274">
        <v>272</v>
      </c>
      <c r="B274">
        <v>15</v>
      </c>
      <c r="C274">
        <v>9500</v>
      </c>
      <c r="D274">
        <v>9725</v>
      </c>
    </row>
    <row r="275" spans="1:4">
      <c r="A275">
        <v>273</v>
      </c>
      <c r="B275">
        <v>15</v>
      </c>
      <c r="C275">
        <v>9500</v>
      </c>
      <c r="D275">
        <v>9420</v>
      </c>
    </row>
    <row r="276" spans="1:4">
      <c r="A276">
        <v>274</v>
      </c>
      <c r="B276">
        <v>15</v>
      </c>
      <c r="C276">
        <v>9500</v>
      </c>
      <c r="D276">
        <v>9196</v>
      </c>
    </row>
    <row r="277" spans="1:4">
      <c r="A277">
        <v>275</v>
      </c>
      <c r="B277">
        <v>15</v>
      </c>
      <c r="C277">
        <v>9500</v>
      </c>
      <c r="D277">
        <v>9652</v>
      </c>
    </row>
    <row r="278" spans="1:4">
      <c r="A278">
        <v>276</v>
      </c>
      <c r="B278">
        <v>15</v>
      </c>
      <c r="C278">
        <v>9500</v>
      </c>
      <c r="D278">
        <v>9682</v>
      </c>
    </row>
    <row r="279" spans="1:4">
      <c r="A279">
        <v>277</v>
      </c>
      <c r="B279">
        <v>15</v>
      </c>
      <c r="C279">
        <v>9500</v>
      </c>
      <c r="D279">
        <v>9557</v>
      </c>
    </row>
    <row r="280" spans="1:4">
      <c r="A280">
        <v>278</v>
      </c>
      <c r="B280">
        <v>15</v>
      </c>
      <c r="C280">
        <v>9500</v>
      </c>
      <c r="D280">
        <v>9367</v>
      </c>
    </row>
    <row r="281" spans="1:4">
      <c r="A281">
        <v>279</v>
      </c>
      <c r="B281">
        <v>15</v>
      </c>
      <c r="C281">
        <v>9500</v>
      </c>
      <c r="D281">
        <v>9394</v>
      </c>
    </row>
    <row r="282" spans="1:4">
      <c r="A282">
        <v>280</v>
      </c>
      <c r="B282">
        <v>15</v>
      </c>
      <c r="C282">
        <v>9500</v>
      </c>
      <c r="D282">
        <v>9572</v>
      </c>
    </row>
    <row r="283" spans="1:4">
      <c r="A283">
        <v>281</v>
      </c>
      <c r="B283">
        <v>15</v>
      </c>
      <c r="C283">
        <v>9500</v>
      </c>
      <c r="D283">
        <v>9814</v>
      </c>
    </row>
    <row r="284" spans="1:4">
      <c r="A284">
        <v>282</v>
      </c>
      <c r="B284">
        <v>15</v>
      </c>
      <c r="C284">
        <v>9500</v>
      </c>
      <c r="D284">
        <v>9599</v>
      </c>
    </row>
    <row r="285" spans="1:4">
      <c r="A285">
        <v>283</v>
      </c>
      <c r="B285">
        <v>15</v>
      </c>
      <c r="C285">
        <v>9500</v>
      </c>
      <c r="D285">
        <v>9600</v>
      </c>
    </row>
    <row r="286" spans="1:4">
      <c r="A286">
        <v>284</v>
      </c>
      <c r="B286">
        <v>15</v>
      </c>
      <c r="C286">
        <v>9500</v>
      </c>
      <c r="D286">
        <v>9700</v>
      </c>
    </row>
    <row r="287" spans="1:4">
      <c r="A287">
        <v>285</v>
      </c>
      <c r="B287">
        <v>15</v>
      </c>
      <c r="C287">
        <v>9500</v>
      </c>
      <c r="D287">
        <v>9550</v>
      </c>
    </row>
    <row r="288" spans="1:4">
      <c r="A288">
        <v>286</v>
      </c>
      <c r="B288">
        <v>15</v>
      </c>
      <c r="C288">
        <v>9500</v>
      </c>
      <c r="D288">
        <v>9698</v>
      </c>
    </row>
    <row r="289" spans="1:4">
      <c r="A289">
        <v>287</v>
      </c>
      <c r="B289">
        <v>15</v>
      </c>
      <c r="C289">
        <v>9500</v>
      </c>
      <c r="D289">
        <v>9545</v>
      </c>
    </row>
    <row r="290" spans="1:4">
      <c r="A290">
        <v>288</v>
      </c>
      <c r="B290">
        <v>15</v>
      </c>
      <c r="C290">
        <v>9500</v>
      </c>
      <c r="D290">
        <v>9746</v>
      </c>
    </row>
    <row r="291" spans="1:4">
      <c r="A291">
        <v>289</v>
      </c>
      <c r="B291">
        <v>15</v>
      </c>
      <c r="C291">
        <v>9500</v>
      </c>
      <c r="D291">
        <v>9339</v>
      </c>
    </row>
    <row r="292" spans="1:4">
      <c r="A292">
        <v>290</v>
      </c>
      <c r="B292">
        <v>15</v>
      </c>
      <c r="C292">
        <v>9500</v>
      </c>
      <c r="D292">
        <v>9346</v>
      </c>
    </row>
    <row r="293" spans="1:4">
      <c r="A293">
        <v>291</v>
      </c>
      <c r="B293">
        <v>15</v>
      </c>
      <c r="C293">
        <v>9500</v>
      </c>
      <c r="D293">
        <v>9426</v>
      </c>
    </row>
    <row r="294" spans="1:4">
      <c r="A294">
        <v>292</v>
      </c>
      <c r="B294">
        <v>15</v>
      </c>
      <c r="C294">
        <v>9500</v>
      </c>
      <c r="D294">
        <v>9706</v>
      </c>
    </row>
    <row r="295" spans="1:4">
      <c r="A295">
        <v>293</v>
      </c>
      <c r="B295">
        <v>15</v>
      </c>
      <c r="C295">
        <v>9500</v>
      </c>
      <c r="D295">
        <v>9568</v>
      </c>
    </row>
    <row r="296" spans="1:4">
      <c r="A296">
        <v>294</v>
      </c>
      <c r="B296">
        <v>15</v>
      </c>
      <c r="C296">
        <v>9500</v>
      </c>
      <c r="D296">
        <v>9575</v>
      </c>
    </row>
    <row r="297" spans="1:4">
      <c r="A297">
        <v>295</v>
      </c>
      <c r="B297">
        <v>15</v>
      </c>
      <c r="C297">
        <v>9500</v>
      </c>
      <c r="D297">
        <v>9694</v>
      </c>
    </row>
    <row r="298" spans="1:4">
      <c r="A298">
        <v>296</v>
      </c>
      <c r="B298">
        <v>15</v>
      </c>
      <c r="C298">
        <v>9500</v>
      </c>
      <c r="D298">
        <v>9673</v>
      </c>
    </row>
    <row r="299" spans="1:4">
      <c r="A299">
        <v>297</v>
      </c>
      <c r="B299">
        <v>15</v>
      </c>
      <c r="C299">
        <v>9500</v>
      </c>
      <c r="D299">
        <v>9528</v>
      </c>
    </row>
    <row r="300" spans="1:4">
      <c r="A300">
        <v>298</v>
      </c>
      <c r="B300">
        <v>15</v>
      </c>
      <c r="C300">
        <v>9500</v>
      </c>
      <c r="D300">
        <v>9501</v>
      </c>
    </row>
    <row r="301" spans="1:4">
      <c r="A301">
        <v>299</v>
      </c>
      <c r="B301">
        <v>15</v>
      </c>
      <c r="C301">
        <v>9500</v>
      </c>
      <c r="D301">
        <v>9526</v>
      </c>
    </row>
    <row r="302" spans="1:4">
      <c r="A302">
        <v>300</v>
      </c>
      <c r="B302">
        <v>15</v>
      </c>
      <c r="C302">
        <v>9500</v>
      </c>
      <c r="D302">
        <v>9484</v>
      </c>
    </row>
    <row r="303" spans="1:4">
      <c r="A303">
        <v>301</v>
      </c>
      <c r="B303">
        <v>15</v>
      </c>
      <c r="C303">
        <v>2600</v>
      </c>
      <c r="D303">
        <v>9601</v>
      </c>
    </row>
    <row r="304" spans="1:4">
      <c r="A304">
        <v>302</v>
      </c>
      <c r="B304">
        <v>12</v>
      </c>
      <c r="C304">
        <v>2600</v>
      </c>
      <c r="D304">
        <v>8514</v>
      </c>
    </row>
    <row r="305" spans="1:4">
      <c r="A305">
        <v>303</v>
      </c>
      <c r="B305">
        <v>12</v>
      </c>
      <c r="C305">
        <v>2600</v>
      </c>
      <c r="D305">
        <v>8386</v>
      </c>
    </row>
    <row r="306" spans="1:4">
      <c r="A306">
        <v>304</v>
      </c>
      <c r="B306">
        <v>12</v>
      </c>
      <c r="C306">
        <v>2600</v>
      </c>
      <c r="D306">
        <v>8549</v>
      </c>
    </row>
    <row r="307" spans="1:4">
      <c r="A307">
        <v>305</v>
      </c>
      <c r="B307">
        <v>11</v>
      </c>
      <c r="C307">
        <v>2600</v>
      </c>
      <c r="D307">
        <v>7955</v>
      </c>
    </row>
    <row r="308" spans="1:4">
      <c r="A308">
        <v>306</v>
      </c>
      <c r="B308">
        <v>11</v>
      </c>
      <c r="C308">
        <v>2600</v>
      </c>
      <c r="D308">
        <v>7937</v>
      </c>
    </row>
    <row r="309" spans="1:4">
      <c r="A309">
        <v>307</v>
      </c>
      <c r="B309">
        <v>10</v>
      </c>
      <c r="C309">
        <v>2600</v>
      </c>
      <c r="D309">
        <v>7416</v>
      </c>
    </row>
    <row r="310" spans="1:4">
      <c r="A310">
        <v>308</v>
      </c>
      <c r="B310">
        <v>10</v>
      </c>
      <c r="C310">
        <v>2600</v>
      </c>
      <c r="D310">
        <v>7264</v>
      </c>
    </row>
    <row r="311" spans="1:4">
      <c r="A311">
        <v>309</v>
      </c>
      <c r="B311">
        <v>9</v>
      </c>
      <c r="C311">
        <v>2600</v>
      </c>
      <c r="D311">
        <v>7038</v>
      </c>
    </row>
    <row r="312" spans="1:4">
      <c r="A312">
        <v>310</v>
      </c>
      <c r="B312">
        <v>9</v>
      </c>
      <c r="C312">
        <v>2600</v>
      </c>
      <c r="D312">
        <v>6860</v>
      </c>
    </row>
    <row r="313" spans="1:4">
      <c r="A313">
        <v>311</v>
      </c>
      <c r="B313">
        <v>8</v>
      </c>
      <c r="C313">
        <v>2600</v>
      </c>
      <c r="D313">
        <v>6543</v>
      </c>
    </row>
    <row r="314" spans="1:4">
      <c r="A314">
        <v>312</v>
      </c>
      <c r="B314">
        <v>8</v>
      </c>
      <c r="C314">
        <v>2600</v>
      </c>
      <c r="D314">
        <v>6570</v>
      </c>
    </row>
    <row r="315" spans="1:4">
      <c r="A315">
        <v>313</v>
      </c>
      <c r="B315">
        <v>8</v>
      </c>
      <c r="C315">
        <v>2600</v>
      </c>
      <c r="D315">
        <v>6528</v>
      </c>
    </row>
    <row r="316" spans="1:4">
      <c r="A316">
        <v>314</v>
      </c>
      <c r="B316">
        <v>7</v>
      </c>
      <c r="C316">
        <v>2600</v>
      </c>
      <c r="D316">
        <v>5706</v>
      </c>
    </row>
    <row r="317" spans="1:4">
      <c r="A317">
        <v>315</v>
      </c>
      <c r="B317">
        <v>7</v>
      </c>
      <c r="C317">
        <v>2600</v>
      </c>
      <c r="D317">
        <v>5645</v>
      </c>
    </row>
    <row r="318" spans="1:4">
      <c r="A318">
        <v>316</v>
      </c>
      <c r="B318">
        <v>7</v>
      </c>
      <c r="C318">
        <v>2600</v>
      </c>
      <c r="D318">
        <v>5783</v>
      </c>
    </row>
    <row r="319" spans="1:4">
      <c r="A319">
        <v>317</v>
      </c>
      <c r="B319">
        <v>6</v>
      </c>
      <c r="C319">
        <v>2600</v>
      </c>
      <c r="D319">
        <v>5327</v>
      </c>
    </row>
    <row r="320" spans="1:4">
      <c r="A320">
        <v>318</v>
      </c>
      <c r="B320">
        <v>6</v>
      </c>
      <c r="C320">
        <v>2600</v>
      </c>
      <c r="D320">
        <v>5398</v>
      </c>
    </row>
    <row r="321" spans="1:4">
      <c r="A321">
        <v>319</v>
      </c>
      <c r="B321">
        <v>6</v>
      </c>
      <c r="C321">
        <v>2600</v>
      </c>
      <c r="D321">
        <v>5420</v>
      </c>
    </row>
    <row r="322" spans="1:4">
      <c r="A322">
        <v>320</v>
      </c>
      <c r="B322">
        <v>6</v>
      </c>
      <c r="C322">
        <v>2600</v>
      </c>
      <c r="D322">
        <v>5349</v>
      </c>
    </row>
    <row r="323" spans="1:4">
      <c r="A323">
        <v>321</v>
      </c>
      <c r="B323">
        <v>5</v>
      </c>
      <c r="C323">
        <v>2600</v>
      </c>
      <c r="D323">
        <v>4466</v>
      </c>
    </row>
    <row r="324" spans="1:4">
      <c r="A324">
        <v>322</v>
      </c>
      <c r="B324">
        <v>5</v>
      </c>
      <c r="C324">
        <v>2600</v>
      </c>
      <c r="D324">
        <v>4409</v>
      </c>
    </row>
    <row r="325" spans="1:4">
      <c r="A325">
        <v>323</v>
      </c>
      <c r="B325">
        <v>5</v>
      </c>
      <c r="C325">
        <v>2600</v>
      </c>
      <c r="D325">
        <v>4427</v>
      </c>
    </row>
    <row r="326" spans="1:4">
      <c r="A326">
        <v>324</v>
      </c>
      <c r="B326">
        <v>5</v>
      </c>
      <c r="C326">
        <v>2600</v>
      </c>
      <c r="D326">
        <v>4500</v>
      </c>
    </row>
    <row r="327" spans="1:4">
      <c r="A327">
        <v>325</v>
      </c>
      <c r="B327">
        <v>5</v>
      </c>
      <c r="C327">
        <v>2600</v>
      </c>
      <c r="D327">
        <v>4479</v>
      </c>
    </row>
    <row r="328" spans="1:4">
      <c r="A328">
        <v>326</v>
      </c>
      <c r="B328">
        <v>5</v>
      </c>
      <c r="C328">
        <v>2600</v>
      </c>
      <c r="D328">
        <v>4467</v>
      </c>
    </row>
    <row r="329" spans="1:4">
      <c r="A329">
        <v>327</v>
      </c>
      <c r="B329">
        <v>5</v>
      </c>
      <c r="C329">
        <v>2600</v>
      </c>
      <c r="D329">
        <v>4411</v>
      </c>
    </row>
    <row r="330" spans="1:4">
      <c r="A330">
        <v>328</v>
      </c>
      <c r="B330">
        <v>4</v>
      </c>
      <c r="C330">
        <v>2600</v>
      </c>
      <c r="D330">
        <v>4244</v>
      </c>
    </row>
    <row r="331" spans="1:4">
      <c r="A331">
        <v>329</v>
      </c>
      <c r="B331">
        <v>4</v>
      </c>
      <c r="C331">
        <v>2600</v>
      </c>
      <c r="D331">
        <v>4192</v>
      </c>
    </row>
    <row r="332" spans="1:4">
      <c r="A332">
        <v>330</v>
      </c>
      <c r="B332">
        <v>4</v>
      </c>
      <c r="C332">
        <v>2600</v>
      </c>
      <c r="D332">
        <v>4375</v>
      </c>
    </row>
    <row r="333" spans="1:4">
      <c r="A333">
        <v>331</v>
      </c>
      <c r="B333">
        <v>4</v>
      </c>
      <c r="C333">
        <v>2600</v>
      </c>
      <c r="D333">
        <v>4205</v>
      </c>
    </row>
    <row r="334" spans="1:4">
      <c r="A334">
        <v>332</v>
      </c>
      <c r="B334">
        <v>4</v>
      </c>
      <c r="C334">
        <v>2600</v>
      </c>
      <c r="D334">
        <v>4225</v>
      </c>
    </row>
    <row r="335" spans="1:4">
      <c r="A335">
        <v>333</v>
      </c>
      <c r="B335">
        <v>4</v>
      </c>
      <c r="C335">
        <v>2600</v>
      </c>
      <c r="D335">
        <v>4187</v>
      </c>
    </row>
    <row r="336" spans="1:4">
      <c r="A336">
        <v>334</v>
      </c>
      <c r="B336">
        <v>3</v>
      </c>
      <c r="C336">
        <v>2600</v>
      </c>
      <c r="D336">
        <v>2641</v>
      </c>
    </row>
    <row r="337" spans="1:4">
      <c r="A337">
        <v>335</v>
      </c>
      <c r="B337">
        <v>4</v>
      </c>
      <c r="C337">
        <v>2600</v>
      </c>
      <c r="D337">
        <v>4259</v>
      </c>
    </row>
    <row r="338" spans="1:4">
      <c r="A338">
        <v>336</v>
      </c>
      <c r="B338">
        <v>3</v>
      </c>
      <c r="C338">
        <v>2600</v>
      </c>
      <c r="D338">
        <v>2633</v>
      </c>
    </row>
    <row r="339" spans="1:4">
      <c r="A339">
        <v>337</v>
      </c>
      <c r="B339">
        <v>4</v>
      </c>
      <c r="C339">
        <v>2600</v>
      </c>
      <c r="D339">
        <v>4188</v>
      </c>
    </row>
    <row r="340" spans="1:4">
      <c r="A340">
        <v>338</v>
      </c>
      <c r="B340">
        <v>3</v>
      </c>
      <c r="C340">
        <v>2600</v>
      </c>
      <c r="D340">
        <v>2608</v>
      </c>
    </row>
    <row r="341" spans="1:4">
      <c r="A341">
        <v>339</v>
      </c>
      <c r="B341">
        <v>3</v>
      </c>
      <c r="C341">
        <v>2600</v>
      </c>
      <c r="D341">
        <v>2591</v>
      </c>
    </row>
    <row r="342" spans="1:4">
      <c r="A342">
        <v>340</v>
      </c>
      <c r="B342">
        <v>3</v>
      </c>
      <c r="C342">
        <v>2600</v>
      </c>
      <c r="D342">
        <v>2629</v>
      </c>
    </row>
    <row r="343" spans="1:4">
      <c r="A343">
        <v>341</v>
      </c>
      <c r="B343">
        <v>3</v>
      </c>
      <c r="C343">
        <v>2600</v>
      </c>
      <c r="D343">
        <v>2635</v>
      </c>
    </row>
    <row r="344" spans="1:4">
      <c r="A344">
        <v>342</v>
      </c>
      <c r="B344">
        <v>3</v>
      </c>
      <c r="C344">
        <v>2600</v>
      </c>
      <c r="D344">
        <v>2588</v>
      </c>
    </row>
    <row r="345" spans="1:4">
      <c r="A345">
        <v>343</v>
      </c>
      <c r="B345">
        <v>3</v>
      </c>
      <c r="C345">
        <v>2600</v>
      </c>
      <c r="D345">
        <v>2650</v>
      </c>
    </row>
    <row r="346" spans="1:4">
      <c r="A346">
        <v>344</v>
      </c>
      <c r="B346">
        <v>3</v>
      </c>
      <c r="C346">
        <v>2600</v>
      </c>
      <c r="D346">
        <v>2650</v>
      </c>
    </row>
    <row r="347" spans="1:4">
      <c r="A347">
        <v>345</v>
      </c>
      <c r="B347">
        <v>3</v>
      </c>
      <c r="C347">
        <v>2600</v>
      </c>
      <c r="D347">
        <v>2664</v>
      </c>
    </row>
    <row r="348" spans="1:4">
      <c r="A348">
        <v>346</v>
      </c>
      <c r="B348">
        <v>3</v>
      </c>
      <c r="C348">
        <v>2600</v>
      </c>
      <c r="D348">
        <v>2615</v>
      </c>
    </row>
    <row r="349" spans="1:4">
      <c r="A349">
        <v>347</v>
      </c>
      <c r="B349">
        <v>3</v>
      </c>
      <c r="C349">
        <v>2600</v>
      </c>
      <c r="D349">
        <v>2658</v>
      </c>
    </row>
    <row r="350" spans="1:4">
      <c r="A350">
        <v>348</v>
      </c>
      <c r="B350">
        <v>3</v>
      </c>
      <c r="C350">
        <v>2600</v>
      </c>
      <c r="D350">
        <v>2620</v>
      </c>
    </row>
    <row r="351" spans="1:4">
      <c r="A351">
        <v>349</v>
      </c>
      <c r="B351">
        <v>3</v>
      </c>
      <c r="C351">
        <v>2600</v>
      </c>
      <c r="D351">
        <v>2613</v>
      </c>
    </row>
    <row r="352" spans="1:4">
      <c r="A352">
        <v>350</v>
      </c>
      <c r="B352">
        <v>3</v>
      </c>
      <c r="C352">
        <v>2600</v>
      </c>
      <c r="D352">
        <v>2601</v>
      </c>
    </row>
    <row r="353" spans="1:4">
      <c r="A353">
        <v>351</v>
      </c>
      <c r="B353">
        <v>3</v>
      </c>
      <c r="C353">
        <v>2600</v>
      </c>
      <c r="D353">
        <v>2551</v>
      </c>
    </row>
    <row r="354" spans="1:4">
      <c r="A354">
        <v>352</v>
      </c>
      <c r="B354">
        <v>3</v>
      </c>
      <c r="C354">
        <v>2600</v>
      </c>
      <c r="D354">
        <v>2646</v>
      </c>
    </row>
    <row r="355" spans="1:4">
      <c r="A355">
        <v>353</v>
      </c>
      <c r="B355">
        <v>3</v>
      </c>
      <c r="C355">
        <v>2600</v>
      </c>
      <c r="D355">
        <v>2636</v>
      </c>
    </row>
    <row r="356" spans="1:4">
      <c r="A356">
        <v>354</v>
      </c>
      <c r="B356">
        <v>3</v>
      </c>
      <c r="C356">
        <v>2600</v>
      </c>
      <c r="D356">
        <v>2623</v>
      </c>
    </row>
    <row r="357" spans="1:4">
      <c r="A357">
        <v>355</v>
      </c>
      <c r="B357">
        <v>3</v>
      </c>
      <c r="C357">
        <v>2600</v>
      </c>
      <c r="D357">
        <v>2589</v>
      </c>
    </row>
    <row r="358" spans="1:4">
      <c r="A358">
        <v>356</v>
      </c>
      <c r="B358">
        <v>3</v>
      </c>
      <c r="C358">
        <v>2600</v>
      </c>
      <c r="D358">
        <v>2641</v>
      </c>
    </row>
    <row r="359" spans="1:4">
      <c r="A359">
        <v>357</v>
      </c>
      <c r="B359">
        <v>3</v>
      </c>
      <c r="C359">
        <v>2600</v>
      </c>
      <c r="D359">
        <v>2611</v>
      </c>
    </row>
    <row r="360" spans="1:4">
      <c r="A360">
        <v>358</v>
      </c>
      <c r="B360">
        <v>3</v>
      </c>
      <c r="C360">
        <v>2600</v>
      </c>
      <c r="D360">
        <v>2642</v>
      </c>
    </row>
    <row r="361" spans="1:4">
      <c r="A361">
        <v>359</v>
      </c>
      <c r="B361">
        <v>3</v>
      </c>
      <c r="C361">
        <v>2600</v>
      </c>
      <c r="D361">
        <v>2602</v>
      </c>
    </row>
    <row r="362" spans="1:4">
      <c r="A362">
        <v>360</v>
      </c>
      <c r="B362">
        <v>3</v>
      </c>
      <c r="C362">
        <v>2600</v>
      </c>
      <c r="D362">
        <v>2645</v>
      </c>
    </row>
    <row r="363" spans="1:4">
      <c r="A363">
        <v>361</v>
      </c>
      <c r="B363">
        <v>3</v>
      </c>
      <c r="C363">
        <v>2600</v>
      </c>
      <c r="D363">
        <v>2479</v>
      </c>
    </row>
    <row r="364" spans="1:4">
      <c r="A364">
        <v>362</v>
      </c>
      <c r="B364">
        <v>3</v>
      </c>
      <c r="C364">
        <v>2600</v>
      </c>
      <c r="D364">
        <v>2606</v>
      </c>
    </row>
    <row r="365" spans="1:4">
      <c r="A365">
        <v>363</v>
      </c>
      <c r="B365">
        <v>3</v>
      </c>
      <c r="C365">
        <v>2600</v>
      </c>
      <c r="D365">
        <v>2551</v>
      </c>
    </row>
    <row r="366" spans="1:4">
      <c r="A366">
        <v>364</v>
      </c>
      <c r="B366">
        <v>3</v>
      </c>
      <c r="C366">
        <v>2600</v>
      </c>
      <c r="D366">
        <v>2570</v>
      </c>
    </row>
    <row r="367" spans="1:4">
      <c r="A367">
        <v>365</v>
      </c>
      <c r="B367">
        <v>3</v>
      </c>
      <c r="C367">
        <v>2600</v>
      </c>
      <c r="D367">
        <v>2582</v>
      </c>
    </row>
    <row r="368" spans="1:4">
      <c r="A368">
        <v>366</v>
      </c>
      <c r="B368">
        <v>3</v>
      </c>
      <c r="C368">
        <v>2600</v>
      </c>
      <c r="D368">
        <v>2616</v>
      </c>
    </row>
    <row r="369" spans="1:4">
      <c r="A369">
        <v>367</v>
      </c>
      <c r="B369">
        <v>3</v>
      </c>
      <c r="C369">
        <v>2600</v>
      </c>
      <c r="D369">
        <v>2252</v>
      </c>
    </row>
    <row r="370" spans="1:4">
      <c r="A370">
        <v>368</v>
      </c>
      <c r="B370">
        <v>3</v>
      </c>
      <c r="C370">
        <v>2600</v>
      </c>
      <c r="D370">
        <v>1980</v>
      </c>
    </row>
    <row r="371" spans="1:4">
      <c r="A371">
        <v>369</v>
      </c>
      <c r="B371">
        <v>4</v>
      </c>
      <c r="C371">
        <v>2600</v>
      </c>
      <c r="D371">
        <v>3972</v>
      </c>
    </row>
    <row r="372" spans="1:4">
      <c r="A372">
        <v>370</v>
      </c>
      <c r="B372">
        <v>3</v>
      </c>
      <c r="C372">
        <v>2600</v>
      </c>
      <c r="D372">
        <v>2545</v>
      </c>
    </row>
    <row r="373" spans="1:4">
      <c r="A373">
        <v>371</v>
      </c>
      <c r="B373">
        <v>3</v>
      </c>
      <c r="C373">
        <v>2600</v>
      </c>
      <c r="D373">
        <v>2601</v>
      </c>
    </row>
    <row r="374" spans="1:4">
      <c r="A374">
        <v>372</v>
      </c>
      <c r="B374">
        <v>3</v>
      </c>
      <c r="C374">
        <v>2600</v>
      </c>
      <c r="D374">
        <v>2567</v>
      </c>
    </row>
    <row r="375" spans="1:4">
      <c r="A375">
        <v>373</v>
      </c>
      <c r="B375">
        <v>3</v>
      </c>
      <c r="C375">
        <v>2600</v>
      </c>
      <c r="D375">
        <v>2519</v>
      </c>
    </row>
    <row r="376" spans="1:4">
      <c r="A376">
        <v>374</v>
      </c>
      <c r="B376">
        <v>3</v>
      </c>
      <c r="C376">
        <v>2600</v>
      </c>
      <c r="D376">
        <v>2563</v>
      </c>
    </row>
    <row r="377" spans="1:4">
      <c r="A377">
        <v>375</v>
      </c>
      <c r="B377">
        <v>3</v>
      </c>
      <c r="C377">
        <v>2600</v>
      </c>
      <c r="D377">
        <v>2558</v>
      </c>
    </row>
    <row r="378" spans="1:4">
      <c r="A378">
        <v>376</v>
      </c>
      <c r="B378">
        <v>3</v>
      </c>
      <c r="C378">
        <v>2600</v>
      </c>
      <c r="D378">
        <v>2576</v>
      </c>
    </row>
    <row r="379" spans="1:4">
      <c r="A379">
        <v>377</v>
      </c>
      <c r="B379">
        <v>3</v>
      </c>
      <c r="C379">
        <v>2600</v>
      </c>
      <c r="D379">
        <v>2572</v>
      </c>
    </row>
    <row r="380" spans="1:4">
      <c r="A380">
        <v>378</v>
      </c>
      <c r="B380">
        <v>3</v>
      </c>
      <c r="C380">
        <v>2600</v>
      </c>
      <c r="D380">
        <v>2618</v>
      </c>
    </row>
    <row r="381" spans="1:4">
      <c r="A381">
        <v>379</v>
      </c>
      <c r="B381">
        <v>3</v>
      </c>
      <c r="C381">
        <v>2600</v>
      </c>
      <c r="D381">
        <v>2613</v>
      </c>
    </row>
    <row r="382" spans="1:4">
      <c r="A382">
        <v>380</v>
      </c>
      <c r="B382">
        <v>3</v>
      </c>
      <c r="C382">
        <v>2600</v>
      </c>
      <c r="D382">
        <v>2554</v>
      </c>
    </row>
    <row r="383" spans="1:4">
      <c r="A383">
        <v>381</v>
      </c>
      <c r="B383">
        <v>3</v>
      </c>
      <c r="C383">
        <v>2600</v>
      </c>
      <c r="D383">
        <v>2603</v>
      </c>
    </row>
    <row r="384" spans="1:4">
      <c r="A384">
        <v>382</v>
      </c>
      <c r="B384">
        <v>3</v>
      </c>
      <c r="C384">
        <v>2600</v>
      </c>
      <c r="D384">
        <v>2580</v>
      </c>
    </row>
    <row r="385" spans="1:4">
      <c r="A385">
        <v>383</v>
      </c>
      <c r="B385">
        <v>3</v>
      </c>
      <c r="C385">
        <v>2600</v>
      </c>
      <c r="D385">
        <v>2635</v>
      </c>
    </row>
    <row r="386" spans="1:4">
      <c r="A386">
        <v>384</v>
      </c>
      <c r="B386">
        <v>3</v>
      </c>
      <c r="C386">
        <v>2600</v>
      </c>
      <c r="D386">
        <v>2627</v>
      </c>
    </row>
    <row r="387" spans="1:4">
      <c r="A387">
        <v>385</v>
      </c>
      <c r="B387">
        <v>3</v>
      </c>
      <c r="C387">
        <v>2600</v>
      </c>
      <c r="D387">
        <v>2560</v>
      </c>
    </row>
    <row r="388" spans="1:4">
      <c r="A388">
        <v>386</v>
      </c>
      <c r="B388">
        <v>3</v>
      </c>
      <c r="C388">
        <v>2600</v>
      </c>
      <c r="D388">
        <v>2541</v>
      </c>
    </row>
    <row r="389" spans="1:4">
      <c r="A389">
        <v>387</v>
      </c>
      <c r="B389">
        <v>3</v>
      </c>
      <c r="C389">
        <v>2600</v>
      </c>
      <c r="D389">
        <v>2590</v>
      </c>
    </row>
    <row r="390" spans="1:4">
      <c r="A390">
        <v>388</v>
      </c>
      <c r="B390">
        <v>3</v>
      </c>
      <c r="C390">
        <v>2600</v>
      </c>
      <c r="D390">
        <v>2599</v>
      </c>
    </row>
    <row r="391" spans="1:4">
      <c r="A391">
        <v>389</v>
      </c>
      <c r="B391">
        <v>3</v>
      </c>
      <c r="C391">
        <v>2600</v>
      </c>
      <c r="D391">
        <v>2557</v>
      </c>
    </row>
    <row r="392" spans="1:4">
      <c r="A392">
        <v>390</v>
      </c>
      <c r="B392">
        <v>3</v>
      </c>
      <c r="C392">
        <v>2600</v>
      </c>
      <c r="D392">
        <v>2565</v>
      </c>
    </row>
    <row r="393" spans="1:4">
      <c r="A393">
        <v>391</v>
      </c>
      <c r="B393">
        <v>3</v>
      </c>
      <c r="C393">
        <v>2600</v>
      </c>
      <c r="D393">
        <v>2608</v>
      </c>
    </row>
    <row r="394" spans="1:4">
      <c r="A394">
        <v>392</v>
      </c>
      <c r="B394">
        <v>3</v>
      </c>
      <c r="C394">
        <v>2600</v>
      </c>
      <c r="D394">
        <v>2556</v>
      </c>
    </row>
    <row r="395" spans="1:4">
      <c r="A395">
        <v>393</v>
      </c>
      <c r="B395">
        <v>3</v>
      </c>
      <c r="C395">
        <v>2600</v>
      </c>
      <c r="D395">
        <v>2581</v>
      </c>
    </row>
    <row r="396" spans="1:4">
      <c r="A396">
        <v>394</v>
      </c>
      <c r="B396">
        <v>3</v>
      </c>
      <c r="C396">
        <v>2600</v>
      </c>
      <c r="D396">
        <v>2627</v>
      </c>
    </row>
    <row r="397" spans="1:4">
      <c r="A397">
        <v>395</v>
      </c>
      <c r="B397">
        <v>3</v>
      </c>
      <c r="C397">
        <v>2600</v>
      </c>
      <c r="D397">
        <v>2602</v>
      </c>
    </row>
    <row r="398" spans="1:4">
      <c r="A398">
        <v>396</v>
      </c>
      <c r="B398">
        <v>3</v>
      </c>
      <c r="C398">
        <v>2600</v>
      </c>
      <c r="D398">
        <v>2555</v>
      </c>
    </row>
    <row r="399" spans="1:4">
      <c r="A399">
        <v>397</v>
      </c>
      <c r="B399">
        <v>3</v>
      </c>
      <c r="C399">
        <v>2600</v>
      </c>
      <c r="D399">
        <v>2625</v>
      </c>
    </row>
    <row r="400" spans="1:4">
      <c r="A400">
        <v>398</v>
      </c>
      <c r="B400">
        <v>3</v>
      </c>
      <c r="C400">
        <v>2600</v>
      </c>
      <c r="D400">
        <v>2537</v>
      </c>
    </row>
    <row r="401" spans="1:4">
      <c r="A401">
        <v>399</v>
      </c>
      <c r="B401">
        <v>3</v>
      </c>
      <c r="C401">
        <v>2600</v>
      </c>
      <c r="D401">
        <v>2588</v>
      </c>
    </row>
    <row r="402" spans="1:4">
      <c r="A402">
        <v>400</v>
      </c>
      <c r="B402">
        <v>3</v>
      </c>
      <c r="C402">
        <v>2600</v>
      </c>
      <c r="D402">
        <v>2548</v>
      </c>
    </row>
    <row r="403" spans="1:4">
      <c r="A403">
        <v>401</v>
      </c>
      <c r="B403">
        <v>3</v>
      </c>
      <c r="C403">
        <v>2600</v>
      </c>
      <c r="D403">
        <v>2640</v>
      </c>
    </row>
    <row r="404" spans="1:4">
      <c r="A404">
        <v>402</v>
      </c>
      <c r="B404">
        <v>3</v>
      </c>
      <c r="C404">
        <v>2600</v>
      </c>
      <c r="D404">
        <v>2580</v>
      </c>
    </row>
    <row r="405" spans="1:4">
      <c r="A405">
        <v>403</v>
      </c>
      <c r="B405">
        <v>3</v>
      </c>
      <c r="C405">
        <v>2600</v>
      </c>
      <c r="D405">
        <v>2603</v>
      </c>
    </row>
    <row r="406" spans="1:4">
      <c r="A406">
        <v>404</v>
      </c>
      <c r="B406">
        <v>3</v>
      </c>
      <c r="C406">
        <v>2600</v>
      </c>
      <c r="D406">
        <v>2557</v>
      </c>
    </row>
    <row r="407" spans="1:4">
      <c r="A407">
        <v>405</v>
      </c>
      <c r="B407">
        <v>3</v>
      </c>
      <c r="C407">
        <v>2600</v>
      </c>
      <c r="D407">
        <v>2546</v>
      </c>
    </row>
    <row r="408" spans="1:4">
      <c r="A408">
        <v>406</v>
      </c>
      <c r="B408">
        <v>3</v>
      </c>
      <c r="C408">
        <v>2600</v>
      </c>
      <c r="D408">
        <v>2628</v>
      </c>
    </row>
    <row r="409" spans="1:4">
      <c r="A409">
        <v>407</v>
      </c>
      <c r="B409">
        <v>3</v>
      </c>
      <c r="C409">
        <v>2600</v>
      </c>
      <c r="D409">
        <v>2647</v>
      </c>
    </row>
    <row r="410" spans="1:4">
      <c r="A410">
        <v>408</v>
      </c>
      <c r="B410">
        <v>3</v>
      </c>
      <c r="C410">
        <v>2600</v>
      </c>
      <c r="D410">
        <v>2568</v>
      </c>
    </row>
    <row r="411" spans="1:4">
      <c r="A411">
        <v>409</v>
      </c>
      <c r="B411">
        <v>3</v>
      </c>
      <c r="C411">
        <v>2600</v>
      </c>
      <c r="D411">
        <v>2523</v>
      </c>
    </row>
    <row r="412" spans="1:4">
      <c r="A412">
        <v>410</v>
      </c>
      <c r="B412">
        <v>3</v>
      </c>
      <c r="C412">
        <v>2600</v>
      </c>
      <c r="D412">
        <v>2574</v>
      </c>
    </row>
    <row r="413" spans="1:4">
      <c r="A413">
        <v>411</v>
      </c>
      <c r="B413">
        <v>3</v>
      </c>
      <c r="C413">
        <v>2600</v>
      </c>
      <c r="D413">
        <v>2577</v>
      </c>
    </row>
    <row r="414" spans="1:4">
      <c r="A414">
        <v>412</v>
      </c>
      <c r="B414">
        <v>3</v>
      </c>
      <c r="C414">
        <v>2600</v>
      </c>
      <c r="D414">
        <v>2545</v>
      </c>
    </row>
    <row r="415" spans="1:4">
      <c r="A415">
        <v>413</v>
      </c>
      <c r="B415">
        <v>3</v>
      </c>
      <c r="C415">
        <v>2600</v>
      </c>
      <c r="D415">
        <v>2545</v>
      </c>
    </row>
    <row r="416" spans="1:4">
      <c r="A416">
        <v>414</v>
      </c>
      <c r="B416">
        <v>3</v>
      </c>
      <c r="C416">
        <v>2600</v>
      </c>
      <c r="D416">
        <v>2589</v>
      </c>
    </row>
    <row r="417" spans="1:4">
      <c r="A417">
        <v>415</v>
      </c>
      <c r="B417">
        <v>3</v>
      </c>
      <c r="C417">
        <v>2600</v>
      </c>
      <c r="D417">
        <v>2477</v>
      </c>
    </row>
    <row r="418" spans="1:4">
      <c r="A418">
        <v>416</v>
      </c>
      <c r="B418">
        <v>3</v>
      </c>
      <c r="C418">
        <v>2600</v>
      </c>
      <c r="D418">
        <v>2318</v>
      </c>
    </row>
    <row r="419" spans="1:4">
      <c r="A419">
        <v>417</v>
      </c>
      <c r="B419">
        <v>4</v>
      </c>
      <c r="C419">
        <v>2600</v>
      </c>
      <c r="D419">
        <v>4085</v>
      </c>
    </row>
    <row r="420" spans="1:4">
      <c r="A420">
        <v>418</v>
      </c>
      <c r="B420">
        <v>3</v>
      </c>
      <c r="C420">
        <v>2600</v>
      </c>
      <c r="D420">
        <v>2469</v>
      </c>
    </row>
    <row r="421" spans="1:4">
      <c r="A421">
        <v>419</v>
      </c>
      <c r="B421">
        <v>3</v>
      </c>
      <c r="C421">
        <v>2600</v>
      </c>
      <c r="D421">
        <v>2570</v>
      </c>
    </row>
    <row r="422" spans="1:4">
      <c r="A422">
        <v>420</v>
      </c>
      <c r="B422">
        <v>3</v>
      </c>
      <c r="C422">
        <v>2600</v>
      </c>
      <c r="D422">
        <v>2575</v>
      </c>
    </row>
    <row r="423" spans="1:4">
      <c r="A423">
        <v>421</v>
      </c>
      <c r="B423">
        <v>3</v>
      </c>
      <c r="C423">
        <v>2600</v>
      </c>
      <c r="D423">
        <v>2560</v>
      </c>
    </row>
    <row r="424" spans="1:4">
      <c r="A424">
        <v>422</v>
      </c>
      <c r="B424">
        <v>3</v>
      </c>
      <c r="C424">
        <v>2600</v>
      </c>
      <c r="D424">
        <v>2505</v>
      </c>
    </row>
    <row r="425" spans="1:4">
      <c r="A425">
        <v>423</v>
      </c>
      <c r="B425">
        <v>3</v>
      </c>
      <c r="C425">
        <v>2600</v>
      </c>
      <c r="D425">
        <v>2569</v>
      </c>
    </row>
    <row r="426" spans="1:4">
      <c r="A426">
        <v>424</v>
      </c>
      <c r="B426">
        <v>3</v>
      </c>
      <c r="C426">
        <v>2600</v>
      </c>
      <c r="D426">
        <v>2557</v>
      </c>
    </row>
    <row r="427" spans="1:4">
      <c r="A427">
        <v>425</v>
      </c>
      <c r="B427">
        <v>3</v>
      </c>
      <c r="C427">
        <v>2600</v>
      </c>
      <c r="D427">
        <v>2577</v>
      </c>
    </row>
    <row r="428" spans="1:4">
      <c r="A428">
        <v>426</v>
      </c>
      <c r="B428">
        <v>3</v>
      </c>
      <c r="C428">
        <v>2600</v>
      </c>
      <c r="D428">
        <v>2573</v>
      </c>
    </row>
    <row r="429" spans="1:4">
      <c r="A429">
        <v>427</v>
      </c>
      <c r="B429">
        <v>3</v>
      </c>
      <c r="C429">
        <v>2600</v>
      </c>
      <c r="D429">
        <v>2579</v>
      </c>
    </row>
    <row r="430" spans="1:4">
      <c r="A430">
        <v>428</v>
      </c>
      <c r="B430">
        <v>3</v>
      </c>
      <c r="C430">
        <v>2600</v>
      </c>
      <c r="D430">
        <v>2549</v>
      </c>
    </row>
    <row r="431" spans="1:4">
      <c r="A431">
        <v>429</v>
      </c>
      <c r="B431">
        <v>3</v>
      </c>
      <c r="C431">
        <v>2600</v>
      </c>
      <c r="D431">
        <v>2566</v>
      </c>
    </row>
    <row r="432" spans="1:4">
      <c r="A432">
        <v>430</v>
      </c>
      <c r="B432">
        <v>3</v>
      </c>
      <c r="C432">
        <v>2600</v>
      </c>
      <c r="D432">
        <v>2492</v>
      </c>
    </row>
    <row r="433" spans="1:4">
      <c r="A433">
        <v>431</v>
      </c>
      <c r="B433">
        <v>3</v>
      </c>
      <c r="C433">
        <v>2600</v>
      </c>
      <c r="D433">
        <v>2607</v>
      </c>
    </row>
    <row r="434" spans="1:4">
      <c r="A434">
        <v>432</v>
      </c>
      <c r="B434">
        <v>3</v>
      </c>
      <c r="C434">
        <v>2600</v>
      </c>
      <c r="D434">
        <v>2601</v>
      </c>
    </row>
    <row r="435" spans="1:4">
      <c r="A435">
        <v>433</v>
      </c>
      <c r="B435">
        <v>3</v>
      </c>
      <c r="C435">
        <v>2600</v>
      </c>
      <c r="D435">
        <v>2430</v>
      </c>
    </row>
    <row r="436" spans="1:4">
      <c r="A436">
        <v>434</v>
      </c>
      <c r="B436">
        <v>3</v>
      </c>
      <c r="C436">
        <v>2600</v>
      </c>
      <c r="D436">
        <v>2415</v>
      </c>
    </row>
    <row r="437" spans="1:4">
      <c r="A437">
        <v>435</v>
      </c>
      <c r="B437">
        <v>3</v>
      </c>
      <c r="C437">
        <v>2600</v>
      </c>
      <c r="D437">
        <v>2580</v>
      </c>
    </row>
    <row r="438" spans="1:4">
      <c r="A438">
        <v>436</v>
      </c>
      <c r="B438">
        <v>3</v>
      </c>
      <c r="C438">
        <v>2600</v>
      </c>
      <c r="D438">
        <v>2562</v>
      </c>
    </row>
    <row r="439" spans="1:4">
      <c r="A439">
        <v>437</v>
      </c>
      <c r="B439">
        <v>3</v>
      </c>
      <c r="C439">
        <v>2600</v>
      </c>
      <c r="D439">
        <v>2561</v>
      </c>
    </row>
    <row r="440" spans="1:4">
      <c r="A440">
        <v>438</v>
      </c>
      <c r="B440">
        <v>3</v>
      </c>
      <c r="C440">
        <v>2600</v>
      </c>
      <c r="D440">
        <v>2597</v>
      </c>
    </row>
    <row r="441" spans="1:4">
      <c r="A441">
        <v>439</v>
      </c>
      <c r="B441">
        <v>3</v>
      </c>
      <c r="C441">
        <v>2600</v>
      </c>
      <c r="D441">
        <v>2579</v>
      </c>
    </row>
    <row r="442" spans="1:4">
      <c r="A442">
        <v>440</v>
      </c>
      <c r="B442">
        <v>3</v>
      </c>
      <c r="C442">
        <v>2600</v>
      </c>
      <c r="D442">
        <v>2584</v>
      </c>
    </row>
    <row r="443" spans="1:4">
      <c r="A443">
        <v>441</v>
      </c>
      <c r="B443">
        <v>3</v>
      </c>
      <c r="C443">
        <v>2600</v>
      </c>
      <c r="D443">
        <v>2610</v>
      </c>
    </row>
    <row r="444" spans="1:4">
      <c r="A444">
        <v>442</v>
      </c>
      <c r="B444">
        <v>3</v>
      </c>
      <c r="C444">
        <v>2600</v>
      </c>
      <c r="D444">
        <v>2547</v>
      </c>
    </row>
    <row r="445" spans="1:4">
      <c r="A445">
        <v>443</v>
      </c>
      <c r="B445">
        <v>3</v>
      </c>
      <c r="C445">
        <v>2600</v>
      </c>
      <c r="D445">
        <v>2605</v>
      </c>
    </row>
    <row r="446" spans="1:4">
      <c r="A446">
        <v>444</v>
      </c>
      <c r="B446">
        <v>3</v>
      </c>
      <c r="C446">
        <v>2600</v>
      </c>
      <c r="D446">
        <v>2577</v>
      </c>
    </row>
    <row r="447" spans="1:4">
      <c r="A447">
        <v>445</v>
      </c>
      <c r="B447">
        <v>3</v>
      </c>
      <c r="C447">
        <v>2600</v>
      </c>
      <c r="D447">
        <v>2586</v>
      </c>
    </row>
    <row r="448" spans="1:4">
      <c r="A448">
        <v>446</v>
      </c>
      <c r="B448">
        <v>3</v>
      </c>
      <c r="C448">
        <v>2600</v>
      </c>
      <c r="D448">
        <v>2591</v>
      </c>
    </row>
    <row r="449" spans="1:4">
      <c r="A449">
        <v>447</v>
      </c>
      <c r="B449">
        <v>3</v>
      </c>
      <c r="C449">
        <v>2600</v>
      </c>
      <c r="D449">
        <v>2584</v>
      </c>
    </row>
    <row r="450" spans="1:4">
      <c r="A450">
        <v>448</v>
      </c>
      <c r="B450">
        <v>3</v>
      </c>
      <c r="C450">
        <v>2600</v>
      </c>
      <c r="D450">
        <v>2519</v>
      </c>
    </row>
    <row r="451" spans="1:4">
      <c r="A451">
        <v>449</v>
      </c>
      <c r="B451">
        <v>3</v>
      </c>
      <c r="C451">
        <v>2600</v>
      </c>
      <c r="D451">
        <v>2566</v>
      </c>
    </row>
    <row r="452" spans="1:4">
      <c r="A452">
        <v>450</v>
      </c>
      <c r="B452">
        <v>3</v>
      </c>
      <c r="C452">
        <v>2600</v>
      </c>
      <c r="D452">
        <v>2554</v>
      </c>
    </row>
    <row r="453" spans="1:4">
      <c r="A453">
        <v>451</v>
      </c>
      <c r="B453">
        <v>3</v>
      </c>
      <c r="C453">
        <v>8110</v>
      </c>
      <c r="D453">
        <v>2605</v>
      </c>
    </row>
    <row r="454" spans="1:4">
      <c r="A454">
        <v>452</v>
      </c>
      <c r="B454">
        <v>5</v>
      </c>
      <c r="C454">
        <v>8110</v>
      </c>
      <c r="D454">
        <v>4261</v>
      </c>
    </row>
    <row r="455" spans="1:4">
      <c r="A455">
        <v>453</v>
      </c>
      <c r="B455">
        <v>5</v>
      </c>
      <c r="C455">
        <v>8110</v>
      </c>
      <c r="D455">
        <v>4373</v>
      </c>
    </row>
    <row r="456" spans="1:4">
      <c r="A456">
        <v>454</v>
      </c>
      <c r="B456">
        <v>6</v>
      </c>
      <c r="C456">
        <v>8110</v>
      </c>
      <c r="D456">
        <v>5208</v>
      </c>
    </row>
    <row r="457" spans="1:4">
      <c r="A457">
        <v>455</v>
      </c>
      <c r="B457">
        <v>6</v>
      </c>
      <c r="C457">
        <v>8110</v>
      </c>
      <c r="D457">
        <v>5149</v>
      </c>
    </row>
    <row r="458" spans="1:4">
      <c r="A458">
        <v>456</v>
      </c>
      <c r="B458">
        <v>6</v>
      </c>
      <c r="C458">
        <v>8110</v>
      </c>
      <c r="D458">
        <v>4872</v>
      </c>
    </row>
    <row r="459" spans="1:4">
      <c r="A459">
        <v>457</v>
      </c>
      <c r="B459">
        <v>6</v>
      </c>
      <c r="C459">
        <v>8110</v>
      </c>
      <c r="D459">
        <v>4790</v>
      </c>
    </row>
    <row r="460" spans="1:4">
      <c r="A460">
        <v>458</v>
      </c>
      <c r="B460">
        <v>7</v>
      </c>
      <c r="C460">
        <v>8110</v>
      </c>
      <c r="D460">
        <v>5559</v>
      </c>
    </row>
    <row r="461" spans="1:4">
      <c r="A461">
        <v>459</v>
      </c>
      <c r="B461">
        <v>7</v>
      </c>
      <c r="C461">
        <v>8110</v>
      </c>
      <c r="D461">
        <v>5631</v>
      </c>
    </row>
    <row r="462" spans="1:4">
      <c r="A462">
        <v>460</v>
      </c>
      <c r="B462">
        <v>7</v>
      </c>
      <c r="C462">
        <v>8110</v>
      </c>
      <c r="D462">
        <v>5569</v>
      </c>
    </row>
    <row r="463" spans="1:4">
      <c r="A463">
        <v>461</v>
      </c>
      <c r="B463">
        <v>7</v>
      </c>
      <c r="C463">
        <v>8110</v>
      </c>
      <c r="D463">
        <v>5569</v>
      </c>
    </row>
    <row r="464" spans="1:4">
      <c r="A464">
        <v>462</v>
      </c>
      <c r="B464">
        <v>8</v>
      </c>
      <c r="C464">
        <v>8110</v>
      </c>
      <c r="D464">
        <v>6350</v>
      </c>
    </row>
    <row r="465" spans="1:4">
      <c r="A465">
        <v>463</v>
      </c>
      <c r="B465">
        <v>8</v>
      </c>
      <c r="C465">
        <v>8110</v>
      </c>
      <c r="D465">
        <v>6420</v>
      </c>
    </row>
    <row r="466" spans="1:4">
      <c r="A466">
        <v>464</v>
      </c>
      <c r="B466">
        <v>8</v>
      </c>
      <c r="C466">
        <v>8110</v>
      </c>
      <c r="D466">
        <v>6449</v>
      </c>
    </row>
    <row r="467" spans="1:4">
      <c r="A467">
        <v>465</v>
      </c>
      <c r="B467">
        <v>8</v>
      </c>
      <c r="C467">
        <v>8110</v>
      </c>
      <c r="D467">
        <v>6503</v>
      </c>
    </row>
    <row r="468" spans="1:4">
      <c r="A468">
        <v>466</v>
      </c>
      <c r="B468">
        <v>8</v>
      </c>
      <c r="C468">
        <v>8110</v>
      </c>
      <c r="D468">
        <v>6409</v>
      </c>
    </row>
    <row r="469" spans="1:4">
      <c r="A469">
        <v>467</v>
      </c>
      <c r="B469">
        <v>8</v>
      </c>
      <c r="C469">
        <v>8110</v>
      </c>
      <c r="D469">
        <v>6383</v>
      </c>
    </row>
    <row r="470" spans="1:4">
      <c r="A470">
        <v>468</v>
      </c>
      <c r="B470">
        <v>8</v>
      </c>
      <c r="C470">
        <v>8110</v>
      </c>
      <c r="D470">
        <v>6371</v>
      </c>
    </row>
    <row r="471" spans="1:4">
      <c r="A471">
        <v>469</v>
      </c>
      <c r="B471">
        <v>9</v>
      </c>
      <c r="C471">
        <v>8110</v>
      </c>
      <c r="D471">
        <v>6691</v>
      </c>
    </row>
    <row r="472" spans="1:4">
      <c r="A472">
        <v>470</v>
      </c>
      <c r="B472">
        <v>9</v>
      </c>
      <c r="C472">
        <v>8110</v>
      </c>
      <c r="D472">
        <v>6676</v>
      </c>
    </row>
    <row r="473" spans="1:4">
      <c r="A473">
        <v>471</v>
      </c>
      <c r="B473">
        <v>9</v>
      </c>
      <c r="C473">
        <v>8110</v>
      </c>
      <c r="D473">
        <v>6261</v>
      </c>
    </row>
    <row r="474" spans="1:4">
      <c r="A474">
        <v>472</v>
      </c>
      <c r="B474">
        <v>9</v>
      </c>
      <c r="C474">
        <v>8110</v>
      </c>
      <c r="D474">
        <v>6753</v>
      </c>
    </row>
    <row r="475" spans="1:4">
      <c r="A475">
        <v>473</v>
      </c>
      <c r="B475">
        <v>9</v>
      </c>
      <c r="C475">
        <v>8110</v>
      </c>
      <c r="D475">
        <v>6666</v>
      </c>
    </row>
    <row r="476" spans="1:4">
      <c r="A476">
        <v>474</v>
      </c>
      <c r="B476">
        <v>9</v>
      </c>
      <c r="C476">
        <v>8110</v>
      </c>
      <c r="D476">
        <v>6819</v>
      </c>
    </row>
    <row r="477" spans="1:4">
      <c r="A477">
        <v>475</v>
      </c>
      <c r="B477">
        <v>9</v>
      </c>
      <c r="C477">
        <v>8110</v>
      </c>
      <c r="D477">
        <v>6802</v>
      </c>
    </row>
    <row r="478" spans="1:4">
      <c r="A478">
        <v>476</v>
      </c>
      <c r="B478">
        <v>9</v>
      </c>
      <c r="C478">
        <v>8110</v>
      </c>
      <c r="D478">
        <v>6671</v>
      </c>
    </row>
    <row r="479" spans="1:4">
      <c r="A479">
        <v>477</v>
      </c>
      <c r="B479">
        <v>10</v>
      </c>
      <c r="C479">
        <v>8110</v>
      </c>
      <c r="D479">
        <v>7285</v>
      </c>
    </row>
    <row r="480" spans="1:4">
      <c r="A480">
        <v>478</v>
      </c>
      <c r="B480">
        <v>10</v>
      </c>
      <c r="C480">
        <v>8110</v>
      </c>
      <c r="D480">
        <v>7200</v>
      </c>
    </row>
    <row r="481" spans="1:4">
      <c r="A481">
        <v>479</v>
      </c>
      <c r="B481">
        <v>10</v>
      </c>
      <c r="C481">
        <v>8110</v>
      </c>
      <c r="D481">
        <v>6622</v>
      </c>
    </row>
    <row r="482" spans="1:4">
      <c r="A482">
        <v>480</v>
      </c>
      <c r="B482">
        <v>10</v>
      </c>
      <c r="C482">
        <v>8110</v>
      </c>
      <c r="D482">
        <v>7050</v>
      </c>
    </row>
    <row r="483" spans="1:4">
      <c r="A483">
        <v>481</v>
      </c>
      <c r="B483">
        <v>10</v>
      </c>
      <c r="C483">
        <v>8110</v>
      </c>
      <c r="D483">
        <v>7109</v>
      </c>
    </row>
    <row r="484" spans="1:4">
      <c r="A484">
        <v>482</v>
      </c>
      <c r="B484">
        <v>10</v>
      </c>
      <c r="C484">
        <v>8110</v>
      </c>
      <c r="D484">
        <v>7124</v>
      </c>
    </row>
    <row r="485" spans="1:4">
      <c r="A485">
        <v>483</v>
      </c>
      <c r="B485">
        <v>10</v>
      </c>
      <c r="C485">
        <v>8110</v>
      </c>
      <c r="D485">
        <v>7180</v>
      </c>
    </row>
    <row r="486" spans="1:4">
      <c r="A486">
        <v>484</v>
      </c>
      <c r="B486">
        <v>10</v>
      </c>
      <c r="C486">
        <v>8110</v>
      </c>
      <c r="D486">
        <v>7003</v>
      </c>
    </row>
    <row r="487" spans="1:4">
      <c r="A487">
        <v>485</v>
      </c>
      <c r="B487">
        <v>10</v>
      </c>
      <c r="C487">
        <v>8110</v>
      </c>
      <c r="D487">
        <v>7083</v>
      </c>
    </row>
    <row r="488" spans="1:4">
      <c r="A488">
        <v>486</v>
      </c>
      <c r="B488">
        <v>10</v>
      </c>
      <c r="C488">
        <v>8110</v>
      </c>
      <c r="D488">
        <v>7140</v>
      </c>
    </row>
    <row r="489" spans="1:4">
      <c r="A489">
        <v>487</v>
      </c>
      <c r="B489">
        <v>11</v>
      </c>
      <c r="C489">
        <v>8110</v>
      </c>
      <c r="D489">
        <v>7522</v>
      </c>
    </row>
    <row r="490" spans="1:4">
      <c r="A490">
        <v>488</v>
      </c>
      <c r="B490">
        <v>11</v>
      </c>
      <c r="C490">
        <v>8110</v>
      </c>
      <c r="D490">
        <v>7429</v>
      </c>
    </row>
    <row r="491" spans="1:4">
      <c r="A491">
        <v>489</v>
      </c>
      <c r="B491">
        <v>11</v>
      </c>
      <c r="C491">
        <v>8110</v>
      </c>
      <c r="D491">
        <v>7483</v>
      </c>
    </row>
    <row r="492" spans="1:4">
      <c r="A492">
        <v>490</v>
      </c>
      <c r="B492">
        <v>11</v>
      </c>
      <c r="C492">
        <v>8110</v>
      </c>
      <c r="D492">
        <v>7504</v>
      </c>
    </row>
    <row r="493" spans="1:4">
      <c r="A493">
        <v>491</v>
      </c>
      <c r="B493">
        <v>11</v>
      </c>
      <c r="C493">
        <v>8110</v>
      </c>
      <c r="D493">
        <v>7677</v>
      </c>
    </row>
    <row r="494" spans="1:4">
      <c r="A494">
        <v>492</v>
      </c>
      <c r="B494">
        <v>11</v>
      </c>
      <c r="C494">
        <v>8110</v>
      </c>
      <c r="D494">
        <v>7717</v>
      </c>
    </row>
    <row r="495" spans="1:4">
      <c r="A495">
        <v>493</v>
      </c>
      <c r="B495">
        <v>11</v>
      </c>
      <c r="C495">
        <v>8110</v>
      </c>
      <c r="D495">
        <v>7164</v>
      </c>
    </row>
    <row r="496" spans="1:4">
      <c r="A496">
        <v>494</v>
      </c>
      <c r="B496">
        <v>11</v>
      </c>
      <c r="C496">
        <v>8110</v>
      </c>
      <c r="D496">
        <v>6997</v>
      </c>
    </row>
    <row r="497" spans="1:4">
      <c r="A497">
        <v>495</v>
      </c>
      <c r="B497">
        <v>11</v>
      </c>
      <c r="C497">
        <v>8110</v>
      </c>
      <c r="D497">
        <v>7538</v>
      </c>
    </row>
    <row r="498" spans="1:4">
      <c r="A498">
        <v>496</v>
      </c>
      <c r="B498">
        <v>11</v>
      </c>
      <c r="C498">
        <v>8110</v>
      </c>
      <c r="D498">
        <v>7358</v>
      </c>
    </row>
    <row r="499" spans="1:4">
      <c r="A499">
        <v>497</v>
      </c>
      <c r="B499">
        <v>11</v>
      </c>
      <c r="C499">
        <v>8110</v>
      </c>
      <c r="D499">
        <v>7645</v>
      </c>
    </row>
    <row r="500" spans="1:4">
      <c r="A500">
        <v>498</v>
      </c>
      <c r="B500">
        <v>11</v>
      </c>
      <c r="C500">
        <v>8110</v>
      </c>
      <c r="D500">
        <v>7685</v>
      </c>
    </row>
    <row r="501" spans="1:4">
      <c r="A501">
        <v>499</v>
      </c>
      <c r="B501">
        <v>11</v>
      </c>
      <c r="C501">
        <v>8110</v>
      </c>
      <c r="D501">
        <v>7721</v>
      </c>
    </row>
    <row r="502" spans="1:4">
      <c r="A502">
        <v>500</v>
      </c>
      <c r="B502">
        <v>11</v>
      </c>
      <c r="C502">
        <v>8110</v>
      </c>
      <c r="D502">
        <v>7459</v>
      </c>
    </row>
    <row r="503" spans="1:4">
      <c r="A503">
        <v>501</v>
      </c>
      <c r="B503">
        <v>11</v>
      </c>
      <c r="C503">
        <v>8110</v>
      </c>
      <c r="D503">
        <v>7712</v>
      </c>
    </row>
    <row r="504" spans="1:4">
      <c r="A504">
        <v>502</v>
      </c>
      <c r="B504">
        <v>11</v>
      </c>
      <c r="C504">
        <v>8110</v>
      </c>
      <c r="D504">
        <v>7602</v>
      </c>
    </row>
    <row r="505" spans="1:4">
      <c r="A505">
        <v>503</v>
      </c>
      <c r="B505">
        <v>11</v>
      </c>
      <c r="C505">
        <v>8110</v>
      </c>
      <c r="D505">
        <v>7633</v>
      </c>
    </row>
    <row r="506" spans="1:4">
      <c r="A506">
        <v>504</v>
      </c>
      <c r="B506">
        <v>11</v>
      </c>
      <c r="C506">
        <v>8110</v>
      </c>
      <c r="D506">
        <v>7501</v>
      </c>
    </row>
    <row r="507" spans="1:4">
      <c r="A507">
        <v>505</v>
      </c>
      <c r="B507">
        <v>12</v>
      </c>
      <c r="C507">
        <v>8110</v>
      </c>
      <c r="D507">
        <v>8110</v>
      </c>
    </row>
    <row r="508" spans="1:4">
      <c r="A508">
        <v>506</v>
      </c>
      <c r="B508">
        <v>11</v>
      </c>
      <c r="C508">
        <v>8110</v>
      </c>
      <c r="D508">
        <v>7560</v>
      </c>
    </row>
    <row r="509" spans="1:4">
      <c r="A509">
        <v>507</v>
      </c>
      <c r="B509">
        <v>12</v>
      </c>
      <c r="C509">
        <v>8110</v>
      </c>
      <c r="D509">
        <v>8055</v>
      </c>
    </row>
    <row r="510" spans="1:4">
      <c r="A510">
        <v>508</v>
      </c>
      <c r="B510">
        <v>12</v>
      </c>
      <c r="C510">
        <v>8110</v>
      </c>
      <c r="D510">
        <v>7842</v>
      </c>
    </row>
    <row r="511" spans="1:4">
      <c r="A511">
        <v>509</v>
      </c>
      <c r="B511">
        <v>12</v>
      </c>
      <c r="C511">
        <v>8110</v>
      </c>
      <c r="D511">
        <v>8084</v>
      </c>
    </row>
    <row r="512" spans="1:4">
      <c r="A512">
        <v>510</v>
      </c>
      <c r="B512">
        <v>12</v>
      </c>
      <c r="C512">
        <v>8110</v>
      </c>
      <c r="D512">
        <v>8136</v>
      </c>
    </row>
    <row r="513" spans="1:4">
      <c r="A513">
        <v>511</v>
      </c>
      <c r="B513">
        <v>12</v>
      </c>
      <c r="C513">
        <v>8110</v>
      </c>
      <c r="D513">
        <v>8059</v>
      </c>
    </row>
    <row r="514" spans="1:4">
      <c r="A514">
        <v>512</v>
      </c>
      <c r="B514">
        <v>12</v>
      </c>
      <c r="C514">
        <v>8110</v>
      </c>
      <c r="D514">
        <v>8077</v>
      </c>
    </row>
    <row r="515" spans="1:4">
      <c r="A515">
        <v>513</v>
      </c>
      <c r="B515">
        <v>12</v>
      </c>
      <c r="C515">
        <v>8110</v>
      </c>
      <c r="D515">
        <v>8080</v>
      </c>
    </row>
    <row r="516" spans="1:4">
      <c r="A516">
        <v>514</v>
      </c>
      <c r="B516">
        <v>12</v>
      </c>
      <c r="C516">
        <v>8110</v>
      </c>
      <c r="D516">
        <v>8192</v>
      </c>
    </row>
    <row r="517" spans="1:4">
      <c r="A517">
        <v>515</v>
      </c>
      <c r="B517">
        <v>12</v>
      </c>
      <c r="C517">
        <v>8110</v>
      </c>
      <c r="D517">
        <v>7921</v>
      </c>
    </row>
    <row r="518" spans="1:4">
      <c r="A518">
        <v>516</v>
      </c>
      <c r="B518">
        <v>12</v>
      </c>
      <c r="C518">
        <v>8110</v>
      </c>
      <c r="D518">
        <v>8060</v>
      </c>
    </row>
    <row r="519" spans="1:4">
      <c r="A519">
        <v>517</v>
      </c>
      <c r="B519">
        <v>12</v>
      </c>
      <c r="C519">
        <v>8110</v>
      </c>
      <c r="D519">
        <v>8184</v>
      </c>
    </row>
    <row r="520" spans="1:4">
      <c r="A520">
        <v>518</v>
      </c>
      <c r="B520">
        <v>12</v>
      </c>
      <c r="C520">
        <v>8110</v>
      </c>
      <c r="D520">
        <v>8096</v>
      </c>
    </row>
    <row r="521" spans="1:4">
      <c r="A521">
        <v>519</v>
      </c>
      <c r="B521">
        <v>12</v>
      </c>
      <c r="C521">
        <v>8110</v>
      </c>
      <c r="D521">
        <v>8075</v>
      </c>
    </row>
    <row r="522" spans="1:4">
      <c r="A522">
        <v>520</v>
      </c>
      <c r="B522">
        <v>12</v>
      </c>
      <c r="C522">
        <v>8110</v>
      </c>
      <c r="D522">
        <v>7995</v>
      </c>
    </row>
    <row r="523" spans="1:4">
      <c r="A523">
        <v>521</v>
      </c>
      <c r="B523">
        <v>12</v>
      </c>
      <c r="C523">
        <v>8110</v>
      </c>
      <c r="D523">
        <v>8002</v>
      </c>
    </row>
    <row r="524" spans="1:4">
      <c r="A524">
        <v>522</v>
      </c>
      <c r="B524">
        <v>12</v>
      </c>
      <c r="C524">
        <v>8110</v>
      </c>
      <c r="D524">
        <v>8079</v>
      </c>
    </row>
    <row r="525" spans="1:4">
      <c r="A525">
        <v>523</v>
      </c>
      <c r="B525">
        <v>12</v>
      </c>
      <c r="C525">
        <v>8110</v>
      </c>
      <c r="D525">
        <v>8013</v>
      </c>
    </row>
    <row r="526" spans="1:4">
      <c r="A526">
        <v>524</v>
      </c>
      <c r="B526">
        <v>12</v>
      </c>
      <c r="C526">
        <v>8110</v>
      </c>
      <c r="D526">
        <v>8294</v>
      </c>
    </row>
    <row r="527" spans="1:4">
      <c r="A527">
        <v>525</v>
      </c>
      <c r="B527">
        <v>12</v>
      </c>
      <c r="C527">
        <v>8110</v>
      </c>
      <c r="D527">
        <v>8000</v>
      </c>
    </row>
    <row r="528" spans="1:4">
      <c r="A528">
        <v>526</v>
      </c>
      <c r="B528">
        <v>12</v>
      </c>
      <c r="C528">
        <v>8110</v>
      </c>
      <c r="D528">
        <v>8057</v>
      </c>
    </row>
    <row r="529" spans="1:4">
      <c r="A529">
        <v>527</v>
      </c>
      <c r="B529">
        <v>12</v>
      </c>
      <c r="C529">
        <v>8110</v>
      </c>
      <c r="D529">
        <v>8137</v>
      </c>
    </row>
    <row r="530" spans="1:4">
      <c r="A530">
        <v>528</v>
      </c>
      <c r="B530">
        <v>12</v>
      </c>
      <c r="C530">
        <v>8110</v>
      </c>
      <c r="D530">
        <v>8096</v>
      </c>
    </row>
    <row r="531" spans="1:4">
      <c r="A531">
        <v>529</v>
      </c>
      <c r="B531">
        <v>12</v>
      </c>
      <c r="C531">
        <v>8110</v>
      </c>
      <c r="D531">
        <v>7861</v>
      </c>
    </row>
    <row r="532" spans="1:4">
      <c r="A532">
        <v>530</v>
      </c>
      <c r="B532">
        <v>12</v>
      </c>
      <c r="C532">
        <v>8110</v>
      </c>
      <c r="D532">
        <v>8059</v>
      </c>
    </row>
    <row r="533" spans="1:4">
      <c r="A533">
        <v>531</v>
      </c>
      <c r="B533">
        <v>12</v>
      </c>
      <c r="C533">
        <v>8110</v>
      </c>
      <c r="D533">
        <v>7931</v>
      </c>
    </row>
    <row r="534" spans="1:4">
      <c r="A534">
        <v>532</v>
      </c>
      <c r="B534">
        <v>12</v>
      </c>
      <c r="C534">
        <v>8110</v>
      </c>
      <c r="D534">
        <v>8102</v>
      </c>
    </row>
    <row r="535" spans="1:4">
      <c r="A535">
        <v>533</v>
      </c>
      <c r="B535">
        <v>12</v>
      </c>
      <c r="C535">
        <v>8110</v>
      </c>
      <c r="D535">
        <v>8078</v>
      </c>
    </row>
    <row r="536" spans="1:4">
      <c r="A536">
        <v>534</v>
      </c>
      <c r="B536">
        <v>12</v>
      </c>
      <c r="C536">
        <v>8110</v>
      </c>
      <c r="D536">
        <v>8194</v>
      </c>
    </row>
    <row r="537" spans="1:4">
      <c r="A537">
        <v>535</v>
      </c>
      <c r="B537">
        <v>12</v>
      </c>
      <c r="C537">
        <v>8110</v>
      </c>
      <c r="D537">
        <v>8138</v>
      </c>
    </row>
    <row r="538" spans="1:4">
      <c r="A538">
        <v>536</v>
      </c>
      <c r="B538">
        <v>12</v>
      </c>
      <c r="C538">
        <v>8110</v>
      </c>
      <c r="D538">
        <v>8001</v>
      </c>
    </row>
    <row r="539" spans="1:4">
      <c r="A539">
        <v>537</v>
      </c>
      <c r="B539">
        <v>12</v>
      </c>
      <c r="C539">
        <v>8110</v>
      </c>
      <c r="D539">
        <v>8007</v>
      </c>
    </row>
    <row r="540" spans="1:4">
      <c r="A540">
        <v>538</v>
      </c>
      <c r="B540">
        <v>12</v>
      </c>
      <c r="C540">
        <v>8110</v>
      </c>
      <c r="D540">
        <v>8045</v>
      </c>
    </row>
    <row r="541" spans="1:4">
      <c r="A541">
        <v>539</v>
      </c>
      <c r="B541">
        <v>12</v>
      </c>
      <c r="C541">
        <v>8110</v>
      </c>
      <c r="D541">
        <v>7487</v>
      </c>
    </row>
    <row r="542" spans="1:4">
      <c r="A542">
        <v>540</v>
      </c>
      <c r="B542">
        <v>12</v>
      </c>
      <c r="C542">
        <v>8110</v>
      </c>
      <c r="D542">
        <v>7636</v>
      </c>
    </row>
    <row r="543" spans="1:4">
      <c r="A543">
        <v>541</v>
      </c>
      <c r="B543">
        <v>12</v>
      </c>
      <c r="C543">
        <v>8110</v>
      </c>
      <c r="D543">
        <v>7876</v>
      </c>
    </row>
    <row r="544" spans="1:4">
      <c r="A544">
        <v>542</v>
      </c>
      <c r="B544">
        <v>12</v>
      </c>
      <c r="C544">
        <v>8110</v>
      </c>
      <c r="D544">
        <v>7841</v>
      </c>
    </row>
    <row r="545" spans="1:4">
      <c r="A545">
        <v>543</v>
      </c>
      <c r="B545">
        <v>12</v>
      </c>
      <c r="C545">
        <v>8110</v>
      </c>
      <c r="D545">
        <v>8024</v>
      </c>
    </row>
    <row r="546" spans="1:4">
      <c r="A546">
        <v>544</v>
      </c>
      <c r="B546">
        <v>12</v>
      </c>
      <c r="C546">
        <v>8110</v>
      </c>
      <c r="D546">
        <v>7957</v>
      </c>
    </row>
    <row r="547" spans="1:4">
      <c r="A547">
        <v>545</v>
      </c>
      <c r="B547">
        <v>12</v>
      </c>
      <c r="C547">
        <v>8110</v>
      </c>
      <c r="D547">
        <v>7828</v>
      </c>
    </row>
    <row r="548" spans="1:4">
      <c r="A548">
        <v>546</v>
      </c>
      <c r="B548">
        <v>12</v>
      </c>
      <c r="C548">
        <v>8110</v>
      </c>
      <c r="D548">
        <v>8161</v>
      </c>
    </row>
    <row r="549" spans="1:4">
      <c r="A549">
        <v>547</v>
      </c>
      <c r="B549">
        <v>12</v>
      </c>
      <c r="C549">
        <v>8110</v>
      </c>
      <c r="D549">
        <v>8149</v>
      </c>
    </row>
    <row r="550" spans="1:4">
      <c r="A550">
        <v>548</v>
      </c>
      <c r="B550">
        <v>12</v>
      </c>
      <c r="C550">
        <v>8110</v>
      </c>
      <c r="D550">
        <v>7745</v>
      </c>
    </row>
    <row r="551" spans="1:4">
      <c r="A551">
        <v>549</v>
      </c>
      <c r="B551">
        <v>12</v>
      </c>
      <c r="C551">
        <v>8110</v>
      </c>
      <c r="D551">
        <v>8192</v>
      </c>
    </row>
    <row r="552" spans="1:4">
      <c r="A552">
        <v>550</v>
      </c>
      <c r="B552">
        <v>12</v>
      </c>
      <c r="C552">
        <v>8110</v>
      </c>
      <c r="D552">
        <v>8139</v>
      </c>
    </row>
    <row r="553" spans="1:4">
      <c r="A553">
        <v>551</v>
      </c>
      <c r="B553">
        <v>12</v>
      </c>
      <c r="C553">
        <v>8110</v>
      </c>
      <c r="D553">
        <v>8076</v>
      </c>
    </row>
    <row r="554" spans="1:4">
      <c r="A554">
        <v>552</v>
      </c>
      <c r="B554">
        <v>12</v>
      </c>
      <c r="C554">
        <v>8110</v>
      </c>
      <c r="D554">
        <v>8192</v>
      </c>
    </row>
    <row r="555" spans="1:4">
      <c r="A555">
        <v>553</v>
      </c>
      <c r="B555">
        <v>12</v>
      </c>
      <c r="C555">
        <v>8110</v>
      </c>
      <c r="D555">
        <v>7822</v>
      </c>
    </row>
    <row r="556" spans="1:4">
      <c r="A556">
        <v>554</v>
      </c>
      <c r="B556">
        <v>12</v>
      </c>
      <c r="C556">
        <v>8110</v>
      </c>
      <c r="D556">
        <v>8004</v>
      </c>
    </row>
    <row r="557" spans="1:4">
      <c r="A557">
        <v>555</v>
      </c>
      <c r="B557">
        <v>12</v>
      </c>
      <c r="C557">
        <v>8110</v>
      </c>
      <c r="D557">
        <v>7985</v>
      </c>
    </row>
    <row r="558" spans="1:4">
      <c r="A558">
        <v>556</v>
      </c>
      <c r="B558">
        <v>12</v>
      </c>
      <c r="C558">
        <v>8110</v>
      </c>
      <c r="D558">
        <v>8087</v>
      </c>
    </row>
    <row r="559" spans="1:4">
      <c r="A559">
        <v>557</v>
      </c>
      <c r="B559">
        <v>12</v>
      </c>
      <c r="C559">
        <v>8110</v>
      </c>
      <c r="D559">
        <v>8048</v>
      </c>
    </row>
    <row r="560" spans="1:4">
      <c r="A560">
        <v>558</v>
      </c>
      <c r="B560">
        <v>12</v>
      </c>
      <c r="C560">
        <v>8110</v>
      </c>
      <c r="D560">
        <v>8047</v>
      </c>
    </row>
    <row r="561" spans="1:4">
      <c r="A561">
        <v>559</v>
      </c>
      <c r="B561">
        <v>12</v>
      </c>
      <c r="C561">
        <v>8110</v>
      </c>
      <c r="D561">
        <v>8119</v>
      </c>
    </row>
    <row r="562" spans="1:4">
      <c r="A562">
        <v>560</v>
      </c>
      <c r="B562">
        <v>12</v>
      </c>
      <c r="C562">
        <v>8110</v>
      </c>
      <c r="D562">
        <v>8054</v>
      </c>
    </row>
    <row r="563" spans="1:4">
      <c r="A563">
        <v>561</v>
      </c>
      <c r="B563">
        <v>12</v>
      </c>
      <c r="C563">
        <v>8110</v>
      </c>
      <c r="D563">
        <v>8001</v>
      </c>
    </row>
    <row r="564" spans="1:4">
      <c r="A564">
        <v>562</v>
      </c>
      <c r="B564">
        <v>12</v>
      </c>
      <c r="C564">
        <v>8110</v>
      </c>
      <c r="D564">
        <v>8078</v>
      </c>
    </row>
    <row r="565" spans="1:4">
      <c r="A565">
        <v>563</v>
      </c>
      <c r="B565">
        <v>12</v>
      </c>
      <c r="C565">
        <v>8110</v>
      </c>
      <c r="D565">
        <v>8083</v>
      </c>
    </row>
    <row r="566" spans="1:4">
      <c r="A566">
        <v>564</v>
      </c>
      <c r="B566">
        <v>12</v>
      </c>
      <c r="C566">
        <v>8110</v>
      </c>
      <c r="D566">
        <v>8087</v>
      </c>
    </row>
    <row r="567" spans="1:4">
      <c r="A567">
        <v>565</v>
      </c>
      <c r="B567">
        <v>12</v>
      </c>
      <c r="C567">
        <v>8110</v>
      </c>
      <c r="D567">
        <v>8080</v>
      </c>
    </row>
    <row r="568" spans="1:4">
      <c r="A568">
        <v>566</v>
      </c>
      <c r="B568">
        <v>12</v>
      </c>
      <c r="C568">
        <v>8110</v>
      </c>
      <c r="D568">
        <v>8164</v>
      </c>
    </row>
    <row r="569" spans="1:4">
      <c r="A569">
        <v>567</v>
      </c>
      <c r="B569">
        <v>12</v>
      </c>
      <c r="C569">
        <v>8110</v>
      </c>
      <c r="D569">
        <v>8093</v>
      </c>
    </row>
    <row r="570" spans="1:4">
      <c r="A570">
        <v>568</v>
      </c>
      <c r="B570">
        <v>12</v>
      </c>
      <c r="C570">
        <v>8110</v>
      </c>
      <c r="D570">
        <v>7930</v>
      </c>
    </row>
    <row r="571" spans="1:4">
      <c r="A571">
        <v>569</v>
      </c>
      <c r="B571">
        <v>12</v>
      </c>
      <c r="C571">
        <v>8110</v>
      </c>
      <c r="D571">
        <v>8116</v>
      </c>
    </row>
    <row r="572" spans="1:4">
      <c r="A572">
        <v>570</v>
      </c>
      <c r="B572">
        <v>12</v>
      </c>
      <c r="C572">
        <v>8110</v>
      </c>
      <c r="D572">
        <v>7981</v>
      </c>
    </row>
    <row r="573" spans="1:4">
      <c r="A573">
        <v>571</v>
      </c>
      <c r="B573">
        <v>12</v>
      </c>
      <c r="C573">
        <v>8110</v>
      </c>
      <c r="D573">
        <v>8071</v>
      </c>
    </row>
    <row r="574" spans="1:4">
      <c r="A574">
        <v>572</v>
      </c>
      <c r="B574">
        <v>12</v>
      </c>
      <c r="C574">
        <v>8110</v>
      </c>
      <c r="D574">
        <v>8208</v>
      </c>
    </row>
    <row r="575" spans="1:4">
      <c r="A575">
        <v>573</v>
      </c>
      <c r="B575">
        <v>12</v>
      </c>
      <c r="C575">
        <v>8110</v>
      </c>
      <c r="D575">
        <v>8160</v>
      </c>
    </row>
    <row r="576" spans="1:4">
      <c r="A576">
        <v>574</v>
      </c>
      <c r="B576">
        <v>12</v>
      </c>
      <c r="C576">
        <v>8110</v>
      </c>
      <c r="D576">
        <v>8068</v>
      </c>
    </row>
    <row r="577" spans="1:4">
      <c r="A577">
        <v>575</v>
      </c>
      <c r="B577">
        <v>12</v>
      </c>
      <c r="C577">
        <v>8110</v>
      </c>
      <c r="D577">
        <v>8139</v>
      </c>
    </row>
    <row r="578" spans="1:4">
      <c r="A578">
        <v>576</v>
      </c>
      <c r="B578">
        <v>12</v>
      </c>
      <c r="C578">
        <v>8110</v>
      </c>
      <c r="D578">
        <v>8305</v>
      </c>
    </row>
    <row r="579" spans="1:4">
      <c r="A579">
        <v>577</v>
      </c>
      <c r="B579">
        <v>12</v>
      </c>
      <c r="C579">
        <v>8110</v>
      </c>
      <c r="D579">
        <v>7969</v>
      </c>
    </row>
    <row r="580" spans="1:4">
      <c r="A580">
        <v>578</v>
      </c>
      <c r="B580">
        <v>12</v>
      </c>
      <c r="C580">
        <v>8110</v>
      </c>
      <c r="D580">
        <v>8007</v>
      </c>
    </row>
    <row r="581" spans="1:4">
      <c r="A581">
        <v>579</v>
      </c>
      <c r="B581">
        <v>12</v>
      </c>
      <c r="C581">
        <v>8110</v>
      </c>
      <c r="D581">
        <v>8159</v>
      </c>
    </row>
    <row r="582" spans="1:4">
      <c r="A582">
        <v>580</v>
      </c>
      <c r="B582">
        <v>12</v>
      </c>
      <c r="C582">
        <v>8110</v>
      </c>
      <c r="D582">
        <v>7879</v>
      </c>
    </row>
    <row r="583" spans="1:4">
      <c r="A583">
        <v>581</v>
      </c>
      <c r="B583">
        <v>12</v>
      </c>
      <c r="C583">
        <v>8110</v>
      </c>
      <c r="D583">
        <v>8108</v>
      </c>
    </row>
    <row r="584" spans="1:4">
      <c r="A584">
        <v>582</v>
      </c>
      <c r="B584">
        <v>12</v>
      </c>
      <c r="C584">
        <v>8110</v>
      </c>
      <c r="D584">
        <v>8071</v>
      </c>
    </row>
    <row r="585" spans="1:4">
      <c r="A585">
        <v>583</v>
      </c>
      <c r="B585">
        <v>12</v>
      </c>
      <c r="C585">
        <v>8110</v>
      </c>
      <c r="D585">
        <v>7919</v>
      </c>
    </row>
    <row r="586" spans="1:4">
      <c r="A586">
        <v>584</v>
      </c>
      <c r="B586">
        <v>12</v>
      </c>
      <c r="C586">
        <v>8110</v>
      </c>
      <c r="D586">
        <v>8074</v>
      </c>
    </row>
    <row r="587" spans="1:4">
      <c r="A587">
        <v>585</v>
      </c>
      <c r="B587">
        <v>12</v>
      </c>
      <c r="C587">
        <v>8110</v>
      </c>
      <c r="D587">
        <v>8054</v>
      </c>
    </row>
    <row r="588" spans="1:4">
      <c r="A588">
        <v>586</v>
      </c>
      <c r="B588">
        <v>12</v>
      </c>
      <c r="C588">
        <v>8110</v>
      </c>
      <c r="D588">
        <v>8041</v>
      </c>
    </row>
    <row r="589" spans="1:4">
      <c r="A589">
        <v>587</v>
      </c>
      <c r="B589">
        <v>12</v>
      </c>
      <c r="C589">
        <v>8110</v>
      </c>
      <c r="D589">
        <v>8252</v>
      </c>
    </row>
    <row r="590" spans="1:4">
      <c r="A590">
        <v>588</v>
      </c>
      <c r="B590">
        <v>12</v>
      </c>
      <c r="C590">
        <v>8110</v>
      </c>
      <c r="D590">
        <v>8239</v>
      </c>
    </row>
    <row r="591" spans="1:4">
      <c r="A591">
        <v>589</v>
      </c>
      <c r="B591">
        <v>12</v>
      </c>
      <c r="C591">
        <v>8110</v>
      </c>
      <c r="D591">
        <v>8247</v>
      </c>
    </row>
    <row r="592" spans="1:4">
      <c r="A592">
        <v>590</v>
      </c>
      <c r="B592">
        <v>12</v>
      </c>
      <c r="C592">
        <v>8110</v>
      </c>
      <c r="D592">
        <v>8068</v>
      </c>
    </row>
    <row r="593" spans="1:4">
      <c r="A593">
        <v>591</v>
      </c>
      <c r="B593">
        <v>12</v>
      </c>
      <c r="C593">
        <v>8110</v>
      </c>
      <c r="D593">
        <v>8203</v>
      </c>
    </row>
    <row r="594" spans="1:4">
      <c r="A594">
        <v>592</v>
      </c>
      <c r="B594">
        <v>12</v>
      </c>
      <c r="C594">
        <v>8110</v>
      </c>
      <c r="D594">
        <v>8127</v>
      </c>
    </row>
    <row r="595" spans="1:4">
      <c r="A595">
        <v>593</v>
      </c>
      <c r="B595">
        <v>12</v>
      </c>
      <c r="C595">
        <v>8110</v>
      </c>
      <c r="D595">
        <v>8192</v>
      </c>
    </row>
    <row r="596" spans="1:4">
      <c r="A596">
        <v>594</v>
      </c>
      <c r="B596">
        <v>12</v>
      </c>
      <c r="C596">
        <v>8110</v>
      </c>
      <c r="D596">
        <v>8185</v>
      </c>
    </row>
    <row r="597" spans="1:4">
      <c r="A597">
        <v>595</v>
      </c>
      <c r="B597">
        <v>12</v>
      </c>
      <c r="C597">
        <v>8110</v>
      </c>
      <c r="D597">
        <v>8201</v>
      </c>
    </row>
    <row r="598" spans="1:4">
      <c r="A598">
        <v>596</v>
      </c>
      <c r="B598">
        <v>12</v>
      </c>
      <c r="C598">
        <v>8110</v>
      </c>
      <c r="D598">
        <v>7517</v>
      </c>
    </row>
    <row r="599" spans="1:4">
      <c r="A599">
        <v>597</v>
      </c>
      <c r="B599">
        <v>12</v>
      </c>
      <c r="C599">
        <v>8110</v>
      </c>
      <c r="D599">
        <v>7597</v>
      </c>
    </row>
    <row r="600" spans="1:4">
      <c r="A600">
        <v>598</v>
      </c>
      <c r="B600">
        <v>12</v>
      </c>
      <c r="C600">
        <v>8110</v>
      </c>
      <c r="D600">
        <v>7430</v>
      </c>
    </row>
    <row r="601" spans="1:4">
      <c r="A601">
        <v>599</v>
      </c>
      <c r="B601">
        <v>12</v>
      </c>
      <c r="C601">
        <v>8110</v>
      </c>
      <c r="D601">
        <v>7673</v>
      </c>
    </row>
    <row r="602" spans="1:4">
      <c r="A602">
        <v>600</v>
      </c>
      <c r="B602">
        <v>12</v>
      </c>
      <c r="C602">
        <v>8110</v>
      </c>
      <c r="D602">
        <v>8104</v>
      </c>
    </row>
    <row r="603" spans="1:4">
      <c r="A603">
        <v>601</v>
      </c>
      <c r="B603">
        <v>12</v>
      </c>
      <c r="C603">
        <v>6680</v>
      </c>
      <c r="D603">
        <v>7831</v>
      </c>
    </row>
    <row r="604" spans="1:4">
      <c r="A604">
        <v>602</v>
      </c>
      <c r="B604">
        <v>12</v>
      </c>
      <c r="C604">
        <v>6680</v>
      </c>
      <c r="D604">
        <v>7879</v>
      </c>
    </row>
    <row r="605" spans="1:4">
      <c r="A605">
        <v>603</v>
      </c>
      <c r="B605">
        <v>12</v>
      </c>
      <c r="C605">
        <v>6680</v>
      </c>
      <c r="D605">
        <v>8132</v>
      </c>
    </row>
    <row r="606" spans="1:4">
      <c r="A606">
        <v>604</v>
      </c>
      <c r="B606">
        <v>12</v>
      </c>
      <c r="C606">
        <v>6680</v>
      </c>
      <c r="D606">
        <v>8015</v>
      </c>
    </row>
    <row r="607" spans="1:4">
      <c r="A607">
        <v>605</v>
      </c>
      <c r="B607">
        <v>11</v>
      </c>
      <c r="C607">
        <v>6680</v>
      </c>
      <c r="D607">
        <v>7719</v>
      </c>
    </row>
    <row r="608" spans="1:4">
      <c r="A608">
        <v>606</v>
      </c>
      <c r="B608">
        <v>11</v>
      </c>
      <c r="C608">
        <v>6680</v>
      </c>
      <c r="D608">
        <v>7627</v>
      </c>
    </row>
    <row r="609" spans="1:4">
      <c r="A609">
        <v>607</v>
      </c>
      <c r="B609">
        <v>11</v>
      </c>
      <c r="C609">
        <v>6680</v>
      </c>
      <c r="D609">
        <v>7466</v>
      </c>
    </row>
    <row r="610" spans="1:4">
      <c r="A610">
        <v>608</v>
      </c>
      <c r="B610">
        <v>11</v>
      </c>
      <c r="C610">
        <v>6680</v>
      </c>
      <c r="D610">
        <v>7363</v>
      </c>
    </row>
    <row r="611" spans="1:4">
      <c r="A611">
        <v>609</v>
      </c>
      <c r="B611">
        <v>11</v>
      </c>
      <c r="C611">
        <v>6680</v>
      </c>
      <c r="D611">
        <v>7530</v>
      </c>
    </row>
    <row r="612" spans="1:4">
      <c r="A612">
        <v>610</v>
      </c>
      <c r="B612">
        <v>11</v>
      </c>
      <c r="C612">
        <v>6680</v>
      </c>
      <c r="D612">
        <v>7647</v>
      </c>
    </row>
    <row r="613" spans="1:4">
      <c r="A613">
        <v>611</v>
      </c>
      <c r="B613">
        <v>11</v>
      </c>
      <c r="C613">
        <v>6680</v>
      </c>
      <c r="D613">
        <v>7736</v>
      </c>
    </row>
    <row r="614" spans="1:4">
      <c r="A614">
        <v>612</v>
      </c>
      <c r="B614">
        <v>11</v>
      </c>
      <c r="C614">
        <v>6680</v>
      </c>
      <c r="D614">
        <v>7570</v>
      </c>
    </row>
    <row r="615" spans="1:4">
      <c r="A615">
        <v>613</v>
      </c>
      <c r="B615">
        <v>11</v>
      </c>
      <c r="C615">
        <v>6680</v>
      </c>
      <c r="D615">
        <v>7608</v>
      </c>
    </row>
    <row r="616" spans="1:4">
      <c r="A616">
        <v>614</v>
      </c>
      <c r="B616">
        <v>11</v>
      </c>
      <c r="C616">
        <v>6680</v>
      </c>
      <c r="D616">
        <v>7611</v>
      </c>
    </row>
    <row r="617" spans="1:4">
      <c r="A617">
        <v>615</v>
      </c>
      <c r="B617">
        <v>11</v>
      </c>
      <c r="C617">
        <v>6680</v>
      </c>
      <c r="D617">
        <v>7544</v>
      </c>
    </row>
    <row r="618" spans="1:4">
      <c r="A618">
        <v>616</v>
      </c>
      <c r="B618">
        <v>11</v>
      </c>
      <c r="C618">
        <v>6680</v>
      </c>
      <c r="D618">
        <v>7641</v>
      </c>
    </row>
    <row r="619" spans="1:4">
      <c r="A619">
        <v>617</v>
      </c>
      <c r="B619">
        <v>10</v>
      </c>
      <c r="C619">
        <v>6680</v>
      </c>
      <c r="D619">
        <v>6814</v>
      </c>
    </row>
    <row r="620" spans="1:4">
      <c r="A620">
        <v>618</v>
      </c>
      <c r="B620">
        <v>11</v>
      </c>
      <c r="C620">
        <v>6680</v>
      </c>
      <c r="D620">
        <v>7521</v>
      </c>
    </row>
    <row r="621" spans="1:4">
      <c r="A621">
        <v>619</v>
      </c>
      <c r="B621">
        <v>10</v>
      </c>
      <c r="C621">
        <v>6680</v>
      </c>
      <c r="D621">
        <v>6213</v>
      </c>
    </row>
    <row r="622" spans="1:4">
      <c r="A622">
        <v>620</v>
      </c>
      <c r="B622">
        <v>11</v>
      </c>
      <c r="C622">
        <v>6680</v>
      </c>
      <c r="D622">
        <v>7522</v>
      </c>
    </row>
    <row r="623" spans="1:4">
      <c r="A623">
        <v>621</v>
      </c>
      <c r="B623">
        <v>10</v>
      </c>
      <c r="C623">
        <v>6680</v>
      </c>
      <c r="D623">
        <v>7138</v>
      </c>
    </row>
    <row r="624" spans="1:4">
      <c r="A624">
        <v>622</v>
      </c>
      <c r="B624">
        <v>10</v>
      </c>
      <c r="C624">
        <v>6680</v>
      </c>
      <c r="D624">
        <v>7119</v>
      </c>
    </row>
    <row r="625" spans="1:4">
      <c r="A625">
        <v>623</v>
      </c>
      <c r="B625">
        <v>10</v>
      </c>
      <c r="C625">
        <v>6680</v>
      </c>
      <c r="D625">
        <v>7319</v>
      </c>
    </row>
    <row r="626" spans="1:4">
      <c r="A626">
        <v>624</v>
      </c>
      <c r="B626">
        <v>10</v>
      </c>
      <c r="C626">
        <v>6680</v>
      </c>
      <c r="D626">
        <v>7156</v>
      </c>
    </row>
    <row r="627" spans="1:4">
      <c r="A627">
        <v>625</v>
      </c>
      <c r="B627">
        <v>10</v>
      </c>
      <c r="C627">
        <v>6680</v>
      </c>
      <c r="D627">
        <v>7017</v>
      </c>
    </row>
    <row r="628" spans="1:4">
      <c r="A628">
        <v>626</v>
      </c>
      <c r="B628">
        <v>10</v>
      </c>
      <c r="C628">
        <v>6680</v>
      </c>
      <c r="D628">
        <v>7086</v>
      </c>
    </row>
    <row r="629" spans="1:4">
      <c r="A629">
        <v>627</v>
      </c>
      <c r="B629">
        <v>10</v>
      </c>
      <c r="C629">
        <v>6680</v>
      </c>
      <c r="D629">
        <v>7162</v>
      </c>
    </row>
    <row r="630" spans="1:4">
      <c r="A630">
        <v>628</v>
      </c>
      <c r="B630">
        <v>10</v>
      </c>
      <c r="C630">
        <v>6680</v>
      </c>
      <c r="D630">
        <v>7113</v>
      </c>
    </row>
    <row r="631" spans="1:4">
      <c r="A631">
        <v>629</v>
      </c>
      <c r="B631">
        <v>10</v>
      </c>
      <c r="C631">
        <v>6680</v>
      </c>
      <c r="D631">
        <v>7016</v>
      </c>
    </row>
    <row r="632" spans="1:4">
      <c r="A632">
        <v>630</v>
      </c>
      <c r="B632">
        <v>10</v>
      </c>
      <c r="C632">
        <v>6680</v>
      </c>
      <c r="D632">
        <v>7116</v>
      </c>
    </row>
    <row r="633" spans="1:4">
      <c r="A633">
        <v>631</v>
      </c>
      <c r="B633">
        <v>10</v>
      </c>
      <c r="C633">
        <v>6680</v>
      </c>
      <c r="D633">
        <v>7092</v>
      </c>
    </row>
    <row r="634" spans="1:4">
      <c r="A634">
        <v>632</v>
      </c>
      <c r="B634">
        <v>10</v>
      </c>
      <c r="C634">
        <v>6680</v>
      </c>
      <c r="D634">
        <v>7196</v>
      </c>
    </row>
    <row r="635" spans="1:4">
      <c r="A635">
        <v>633</v>
      </c>
      <c r="B635">
        <v>10</v>
      </c>
      <c r="C635">
        <v>6680</v>
      </c>
      <c r="D635">
        <v>7344</v>
      </c>
    </row>
    <row r="636" spans="1:4">
      <c r="A636">
        <v>634</v>
      </c>
      <c r="B636">
        <v>10</v>
      </c>
      <c r="C636">
        <v>6680</v>
      </c>
      <c r="D636">
        <v>7037</v>
      </c>
    </row>
    <row r="637" spans="1:4">
      <c r="A637">
        <v>635</v>
      </c>
      <c r="B637">
        <v>10</v>
      </c>
      <c r="C637">
        <v>6680</v>
      </c>
      <c r="D637">
        <v>7162</v>
      </c>
    </row>
    <row r="638" spans="1:4">
      <c r="A638">
        <v>636</v>
      </c>
      <c r="B638">
        <v>10</v>
      </c>
      <c r="C638">
        <v>6680</v>
      </c>
      <c r="D638">
        <v>7166</v>
      </c>
    </row>
    <row r="639" spans="1:4">
      <c r="A639">
        <v>637</v>
      </c>
      <c r="B639">
        <v>10</v>
      </c>
      <c r="C639">
        <v>6680</v>
      </c>
      <c r="D639">
        <v>7083</v>
      </c>
    </row>
    <row r="640" spans="1:4">
      <c r="A640">
        <v>638</v>
      </c>
      <c r="B640">
        <v>10</v>
      </c>
      <c r="C640">
        <v>6680</v>
      </c>
      <c r="D640">
        <v>7076</v>
      </c>
    </row>
    <row r="641" spans="1:4">
      <c r="A641">
        <v>639</v>
      </c>
      <c r="B641">
        <v>10</v>
      </c>
      <c r="C641">
        <v>6680</v>
      </c>
      <c r="D641">
        <v>7080</v>
      </c>
    </row>
    <row r="642" spans="1:4">
      <c r="A642">
        <v>640</v>
      </c>
      <c r="B642">
        <v>10</v>
      </c>
      <c r="C642">
        <v>6680</v>
      </c>
      <c r="D642">
        <v>7213</v>
      </c>
    </row>
    <row r="643" spans="1:4">
      <c r="A643">
        <v>641</v>
      </c>
      <c r="B643">
        <v>9</v>
      </c>
      <c r="C643">
        <v>6680</v>
      </c>
      <c r="D643">
        <v>6484</v>
      </c>
    </row>
    <row r="644" spans="1:4">
      <c r="A644">
        <v>642</v>
      </c>
      <c r="B644">
        <v>10</v>
      </c>
      <c r="C644">
        <v>6680</v>
      </c>
      <c r="D644">
        <v>7184</v>
      </c>
    </row>
    <row r="645" spans="1:4">
      <c r="A645">
        <v>643</v>
      </c>
      <c r="B645">
        <v>9</v>
      </c>
      <c r="C645">
        <v>6680</v>
      </c>
      <c r="D645">
        <v>6701</v>
      </c>
    </row>
    <row r="646" spans="1:4">
      <c r="A646">
        <v>644</v>
      </c>
      <c r="B646">
        <v>10</v>
      </c>
      <c r="C646">
        <v>6680</v>
      </c>
      <c r="D646">
        <v>6980</v>
      </c>
    </row>
    <row r="647" spans="1:4">
      <c r="A647">
        <v>645</v>
      </c>
      <c r="B647">
        <v>9</v>
      </c>
      <c r="C647">
        <v>6680</v>
      </c>
      <c r="D647">
        <v>6752</v>
      </c>
    </row>
    <row r="648" spans="1:4">
      <c r="A648">
        <v>646</v>
      </c>
      <c r="B648">
        <v>9</v>
      </c>
      <c r="C648">
        <v>6680</v>
      </c>
      <c r="D648">
        <v>6313</v>
      </c>
    </row>
    <row r="649" spans="1:4">
      <c r="A649">
        <v>647</v>
      </c>
      <c r="B649">
        <v>10</v>
      </c>
      <c r="C649">
        <v>6680</v>
      </c>
      <c r="D649">
        <v>7220</v>
      </c>
    </row>
    <row r="650" spans="1:4">
      <c r="A650">
        <v>648</v>
      </c>
      <c r="B650">
        <v>9</v>
      </c>
      <c r="C650">
        <v>6680</v>
      </c>
      <c r="D650">
        <v>6611</v>
      </c>
    </row>
    <row r="651" spans="1:4">
      <c r="A651">
        <v>649</v>
      </c>
      <c r="B651">
        <v>9</v>
      </c>
      <c r="C651">
        <v>6680</v>
      </c>
      <c r="D651">
        <v>6762</v>
      </c>
    </row>
    <row r="652" spans="1:4">
      <c r="A652">
        <v>650</v>
      </c>
      <c r="B652">
        <v>9</v>
      </c>
      <c r="C652">
        <v>6680</v>
      </c>
      <c r="D652">
        <v>6628</v>
      </c>
    </row>
    <row r="653" spans="1:4">
      <c r="A653">
        <v>651</v>
      </c>
      <c r="B653">
        <v>9</v>
      </c>
      <c r="C653">
        <v>6680</v>
      </c>
      <c r="D653">
        <v>6672</v>
      </c>
    </row>
    <row r="654" spans="1:4">
      <c r="A654">
        <v>652</v>
      </c>
      <c r="B654">
        <v>9</v>
      </c>
      <c r="C654">
        <v>6680</v>
      </c>
      <c r="D654">
        <v>6786</v>
      </c>
    </row>
    <row r="655" spans="1:4">
      <c r="A655">
        <v>653</v>
      </c>
      <c r="B655">
        <v>9</v>
      </c>
      <c r="C655">
        <v>6680</v>
      </c>
      <c r="D655">
        <v>6484</v>
      </c>
    </row>
    <row r="656" spans="1:4">
      <c r="A656">
        <v>654</v>
      </c>
      <c r="B656">
        <v>10</v>
      </c>
      <c r="C656">
        <v>6680</v>
      </c>
      <c r="D656">
        <v>7068</v>
      </c>
    </row>
    <row r="657" spans="1:4">
      <c r="A657">
        <v>655</v>
      </c>
      <c r="B657">
        <v>9</v>
      </c>
      <c r="C657">
        <v>6680</v>
      </c>
      <c r="D657">
        <v>6558</v>
      </c>
    </row>
    <row r="658" spans="1:4">
      <c r="A658">
        <v>656</v>
      </c>
      <c r="B658">
        <v>9</v>
      </c>
      <c r="C658">
        <v>6680</v>
      </c>
      <c r="D658">
        <v>6506</v>
      </c>
    </row>
    <row r="659" spans="1:4">
      <c r="A659">
        <v>657</v>
      </c>
      <c r="B659">
        <v>10</v>
      </c>
      <c r="C659">
        <v>6680</v>
      </c>
      <c r="D659">
        <v>7147</v>
      </c>
    </row>
    <row r="660" spans="1:4">
      <c r="A660">
        <v>658</v>
      </c>
      <c r="B660">
        <v>9</v>
      </c>
      <c r="C660">
        <v>6680</v>
      </c>
      <c r="D660">
        <v>6651</v>
      </c>
    </row>
    <row r="661" spans="1:4">
      <c r="A661">
        <v>659</v>
      </c>
      <c r="B661">
        <v>9</v>
      </c>
      <c r="C661">
        <v>6680</v>
      </c>
      <c r="D661">
        <v>6777</v>
      </c>
    </row>
    <row r="662" spans="1:4">
      <c r="A662">
        <v>660</v>
      </c>
      <c r="B662">
        <v>9</v>
      </c>
      <c r="C662">
        <v>6680</v>
      </c>
      <c r="D662">
        <v>6691</v>
      </c>
    </row>
    <row r="663" spans="1:4">
      <c r="A663">
        <v>661</v>
      </c>
      <c r="B663">
        <v>9</v>
      </c>
      <c r="C663">
        <v>6680</v>
      </c>
      <c r="D663">
        <v>6726</v>
      </c>
    </row>
    <row r="664" spans="1:4">
      <c r="A664">
        <v>662</v>
      </c>
      <c r="B664">
        <v>9</v>
      </c>
      <c r="C664">
        <v>6680</v>
      </c>
      <c r="D664">
        <v>6665</v>
      </c>
    </row>
    <row r="665" spans="1:4">
      <c r="A665">
        <v>663</v>
      </c>
      <c r="B665">
        <v>9</v>
      </c>
      <c r="C665">
        <v>6680</v>
      </c>
      <c r="D665">
        <v>6761</v>
      </c>
    </row>
    <row r="666" spans="1:4">
      <c r="A666">
        <v>664</v>
      </c>
      <c r="B666">
        <v>9</v>
      </c>
      <c r="C666">
        <v>6680</v>
      </c>
      <c r="D666">
        <v>6733</v>
      </c>
    </row>
    <row r="667" spans="1:4">
      <c r="A667">
        <v>665</v>
      </c>
      <c r="B667">
        <v>9</v>
      </c>
      <c r="C667">
        <v>6680</v>
      </c>
      <c r="D667">
        <v>6492</v>
      </c>
    </row>
    <row r="668" spans="1:4">
      <c r="A668">
        <v>666</v>
      </c>
      <c r="B668">
        <v>9</v>
      </c>
      <c r="C668">
        <v>6680</v>
      </c>
      <c r="D668">
        <v>6922</v>
      </c>
    </row>
    <row r="669" spans="1:4">
      <c r="A669">
        <v>667</v>
      </c>
      <c r="B669">
        <v>9</v>
      </c>
      <c r="C669">
        <v>6680</v>
      </c>
      <c r="D669">
        <v>6739</v>
      </c>
    </row>
    <row r="670" spans="1:4">
      <c r="A670">
        <v>668</v>
      </c>
      <c r="B670">
        <v>9</v>
      </c>
      <c r="C670">
        <v>6680</v>
      </c>
      <c r="D670">
        <v>6608</v>
      </c>
    </row>
    <row r="671" spans="1:4">
      <c r="A671">
        <v>669</v>
      </c>
      <c r="B671">
        <v>9</v>
      </c>
      <c r="C671">
        <v>6680</v>
      </c>
      <c r="D671">
        <v>6659</v>
      </c>
    </row>
    <row r="672" spans="1:4">
      <c r="A672">
        <v>670</v>
      </c>
      <c r="B672">
        <v>9</v>
      </c>
      <c r="C672">
        <v>6680</v>
      </c>
      <c r="D672">
        <v>6741</v>
      </c>
    </row>
    <row r="673" spans="1:4">
      <c r="A673">
        <v>671</v>
      </c>
      <c r="B673">
        <v>9</v>
      </c>
      <c r="C673">
        <v>6680</v>
      </c>
      <c r="D673">
        <v>6682</v>
      </c>
    </row>
    <row r="674" spans="1:4">
      <c r="A674">
        <v>672</v>
      </c>
      <c r="B674">
        <v>9</v>
      </c>
      <c r="C674">
        <v>6680</v>
      </c>
      <c r="D674">
        <v>6657</v>
      </c>
    </row>
    <row r="675" spans="1:4">
      <c r="A675">
        <v>673</v>
      </c>
      <c r="B675">
        <v>9</v>
      </c>
      <c r="C675">
        <v>6680</v>
      </c>
      <c r="D675">
        <v>5983</v>
      </c>
    </row>
    <row r="676" spans="1:4">
      <c r="A676">
        <v>674</v>
      </c>
      <c r="B676">
        <v>10</v>
      </c>
      <c r="C676">
        <v>6680</v>
      </c>
      <c r="D676">
        <v>7013</v>
      </c>
    </row>
    <row r="677" spans="1:4">
      <c r="A677">
        <v>675</v>
      </c>
      <c r="B677">
        <v>9</v>
      </c>
      <c r="C677">
        <v>6680</v>
      </c>
      <c r="D677">
        <v>6749</v>
      </c>
    </row>
    <row r="678" spans="1:4">
      <c r="A678">
        <v>676</v>
      </c>
      <c r="B678">
        <v>9</v>
      </c>
      <c r="C678">
        <v>6680</v>
      </c>
      <c r="D678">
        <v>6717</v>
      </c>
    </row>
    <row r="679" spans="1:4">
      <c r="A679">
        <v>677</v>
      </c>
      <c r="B679">
        <v>9</v>
      </c>
      <c r="C679">
        <v>6680</v>
      </c>
      <c r="D679">
        <v>6626</v>
      </c>
    </row>
    <row r="680" spans="1:4">
      <c r="A680">
        <v>678</v>
      </c>
      <c r="B680">
        <v>9</v>
      </c>
      <c r="C680">
        <v>6680</v>
      </c>
      <c r="D680">
        <v>6695</v>
      </c>
    </row>
    <row r="681" spans="1:4">
      <c r="A681">
        <v>679</v>
      </c>
      <c r="B681">
        <v>9</v>
      </c>
      <c r="C681">
        <v>6680</v>
      </c>
      <c r="D681">
        <v>6748</v>
      </c>
    </row>
    <row r="682" spans="1:4">
      <c r="A682">
        <v>680</v>
      </c>
      <c r="B682">
        <v>9</v>
      </c>
      <c r="C682">
        <v>6680</v>
      </c>
      <c r="D682">
        <v>6725</v>
      </c>
    </row>
    <row r="683" spans="1:4">
      <c r="A683">
        <v>681</v>
      </c>
      <c r="B683">
        <v>9</v>
      </c>
      <c r="C683">
        <v>6680</v>
      </c>
      <c r="D683">
        <v>6805</v>
      </c>
    </row>
    <row r="684" spans="1:4">
      <c r="A684">
        <v>682</v>
      </c>
      <c r="B684">
        <v>9</v>
      </c>
      <c r="C684">
        <v>6680</v>
      </c>
      <c r="D684">
        <v>6734</v>
      </c>
    </row>
    <row r="685" spans="1:4">
      <c r="A685">
        <v>683</v>
      </c>
      <c r="B685">
        <v>9</v>
      </c>
      <c r="C685">
        <v>6680</v>
      </c>
      <c r="D685">
        <v>6649</v>
      </c>
    </row>
    <row r="686" spans="1:4">
      <c r="A686">
        <v>684</v>
      </c>
      <c r="B686">
        <v>9</v>
      </c>
      <c r="C686">
        <v>6680</v>
      </c>
      <c r="D686">
        <v>6723</v>
      </c>
    </row>
    <row r="687" spans="1:4">
      <c r="A687">
        <v>685</v>
      </c>
      <c r="B687">
        <v>9</v>
      </c>
      <c r="C687">
        <v>6680</v>
      </c>
      <c r="D687">
        <v>6178</v>
      </c>
    </row>
    <row r="688" spans="1:4">
      <c r="A688">
        <v>686</v>
      </c>
      <c r="B688">
        <v>10</v>
      </c>
      <c r="C688">
        <v>6680</v>
      </c>
      <c r="D688">
        <v>7072</v>
      </c>
    </row>
    <row r="689" spans="1:4">
      <c r="A689">
        <v>687</v>
      </c>
      <c r="B689">
        <v>9</v>
      </c>
      <c r="C689">
        <v>6680</v>
      </c>
      <c r="D689">
        <v>6556</v>
      </c>
    </row>
    <row r="690" spans="1:4">
      <c r="A690">
        <v>688</v>
      </c>
      <c r="B690">
        <v>9</v>
      </c>
      <c r="C690">
        <v>6680</v>
      </c>
      <c r="D690">
        <v>6545</v>
      </c>
    </row>
    <row r="691" spans="1:4">
      <c r="A691">
        <v>689</v>
      </c>
      <c r="B691">
        <v>9</v>
      </c>
      <c r="C691">
        <v>6680</v>
      </c>
      <c r="D691">
        <v>6600</v>
      </c>
    </row>
    <row r="692" spans="1:4">
      <c r="A692">
        <v>690</v>
      </c>
      <c r="B692">
        <v>9</v>
      </c>
      <c r="C692">
        <v>6680</v>
      </c>
      <c r="D692">
        <v>6727</v>
      </c>
    </row>
    <row r="693" spans="1:4">
      <c r="A693">
        <v>691</v>
      </c>
      <c r="B693">
        <v>9</v>
      </c>
      <c r="C693">
        <v>6680</v>
      </c>
      <c r="D693">
        <v>6706</v>
      </c>
    </row>
    <row r="694" spans="1:4">
      <c r="A694">
        <v>692</v>
      </c>
      <c r="B694">
        <v>9</v>
      </c>
      <c r="C694">
        <v>6680</v>
      </c>
      <c r="D694">
        <v>6632</v>
      </c>
    </row>
    <row r="695" spans="1:4">
      <c r="A695">
        <v>693</v>
      </c>
      <c r="B695">
        <v>9</v>
      </c>
      <c r="C695">
        <v>6680</v>
      </c>
      <c r="D695">
        <v>6606</v>
      </c>
    </row>
    <row r="696" spans="1:4">
      <c r="A696">
        <v>694</v>
      </c>
      <c r="B696">
        <v>9</v>
      </c>
      <c r="C696">
        <v>6680</v>
      </c>
      <c r="D696">
        <v>6703</v>
      </c>
    </row>
    <row r="697" spans="1:4">
      <c r="A697">
        <v>695</v>
      </c>
      <c r="B697">
        <v>9</v>
      </c>
      <c r="C697">
        <v>6680</v>
      </c>
      <c r="D697">
        <v>6557</v>
      </c>
    </row>
    <row r="698" spans="1:4">
      <c r="A698">
        <v>696</v>
      </c>
      <c r="B698">
        <v>9</v>
      </c>
      <c r="C698">
        <v>6680</v>
      </c>
      <c r="D698">
        <v>6764</v>
      </c>
    </row>
    <row r="699" spans="1:4">
      <c r="A699">
        <v>697</v>
      </c>
      <c r="B699">
        <v>9</v>
      </c>
      <c r="C699">
        <v>6680</v>
      </c>
      <c r="D699">
        <v>6629</v>
      </c>
    </row>
    <row r="700" spans="1:4">
      <c r="A700">
        <v>698</v>
      </c>
      <c r="B700">
        <v>9</v>
      </c>
      <c r="C700">
        <v>6680</v>
      </c>
      <c r="D700">
        <v>6630</v>
      </c>
    </row>
    <row r="701" spans="1:4">
      <c r="A701">
        <v>699</v>
      </c>
      <c r="B701">
        <v>9</v>
      </c>
      <c r="C701">
        <v>6680</v>
      </c>
      <c r="D701">
        <v>6657</v>
      </c>
    </row>
    <row r="702" spans="1:4">
      <c r="A702">
        <v>700</v>
      </c>
      <c r="B702">
        <v>9</v>
      </c>
      <c r="C702">
        <v>6680</v>
      </c>
      <c r="D702">
        <v>6698</v>
      </c>
    </row>
    <row r="703" spans="1:4">
      <c r="A703">
        <v>701</v>
      </c>
      <c r="B703">
        <v>9</v>
      </c>
      <c r="C703">
        <v>6680</v>
      </c>
      <c r="D703">
        <v>6538</v>
      </c>
    </row>
    <row r="704" spans="1:4">
      <c r="A704">
        <v>702</v>
      </c>
      <c r="B704">
        <v>9</v>
      </c>
      <c r="C704">
        <v>6680</v>
      </c>
      <c r="D704">
        <v>6728</v>
      </c>
    </row>
    <row r="705" spans="1:4">
      <c r="A705">
        <v>703</v>
      </c>
      <c r="B705">
        <v>9</v>
      </c>
      <c r="C705">
        <v>6680</v>
      </c>
      <c r="D705">
        <v>6652</v>
      </c>
    </row>
    <row r="706" spans="1:4">
      <c r="A706">
        <v>704</v>
      </c>
      <c r="B706">
        <v>9</v>
      </c>
      <c r="C706">
        <v>6680</v>
      </c>
      <c r="D706">
        <v>6732</v>
      </c>
    </row>
    <row r="707" spans="1:4">
      <c r="A707">
        <v>705</v>
      </c>
      <c r="B707">
        <v>9</v>
      </c>
      <c r="C707">
        <v>6680</v>
      </c>
      <c r="D707">
        <v>6657</v>
      </c>
    </row>
    <row r="708" spans="1:4">
      <c r="A708">
        <v>706</v>
      </c>
      <c r="B708">
        <v>9</v>
      </c>
      <c r="C708">
        <v>6680</v>
      </c>
      <c r="D708">
        <v>6623</v>
      </c>
    </row>
    <row r="709" spans="1:4">
      <c r="A709">
        <v>707</v>
      </c>
      <c r="B709">
        <v>9</v>
      </c>
      <c r="C709">
        <v>6680</v>
      </c>
      <c r="D709">
        <v>6692</v>
      </c>
    </row>
    <row r="710" spans="1:4">
      <c r="A710">
        <v>708</v>
      </c>
      <c r="B710">
        <v>9</v>
      </c>
      <c r="C710">
        <v>6680</v>
      </c>
      <c r="D710">
        <v>6802</v>
      </c>
    </row>
    <row r="711" spans="1:4">
      <c r="A711">
        <v>709</v>
      </c>
      <c r="B711">
        <v>9</v>
      </c>
      <c r="C711">
        <v>6680</v>
      </c>
      <c r="D711">
        <v>6683</v>
      </c>
    </row>
    <row r="712" spans="1:4">
      <c r="A712">
        <v>710</v>
      </c>
      <c r="B712">
        <v>9</v>
      </c>
      <c r="C712">
        <v>6680</v>
      </c>
      <c r="D712">
        <v>6775</v>
      </c>
    </row>
    <row r="713" spans="1:4">
      <c r="A713">
        <v>711</v>
      </c>
      <c r="B713">
        <v>9</v>
      </c>
      <c r="C713">
        <v>6680</v>
      </c>
      <c r="D713">
        <v>6611</v>
      </c>
    </row>
    <row r="714" spans="1:4">
      <c r="A714">
        <v>712</v>
      </c>
      <c r="B714">
        <v>9</v>
      </c>
      <c r="C714">
        <v>6680</v>
      </c>
      <c r="D714">
        <v>6655</v>
      </c>
    </row>
    <row r="715" spans="1:4">
      <c r="A715">
        <v>713</v>
      </c>
      <c r="B715">
        <v>9</v>
      </c>
      <c r="C715">
        <v>6680</v>
      </c>
      <c r="D715">
        <v>6708</v>
      </c>
    </row>
    <row r="716" spans="1:4">
      <c r="A716">
        <v>714</v>
      </c>
      <c r="B716">
        <v>9</v>
      </c>
      <c r="C716">
        <v>6680</v>
      </c>
      <c r="D716">
        <v>6694</v>
      </c>
    </row>
    <row r="717" spans="1:4">
      <c r="A717">
        <v>715</v>
      </c>
      <c r="B717">
        <v>9</v>
      </c>
      <c r="C717">
        <v>6680</v>
      </c>
      <c r="D717">
        <v>6700</v>
      </c>
    </row>
    <row r="718" spans="1:4">
      <c r="A718">
        <v>716</v>
      </c>
      <c r="B718">
        <v>9</v>
      </c>
      <c r="C718">
        <v>6680</v>
      </c>
      <c r="D718">
        <v>6706</v>
      </c>
    </row>
    <row r="719" spans="1:4">
      <c r="A719">
        <v>717</v>
      </c>
      <c r="B719">
        <v>9</v>
      </c>
      <c r="C719">
        <v>6680</v>
      </c>
      <c r="D719">
        <v>6742</v>
      </c>
    </row>
    <row r="720" spans="1:4">
      <c r="A720">
        <v>718</v>
      </c>
      <c r="B720">
        <v>9</v>
      </c>
      <c r="C720">
        <v>6680</v>
      </c>
      <c r="D720">
        <v>6672</v>
      </c>
    </row>
    <row r="721" spans="1:4">
      <c r="A721">
        <v>719</v>
      </c>
      <c r="B721">
        <v>9</v>
      </c>
      <c r="C721">
        <v>6680</v>
      </c>
      <c r="D721">
        <v>6800</v>
      </c>
    </row>
    <row r="722" spans="1:4">
      <c r="A722">
        <v>720</v>
      </c>
      <c r="B722">
        <v>9</v>
      </c>
      <c r="C722">
        <v>6680</v>
      </c>
      <c r="D722">
        <v>6710</v>
      </c>
    </row>
    <row r="723" spans="1:4">
      <c r="A723">
        <v>721</v>
      </c>
      <c r="B723">
        <v>9</v>
      </c>
      <c r="C723">
        <v>6680</v>
      </c>
      <c r="D723">
        <v>6532</v>
      </c>
    </row>
    <row r="724" spans="1:4">
      <c r="A724">
        <v>722</v>
      </c>
      <c r="B724">
        <v>9</v>
      </c>
      <c r="C724">
        <v>6680</v>
      </c>
      <c r="D724">
        <v>6588</v>
      </c>
    </row>
    <row r="725" spans="1:4">
      <c r="A725">
        <v>723</v>
      </c>
      <c r="B725">
        <v>9</v>
      </c>
      <c r="C725">
        <v>6680</v>
      </c>
      <c r="D725">
        <v>6591</v>
      </c>
    </row>
    <row r="726" spans="1:4">
      <c r="A726">
        <v>724</v>
      </c>
      <c r="B726">
        <v>9</v>
      </c>
      <c r="C726">
        <v>6680</v>
      </c>
      <c r="D726">
        <v>6560</v>
      </c>
    </row>
    <row r="727" spans="1:4">
      <c r="A727">
        <v>725</v>
      </c>
      <c r="B727">
        <v>9</v>
      </c>
      <c r="C727">
        <v>6680</v>
      </c>
      <c r="D727">
        <v>6519</v>
      </c>
    </row>
    <row r="728" spans="1:4">
      <c r="A728">
        <v>726</v>
      </c>
      <c r="B728">
        <v>10</v>
      </c>
      <c r="C728">
        <v>6680</v>
      </c>
      <c r="D728">
        <v>7218</v>
      </c>
    </row>
    <row r="729" spans="1:4">
      <c r="A729">
        <v>727</v>
      </c>
      <c r="B729">
        <v>9</v>
      </c>
      <c r="C729">
        <v>6680</v>
      </c>
      <c r="D729">
        <v>6616</v>
      </c>
    </row>
    <row r="730" spans="1:4">
      <c r="A730">
        <v>728</v>
      </c>
      <c r="B730">
        <v>9</v>
      </c>
      <c r="C730">
        <v>6680</v>
      </c>
      <c r="D730">
        <v>6529</v>
      </c>
    </row>
    <row r="731" spans="1:4">
      <c r="A731">
        <v>729</v>
      </c>
      <c r="B731">
        <v>9</v>
      </c>
      <c r="C731">
        <v>6680</v>
      </c>
      <c r="D731">
        <v>6789</v>
      </c>
    </row>
    <row r="732" spans="1:4">
      <c r="A732">
        <v>730</v>
      </c>
      <c r="B732">
        <v>9</v>
      </c>
      <c r="C732">
        <v>6680</v>
      </c>
      <c r="D732">
        <v>6645</v>
      </c>
    </row>
    <row r="733" spans="1:4">
      <c r="A733">
        <v>731</v>
      </c>
      <c r="B733">
        <v>9</v>
      </c>
      <c r="C733">
        <v>6680</v>
      </c>
      <c r="D733">
        <v>6718</v>
      </c>
    </row>
    <row r="734" spans="1:4">
      <c r="A734">
        <v>732</v>
      </c>
      <c r="B734">
        <v>9</v>
      </c>
      <c r="C734">
        <v>6680</v>
      </c>
      <c r="D734">
        <v>6581</v>
      </c>
    </row>
    <row r="735" spans="1:4">
      <c r="A735">
        <v>733</v>
      </c>
      <c r="B735">
        <v>9</v>
      </c>
      <c r="C735">
        <v>6680</v>
      </c>
      <c r="D735">
        <v>6523</v>
      </c>
    </row>
    <row r="736" spans="1:4">
      <c r="A736">
        <v>734</v>
      </c>
      <c r="B736">
        <v>9</v>
      </c>
      <c r="C736">
        <v>6680</v>
      </c>
      <c r="D736">
        <v>6519</v>
      </c>
    </row>
    <row r="737" spans="1:4">
      <c r="A737">
        <v>735</v>
      </c>
      <c r="B737">
        <v>10</v>
      </c>
      <c r="C737">
        <v>6680</v>
      </c>
      <c r="D737">
        <v>7133</v>
      </c>
    </row>
    <row r="738" spans="1:4">
      <c r="A738">
        <v>736</v>
      </c>
      <c r="B738">
        <v>9</v>
      </c>
      <c r="C738">
        <v>6680</v>
      </c>
      <c r="D738">
        <v>6716</v>
      </c>
    </row>
    <row r="739" spans="1:4">
      <c r="A739">
        <v>737</v>
      </c>
      <c r="B739">
        <v>9</v>
      </c>
      <c r="C739">
        <v>6680</v>
      </c>
      <c r="D739">
        <v>6566</v>
      </c>
    </row>
    <row r="740" spans="1:4">
      <c r="A740">
        <v>738</v>
      </c>
      <c r="B740">
        <v>9</v>
      </c>
      <c r="C740">
        <v>6680</v>
      </c>
      <c r="D740">
        <v>6664</v>
      </c>
    </row>
    <row r="741" spans="1:4">
      <c r="A741">
        <v>739</v>
      </c>
      <c r="B741">
        <v>9</v>
      </c>
      <c r="C741">
        <v>6680</v>
      </c>
      <c r="D741">
        <v>6372</v>
      </c>
    </row>
    <row r="742" spans="1:4">
      <c r="A742">
        <v>740</v>
      </c>
      <c r="B742">
        <v>10</v>
      </c>
      <c r="C742">
        <v>6680</v>
      </c>
      <c r="D742">
        <v>5799</v>
      </c>
    </row>
    <row r="743" spans="1:4">
      <c r="A743">
        <v>741</v>
      </c>
      <c r="B743">
        <v>10</v>
      </c>
      <c r="C743">
        <v>6680</v>
      </c>
      <c r="D743">
        <v>6979</v>
      </c>
    </row>
    <row r="744" spans="1:4">
      <c r="A744">
        <v>742</v>
      </c>
      <c r="B744">
        <v>9</v>
      </c>
      <c r="C744">
        <v>6680</v>
      </c>
      <c r="D744">
        <v>6632</v>
      </c>
    </row>
    <row r="745" spans="1:4">
      <c r="A745">
        <v>743</v>
      </c>
      <c r="B745">
        <v>10</v>
      </c>
      <c r="C745">
        <v>6680</v>
      </c>
      <c r="D745">
        <v>7204</v>
      </c>
    </row>
    <row r="746" spans="1:4">
      <c r="A746">
        <v>744</v>
      </c>
      <c r="B746">
        <v>9</v>
      </c>
      <c r="C746">
        <v>6680</v>
      </c>
      <c r="D746">
        <v>6560</v>
      </c>
    </row>
    <row r="747" spans="1:4">
      <c r="A747">
        <v>745</v>
      </c>
      <c r="B747">
        <v>10</v>
      </c>
      <c r="C747">
        <v>6680</v>
      </c>
      <c r="D747">
        <v>6963</v>
      </c>
    </row>
    <row r="748" spans="1:4">
      <c r="A748">
        <v>746</v>
      </c>
      <c r="B748">
        <v>9</v>
      </c>
      <c r="C748">
        <v>6680</v>
      </c>
      <c r="D748">
        <v>6490</v>
      </c>
    </row>
    <row r="749" spans="1:4">
      <c r="A749">
        <v>747</v>
      </c>
      <c r="B749">
        <v>10</v>
      </c>
      <c r="C749">
        <v>6680</v>
      </c>
      <c r="D749">
        <v>7026</v>
      </c>
    </row>
    <row r="750" spans="1:4">
      <c r="A750">
        <v>748</v>
      </c>
      <c r="B750">
        <v>9</v>
      </c>
      <c r="C750">
        <v>6680</v>
      </c>
      <c r="D750">
        <v>6752</v>
      </c>
    </row>
    <row r="751" spans="1:4">
      <c r="A751">
        <v>749</v>
      </c>
      <c r="B751">
        <v>9</v>
      </c>
      <c r="C751">
        <v>6680</v>
      </c>
      <c r="D751">
        <v>6418</v>
      </c>
    </row>
    <row r="752" spans="1:4">
      <c r="A752">
        <v>750</v>
      </c>
      <c r="B752">
        <v>10</v>
      </c>
      <c r="C752">
        <v>6680</v>
      </c>
      <c r="D752">
        <v>7135</v>
      </c>
    </row>
    <row r="753" spans="1:4">
      <c r="A753">
        <v>751</v>
      </c>
      <c r="B753">
        <v>9</v>
      </c>
      <c r="C753">
        <v>4600</v>
      </c>
      <c r="D753">
        <v>6661</v>
      </c>
    </row>
    <row r="754" spans="1:4">
      <c r="A754">
        <v>752</v>
      </c>
      <c r="B754">
        <v>9</v>
      </c>
      <c r="C754">
        <v>4600</v>
      </c>
      <c r="D754">
        <v>6735</v>
      </c>
    </row>
    <row r="755" spans="1:4">
      <c r="A755">
        <v>753</v>
      </c>
      <c r="B755">
        <v>9</v>
      </c>
      <c r="C755">
        <v>4600</v>
      </c>
      <c r="D755">
        <v>6558</v>
      </c>
    </row>
    <row r="756" spans="1:4">
      <c r="A756">
        <v>754</v>
      </c>
      <c r="B756">
        <v>8</v>
      </c>
      <c r="C756">
        <v>4600</v>
      </c>
      <c r="D756">
        <v>6288</v>
      </c>
    </row>
    <row r="757" spans="1:4">
      <c r="A757">
        <v>755</v>
      </c>
      <c r="B757">
        <v>8</v>
      </c>
      <c r="C757">
        <v>4600</v>
      </c>
      <c r="D757">
        <v>6288</v>
      </c>
    </row>
    <row r="758" spans="1:4">
      <c r="A758">
        <v>756</v>
      </c>
      <c r="B758">
        <v>8</v>
      </c>
      <c r="C758">
        <v>4600</v>
      </c>
      <c r="D758">
        <v>6270</v>
      </c>
    </row>
    <row r="759" spans="1:4">
      <c r="A759">
        <v>757</v>
      </c>
      <c r="B759">
        <v>8</v>
      </c>
      <c r="C759">
        <v>4600</v>
      </c>
      <c r="D759">
        <v>6242</v>
      </c>
    </row>
    <row r="760" spans="1:4">
      <c r="A760">
        <v>758</v>
      </c>
      <c r="B760">
        <v>8</v>
      </c>
      <c r="C760">
        <v>4600</v>
      </c>
      <c r="D760">
        <v>6345</v>
      </c>
    </row>
    <row r="761" spans="1:4">
      <c r="A761">
        <v>759</v>
      </c>
      <c r="B761">
        <v>8</v>
      </c>
      <c r="C761">
        <v>4600</v>
      </c>
      <c r="D761">
        <v>6266</v>
      </c>
    </row>
    <row r="762" spans="1:4">
      <c r="A762">
        <v>760</v>
      </c>
      <c r="B762">
        <v>7</v>
      </c>
      <c r="C762">
        <v>4600</v>
      </c>
      <c r="D762">
        <v>5560</v>
      </c>
    </row>
    <row r="763" spans="1:4">
      <c r="A763">
        <v>761</v>
      </c>
      <c r="B763">
        <v>8</v>
      </c>
      <c r="C763">
        <v>4600</v>
      </c>
      <c r="D763">
        <v>6160</v>
      </c>
    </row>
    <row r="764" spans="1:4">
      <c r="A764">
        <v>762</v>
      </c>
      <c r="B764">
        <v>7</v>
      </c>
      <c r="C764">
        <v>4600</v>
      </c>
      <c r="D764">
        <v>5471</v>
      </c>
    </row>
    <row r="765" spans="1:4">
      <c r="A765">
        <v>763</v>
      </c>
      <c r="B765">
        <v>7</v>
      </c>
      <c r="C765">
        <v>4600</v>
      </c>
      <c r="D765">
        <v>5605</v>
      </c>
    </row>
    <row r="766" spans="1:4">
      <c r="A766">
        <v>764</v>
      </c>
      <c r="B766">
        <v>7</v>
      </c>
      <c r="C766">
        <v>4600</v>
      </c>
      <c r="D766">
        <v>5607</v>
      </c>
    </row>
    <row r="767" spans="1:4">
      <c r="A767">
        <v>765</v>
      </c>
      <c r="B767">
        <v>7</v>
      </c>
      <c r="C767">
        <v>4600</v>
      </c>
      <c r="D767">
        <v>5548</v>
      </c>
    </row>
    <row r="768" spans="1:4">
      <c r="A768">
        <v>766</v>
      </c>
      <c r="B768">
        <v>7</v>
      </c>
      <c r="C768">
        <v>4600</v>
      </c>
      <c r="D768">
        <v>5630</v>
      </c>
    </row>
    <row r="769" spans="1:4">
      <c r="A769">
        <v>767</v>
      </c>
      <c r="B769">
        <v>7</v>
      </c>
      <c r="C769">
        <v>4600</v>
      </c>
      <c r="D769">
        <v>5584</v>
      </c>
    </row>
    <row r="770" spans="1:4">
      <c r="A770">
        <v>768</v>
      </c>
      <c r="B770">
        <v>7</v>
      </c>
      <c r="C770">
        <v>4600</v>
      </c>
      <c r="D770">
        <v>5615</v>
      </c>
    </row>
    <row r="771" spans="1:4">
      <c r="A771">
        <v>769</v>
      </c>
      <c r="B771">
        <v>7</v>
      </c>
      <c r="C771">
        <v>4600</v>
      </c>
      <c r="D771">
        <v>5539</v>
      </c>
    </row>
    <row r="772" spans="1:4">
      <c r="A772">
        <v>770</v>
      </c>
      <c r="B772">
        <v>7</v>
      </c>
      <c r="C772">
        <v>4600</v>
      </c>
      <c r="D772">
        <v>5602</v>
      </c>
    </row>
    <row r="773" spans="1:4">
      <c r="A773">
        <v>771</v>
      </c>
      <c r="B773">
        <v>6</v>
      </c>
      <c r="C773">
        <v>4600</v>
      </c>
      <c r="D773">
        <v>5083</v>
      </c>
    </row>
    <row r="774" spans="1:4">
      <c r="A774">
        <v>772</v>
      </c>
      <c r="B774">
        <v>7</v>
      </c>
      <c r="C774">
        <v>4600</v>
      </c>
      <c r="D774">
        <v>4868</v>
      </c>
    </row>
    <row r="775" spans="1:4">
      <c r="A775">
        <v>773</v>
      </c>
      <c r="B775">
        <v>7</v>
      </c>
      <c r="C775">
        <v>4600</v>
      </c>
      <c r="D775">
        <v>5442</v>
      </c>
    </row>
    <row r="776" spans="1:4">
      <c r="A776">
        <v>774</v>
      </c>
      <c r="B776">
        <v>6</v>
      </c>
      <c r="C776">
        <v>4600</v>
      </c>
      <c r="D776">
        <v>5132</v>
      </c>
    </row>
    <row r="777" spans="1:4">
      <c r="A777">
        <v>775</v>
      </c>
      <c r="B777">
        <v>6</v>
      </c>
      <c r="C777">
        <v>4600</v>
      </c>
      <c r="D777">
        <v>5164</v>
      </c>
    </row>
    <row r="778" spans="1:4">
      <c r="A778">
        <v>776</v>
      </c>
      <c r="B778">
        <v>6</v>
      </c>
      <c r="C778">
        <v>4600</v>
      </c>
      <c r="D778">
        <v>5231</v>
      </c>
    </row>
    <row r="779" spans="1:4">
      <c r="A779">
        <v>777</v>
      </c>
      <c r="B779">
        <v>6</v>
      </c>
      <c r="C779">
        <v>4600</v>
      </c>
      <c r="D779">
        <v>4539</v>
      </c>
    </row>
    <row r="780" spans="1:4">
      <c r="A780">
        <v>778</v>
      </c>
      <c r="B780">
        <v>6</v>
      </c>
      <c r="C780">
        <v>4600</v>
      </c>
      <c r="D780">
        <v>4965</v>
      </c>
    </row>
    <row r="781" spans="1:4">
      <c r="A781">
        <v>779</v>
      </c>
      <c r="B781">
        <v>6</v>
      </c>
      <c r="C781">
        <v>4600</v>
      </c>
      <c r="D781">
        <v>4471</v>
      </c>
    </row>
    <row r="782" spans="1:4">
      <c r="A782">
        <v>780</v>
      </c>
      <c r="B782">
        <v>6</v>
      </c>
      <c r="C782">
        <v>4600</v>
      </c>
      <c r="D782">
        <v>5161</v>
      </c>
    </row>
    <row r="783" spans="1:4">
      <c r="A783">
        <v>781</v>
      </c>
      <c r="B783">
        <v>6</v>
      </c>
      <c r="C783">
        <v>4600</v>
      </c>
      <c r="D783">
        <v>5041</v>
      </c>
    </row>
    <row r="784" spans="1:4">
      <c r="A784">
        <v>782</v>
      </c>
      <c r="B784">
        <v>6</v>
      </c>
      <c r="C784">
        <v>4600</v>
      </c>
      <c r="D784">
        <v>5088</v>
      </c>
    </row>
    <row r="785" spans="1:4">
      <c r="A785">
        <v>783</v>
      </c>
      <c r="B785">
        <v>6</v>
      </c>
      <c r="C785">
        <v>4600</v>
      </c>
      <c r="D785">
        <v>5113</v>
      </c>
    </row>
    <row r="786" spans="1:4">
      <c r="A786">
        <v>784</v>
      </c>
      <c r="B786">
        <v>6</v>
      </c>
      <c r="C786">
        <v>4600</v>
      </c>
      <c r="D786">
        <v>5115</v>
      </c>
    </row>
    <row r="787" spans="1:4">
      <c r="A787">
        <v>785</v>
      </c>
      <c r="B787">
        <v>6</v>
      </c>
      <c r="C787">
        <v>4600</v>
      </c>
      <c r="D787">
        <v>5029</v>
      </c>
    </row>
    <row r="788" spans="1:4">
      <c r="A788">
        <v>786</v>
      </c>
      <c r="B788">
        <v>6</v>
      </c>
      <c r="C788">
        <v>4600</v>
      </c>
      <c r="D788">
        <v>5143</v>
      </c>
    </row>
    <row r="789" spans="1:4">
      <c r="A789">
        <v>787</v>
      </c>
      <c r="B789">
        <v>6</v>
      </c>
      <c r="C789">
        <v>4600</v>
      </c>
      <c r="D789">
        <v>5163</v>
      </c>
    </row>
    <row r="790" spans="1:4">
      <c r="A790">
        <v>788</v>
      </c>
      <c r="B790">
        <v>6</v>
      </c>
      <c r="C790">
        <v>4600</v>
      </c>
      <c r="D790">
        <v>4981</v>
      </c>
    </row>
    <row r="791" spans="1:4">
      <c r="A791">
        <v>789</v>
      </c>
      <c r="B791">
        <v>6</v>
      </c>
      <c r="C791">
        <v>4600</v>
      </c>
      <c r="D791">
        <v>5125</v>
      </c>
    </row>
    <row r="792" spans="1:4">
      <c r="A792">
        <v>790</v>
      </c>
      <c r="B792">
        <v>6</v>
      </c>
      <c r="C792">
        <v>4600</v>
      </c>
      <c r="D792">
        <v>5182</v>
      </c>
    </row>
    <row r="793" spans="1:4">
      <c r="A793">
        <v>791</v>
      </c>
      <c r="B793">
        <v>6</v>
      </c>
      <c r="C793">
        <v>4600</v>
      </c>
      <c r="D793">
        <v>5122</v>
      </c>
    </row>
    <row r="794" spans="1:4">
      <c r="A794">
        <v>792</v>
      </c>
      <c r="B794">
        <v>6</v>
      </c>
      <c r="C794">
        <v>4600</v>
      </c>
      <c r="D794">
        <v>5119</v>
      </c>
    </row>
    <row r="795" spans="1:4">
      <c r="A795">
        <v>793</v>
      </c>
      <c r="B795">
        <v>6</v>
      </c>
      <c r="C795">
        <v>4600</v>
      </c>
      <c r="D795">
        <v>5054</v>
      </c>
    </row>
    <row r="796" spans="1:4">
      <c r="A796">
        <v>794</v>
      </c>
      <c r="B796">
        <v>6</v>
      </c>
      <c r="C796">
        <v>4600</v>
      </c>
      <c r="D796">
        <v>5149</v>
      </c>
    </row>
    <row r="797" spans="1:4">
      <c r="A797">
        <v>795</v>
      </c>
      <c r="B797">
        <v>5</v>
      </c>
      <c r="C797">
        <v>4600</v>
      </c>
      <c r="D797">
        <v>4300</v>
      </c>
    </row>
    <row r="798" spans="1:4">
      <c r="A798">
        <v>796</v>
      </c>
      <c r="B798">
        <v>6</v>
      </c>
      <c r="C798">
        <v>4600</v>
      </c>
      <c r="D798">
        <v>5059</v>
      </c>
    </row>
    <row r="799" spans="1:4">
      <c r="A799">
        <v>797</v>
      </c>
      <c r="B799">
        <v>5</v>
      </c>
      <c r="C799">
        <v>4600</v>
      </c>
      <c r="D799">
        <v>4187</v>
      </c>
    </row>
    <row r="800" spans="1:4">
      <c r="A800">
        <v>798</v>
      </c>
      <c r="B800">
        <v>6</v>
      </c>
      <c r="C800">
        <v>4600</v>
      </c>
      <c r="D800">
        <v>5164</v>
      </c>
    </row>
    <row r="801" spans="1:4">
      <c r="A801">
        <v>799</v>
      </c>
      <c r="B801">
        <v>5</v>
      </c>
      <c r="C801">
        <v>4600</v>
      </c>
      <c r="D801">
        <v>4328</v>
      </c>
    </row>
    <row r="802" spans="1:4">
      <c r="A802">
        <v>800</v>
      </c>
      <c r="B802">
        <v>6</v>
      </c>
      <c r="C802">
        <v>4600</v>
      </c>
      <c r="D802">
        <v>5176</v>
      </c>
    </row>
    <row r="803" spans="1:4">
      <c r="A803">
        <v>801</v>
      </c>
      <c r="B803">
        <v>5</v>
      </c>
      <c r="C803">
        <v>4600</v>
      </c>
      <c r="D803">
        <v>4308</v>
      </c>
    </row>
    <row r="804" spans="1:4">
      <c r="A804">
        <v>802</v>
      </c>
      <c r="B804">
        <v>6</v>
      </c>
      <c r="C804">
        <v>4600</v>
      </c>
      <c r="D804">
        <v>5080</v>
      </c>
    </row>
    <row r="805" spans="1:4">
      <c r="A805">
        <v>803</v>
      </c>
      <c r="B805">
        <v>5</v>
      </c>
      <c r="C805">
        <v>4600</v>
      </c>
      <c r="D805">
        <v>4317</v>
      </c>
    </row>
    <row r="806" spans="1:4">
      <c r="A806">
        <v>804</v>
      </c>
      <c r="B806">
        <v>6</v>
      </c>
      <c r="C806">
        <v>4600</v>
      </c>
      <c r="D806">
        <v>5139</v>
      </c>
    </row>
    <row r="807" spans="1:4">
      <c r="A807">
        <v>805</v>
      </c>
      <c r="B807">
        <v>5</v>
      </c>
      <c r="C807">
        <v>4600</v>
      </c>
      <c r="D807">
        <v>4277</v>
      </c>
    </row>
    <row r="808" spans="1:4">
      <c r="A808">
        <v>806</v>
      </c>
      <c r="B808">
        <v>6</v>
      </c>
      <c r="C808">
        <v>4600</v>
      </c>
      <c r="D808">
        <v>5132</v>
      </c>
    </row>
    <row r="809" spans="1:4">
      <c r="A809">
        <v>807</v>
      </c>
      <c r="B809">
        <v>5</v>
      </c>
      <c r="C809">
        <v>4600</v>
      </c>
      <c r="D809">
        <v>4253</v>
      </c>
    </row>
    <row r="810" spans="1:4">
      <c r="A810">
        <v>808</v>
      </c>
      <c r="B810">
        <v>6</v>
      </c>
      <c r="C810">
        <v>4600</v>
      </c>
      <c r="D810">
        <v>5167</v>
      </c>
    </row>
    <row r="811" spans="1:4">
      <c r="A811">
        <v>809</v>
      </c>
      <c r="B811">
        <v>5</v>
      </c>
      <c r="C811">
        <v>4600</v>
      </c>
      <c r="D811">
        <v>4299</v>
      </c>
    </row>
    <row r="812" spans="1:4">
      <c r="A812">
        <v>810</v>
      </c>
      <c r="B812">
        <v>6</v>
      </c>
      <c r="C812">
        <v>4600</v>
      </c>
      <c r="D812">
        <v>5146</v>
      </c>
    </row>
    <row r="813" spans="1:4">
      <c r="A813">
        <v>811</v>
      </c>
      <c r="B813">
        <v>5</v>
      </c>
      <c r="C813">
        <v>4600</v>
      </c>
      <c r="D813">
        <v>4372</v>
      </c>
    </row>
    <row r="814" spans="1:4">
      <c r="A814">
        <v>812</v>
      </c>
      <c r="B814">
        <v>5</v>
      </c>
      <c r="C814">
        <v>4600</v>
      </c>
      <c r="D814">
        <v>4308</v>
      </c>
    </row>
    <row r="815" spans="1:4">
      <c r="A815">
        <v>813</v>
      </c>
      <c r="B815">
        <v>5</v>
      </c>
      <c r="C815">
        <v>4600</v>
      </c>
      <c r="D815">
        <v>4343</v>
      </c>
    </row>
    <row r="816" spans="1:4">
      <c r="A816">
        <v>814</v>
      </c>
      <c r="B816">
        <v>6</v>
      </c>
      <c r="C816">
        <v>4600</v>
      </c>
      <c r="D816">
        <v>4815</v>
      </c>
    </row>
    <row r="817" spans="1:4">
      <c r="A817">
        <v>815</v>
      </c>
      <c r="B817">
        <v>5</v>
      </c>
      <c r="C817">
        <v>4600</v>
      </c>
      <c r="D817">
        <v>4288</v>
      </c>
    </row>
    <row r="818" spans="1:4">
      <c r="A818">
        <v>816</v>
      </c>
      <c r="B818">
        <v>6</v>
      </c>
      <c r="C818">
        <v>4600</v>
      </c>
      <c r="D818">
        <v>5185</v>
      </c>
    </row>
    <row r="819" spans="1:4">
      <c r="A819">
        <v>817</v>
      </c>
      <c r="B819">
        <v>5</v>
      </c>
      <c r="C819">
        <v>4600</v>
      </c>
      <c r="D819">
        <v>4224</v>
      </c>
    </row>
    <row r="820" spans="1:4">
      <c r="A820">
        <v>818</v>
      </c>
      <c r="B820">
        <v>6</v>
      </c>
      <c r="C820">
        <v>4600</v>
      </c>
      <c r="D820">
        <v>5133</v>
      </c>
    </row>
    <row r="821" spans="1:4">
      <c r="A821">
        <v>819</v>
      </c>
      <c r="B821">
        <v>5</v>
      </c>
      <c r="C821">
        <v>4600</v>
      </c>
      <c r="D821">
        <v>4334</v>
      </c>
    </row>
    <row r="822" spans="1:4">
      <c r="A822">
        <v>820</v>
      </c>
      <c r="B822">
        <v>5</v>
      </c>
      <c r="C822">
        <v>4600</v>
      </c>
      <c r="D822">
        <v>4338</v>
      </c>
    </row>
    <row r="823" spans="1:4">
      <c r="A823">
        <v>821</v>
      </c>
      <c r="B823">
        <v>6</v>
      </c>
      <c r="C823">
        <v>4600</v>
      </c>
      <c r="D823">
        <v>5110</v>
      </c>
    </row>
    <row r="824" spans="1:4">
      <c r="A824">
        <v>822</v>
      </c>
      <c r="B824">
        <v>5</v>
      </c>
      <c r="C824">
        <v>4600</v>
      </c>
      <c r="D824">
        <v>4219</v>
      </c>
    </row>
    <row r="825" spans="1:4">
      <c r="A825">
        <v>823</v>
      </c>
      <c r="B825">
        <v>6</v>
      </c>
      <c r="C825">
        <v>4600</v>
      </c>
      <c r="D825">
        <v>5158</v>
      </c>
    </row>
    <row r="826" spans="1:4">
      <c r="A826">
        <v>824</v>
      </c>
      <c r="B826">
        <v>5</v>
      </c>
      <c r="C826">
        <v>4600</v>
      </c>
      <c r="D826">
        <v>4335</v>
      </c>
    </row>
    <row r="827" spans="1:4">
      <c r="A827">
        <v>825</v>
      </c>
      <c r="B827">
        <v>5</v>
      </c>
      <c r="C827">
        <v>4600</v>
      </c>
      <c r="D827">
        <v>4284</v>
      </c>
    </row>
    <row r="828" spans="1:4">
      <c r="A828">
        <v>826</v>
      </c>
      <c r="B828">
        <v>6</v>
      </c>
      <c r="C828">
        <v>4600</v>
      </c>
      <c r="D828">
        <v>5148</v>
      </c>
    </row>
    <row r="829" spans="1:4">
      <c r="A829">
        <v>827</v>
      </c>
      <c r="B829">
        <v>5</v>
      </c>
      <c r="C829">
        <v>4600</v>
      </c>
      <c r="D829">
        <v>4300</v>
      </c>
    </row>
    <row r="830" spans="1:4">
      <c r="A830">
        <v>828</v>
      </c>
      <c r="B830">
        <v>5</v>
      </c>
      <c r="C830">
        <v>4600</v>
      </c>
      <c r="D830">
        <v>4385</v>
      </c>
    </row>
    <row r="831" spans="1:4">
      <c r="A831">
        <v>829</v>
      </c>
      <c r="B831">
        <v>5</v>
      </c>
      <c r="C831">
        <v>4600</v>
      </c>
      <c r="D831">
        <v>4305</v>
      </c>
    </row>
    <row r="832" spans="1:4">
      <c r="A832">
        <v>830</v>
      </c>
      <c r="B832">
        <v>6</v>
      </c>
      <c r="C832">
        <v>4600</v>
      </c>
      <c r="D832">
        <v>5225</v>
      </c>
    </row>
    <row r="833" spans="1:4">
      <c r="A833">
        <v>831</v>
      </c>
      <c r="B833">
        <v>5</v>
      </c>
      <c r="C833">
        <v>4600</v>
      </c>
      <c r="D833">
        <v>4377</v>
      </c>
    </row>
    <row r="834" spans="1:4">
      <c r="A834">
        <v>832</v>
      </c>
      <c r="B834">
        <v>5</v>
      </c>
      <c r="C834">
        <v>4600</v>
      </c>
      <c r="D834">
        <v>4210</v>
      </c>
    </row>
    <row r="835" spans="1:4">
      <c r="A835">
        <v>833</v>
      </c>
      <c r="B835">
        <v>6</v>
      </c>
      <c r="C835">
        <v>4600</v>
      </c>
      <c r="D835">
        <v>5174</v>
      </c>
    </row>
    <row r="836" spans="1:4">
      <c r="A836">
        <v>834</v>
      </c>
      <c r="B836">
        <v>5</v>
      </c>
      <c r="C836">
        <v>4600</v>
      </c>
      <c r="D836">
        <v>4168</v>
      </c>
    </row>
    <row r="837" spans="1:4">
      <c r="A837">
        <v>835</v>
      </c>
      <c r="B837">
        <v>6</v>
      </c>
      <c r="C837">
        <v>4600</v>
      </c>
      <c r="D837">
        <v>5100</v>
      </c>
    </row>
    <row r="838" spans="1:4">
      <c r="A838">
        <v>836</v>
      </c>
      <c r="B838">
        <v>5</v>
      </c>
      <c r="C838">
        <v>4600</v>
      </c>
      <c r="D838">
        <v>4294</v>
      </c>
    </row>
    <row r="839" spans="1:4">
      <c r="A839">
        <v>837</v>
      </c>
      <c r="B839">
        <v>5</v>
      </c>
      <c r="C839">
        <v>4600</v>
      </c>
      <c r="D839">
        <v>4345</v>
      </c>
    </row>
    <row r="840" spans="1:4">
      <c r="A840">
        <v>838</v>
      </c>
      <c r="B840">
        <v>6</v>
      </c>
      <c r="C840">
        <v>4600</v>
      </c>
      <c r="D840">
        <v>5168</v>
      </c>
    </row>
    <row r="841" spans="1:4">
      <c r="A841">
        <v>839</v>
      </c>
      <c r="B841">
        <v>5</v>
      </c>
      <c r="C841">
        <v>4600</v>
      </c>
      <c r="D841">
        <v>4394</v>
      </c>
    </row>
    <row r="842" spans="1:4">
      <c r="A842">
        <v>840</v>
      </c>
      <c r="B842">
        <v>5</v>
      </c>
      <c r="C842">
        <v>4600</v>
      </c>
      <c r="D842">
        <v>4334</v>
      </c>
    </row>
    <row r="843" spans="1:4">
      <c r="A843">
        <v>841</v>
      </c>
      <c r="B843">
        <v>6</v>
      </c>
      <c r="C843">
        <v>4600</v>
      </c>
      <c r="D843">
        <v>5082</v>
      </c>
    </row>
    <row r="844" spans="1:4">
      <c r="A844">
        <v>842</v>
      </c>
      <c r="B844">
        <v>5</v>
      </c>
      <c r="C844">
        <v>4600</v>
      </c>
      <c r="D844">
        <v>4322</v>
      </c>
    </row>
    <row r="845" spans="1:4">
      <c r="A845">
        <v>843</v>
      </c>
      <c r="B845">
        <v>5</v>
      </c>
      <c r="C845">
        <v>4600</v>
      </c>
      <c r="D845">
        <v>4242</v>
      </c>
    </row>
    <row r="846" spans="1:4">
      <c r="A846">
        <v>844</v>
      </c>
      <c r="B846">
        <v>6</v>
      </c>
      <c r="C846">
        <v>4600</v>
      </c>
      <c r="D846">
        <v>5038</v>
      </c>
    </row>
    <row r="847" spans="1:4">
      <c r="A847">
        <v>845</v>
      </c>
      <c r="B847">
        <v>5</v>
      </c>
      <c r="C847">
        <v>4600</v>
      </c>
      <c r="D847">
        <v>4284</v>
      </c>
    </row>
    <row r="848" spans="1:4">
      <c r="A848">
        <v>846</v>
      </c>
      <c r="B848">
        <v>6</v>
      </c>
      <c r="C848">
        <v>4600</v>
      </c>
      <c r="D848">
        <v>5155</v>
      </c>
    </row>
    <row r="849" spans="1:4">
      <c r="A849">
        <v>847</v>
      </c>
      <c r="B849">
        <v>5</v>
      </c>
      <c r="C849">
        <v>4600</v>
      </c>
      <c r="D849">
        <v>4231</v>
      </c>
    </row>
    <row r="850" spans="1:4">
      <c r="A850">
        <v>848</v>
      </c>
      <c r="B850">
        <v>6</v>
      </c>
      <c r="C850">
        <v>4600</v>
      </c>
      <c r="D850">
        <v>5088</v>
      </c>
    </row>
    <row r="851" spans="1:4">
      <c r="A851">
        <v>849</v>
      </c>
      <c r="B851">
        <v>5</v>
      </c>
      <c r="C851">
        <v>4600</v>
      </c>
      <c r="D851">
        <v>4230</v>
      </c>
    </row>
    <row r="852" spans="1:4">
      <c r="A852">
        <v>850</v>
      </c>
      <c r="B852">
        <v>5</v>
      </c>
      <c r="C852">
        <v>4600</v>
      </c>
      <c r="D852">
        <v>4219</v>
      </c>
    </row>
    <row r="853" spans="1:4">
      <c r="A853">
        <v>851</v>
      </c>
      <c r="B853">
        <v>6</v>
      </c>
      <c r="C853">
        <v>4600</v>
      </c>
      <c r="D853">
        <v>5148</v>
      </c>
    </row>
    <row r="854" spans="1:4">
      <c r="A854">
        <v>852</v>
      </c>
      <c r="B854">
        <v>5</v>
      </c>
      <c r="C854">
        <v>4600</v>
      </c>
      <c r="D854">
        <v>4327</v>
      </c>
    </row>
    <row r="855" spans="1:4">
      <c r="A855">
        <v>853</v>
      </c>
      <c r="B855">
        <v>5</v>
      </c>
      <c r="C855">
        <v>4600</v>
      </c>
      <c r="D855">
        <v>4269</v>
      </c>
    </row>
    <row r="856" spans="1:4">
      <c r="A856">
        <v>854</v>
      </c>
      <c r="B856">
        <v>6</v>
      </c>
      <c r="C856">
        <v>4600</v>
      </c>
      <c r="D856">
        <v>5082</v>
      </c>
    </row>
    <row r="857" spans="1:4">
      <c r="A857">
        <v>855</v>
      </c>
      <c r="B857">
        <v>5</v>
      </c>
      <c r="C857">
        <v>4600</v>
      </c>
      <c r="D857">
        <v>4231</v>
      </c>
    </row>
    <row r="858" spans="1:4">
      <c r="A858">
        <v>856</v>
      </c>
      <c r="B858">
        <v>6</v>
      </c>
      <c r="C858">
        <v>4600</v>
      </c>
      <c r="D858">
        <v>5177</v>
      </c>
    </row>
    <row r="859" spans="1:4">
      <c r="A859">
        <v>857</v>
      </c>
      <c r="B859">
        <v>5</v>
      </c>
      <c r="C859">
        <v>4600</v>
      </c>
      <c r="D859">
        <v>4290</v>
      </c>
    </row>
    <row r="860" spans="1:4">
      <c r="A860">
        <v>858</v>
      </c>
      <c r="B860">
        <v>5</v>
      </c>
      <c r="C860">
        <v>4600</v>
      </c>
      <c r="D860">
        <v>4148</v>
      </c>
    </row>
    <row r="861" spans="1:4">
      <c r="A861">
        <v>859</v>
      </c>
      <c r="B861">
        <v>6</v>
      </c>
      <c r="C861">
        <v>4600</v>
      </c>
      <c r="D861">
        <v>5081</v>
      </c>
    </row>
    <row r="862" spans="1:4">
      <c r="A862">
        <v>860</v>
      </c>
      <c r="B862">
        <v>5</v>
      </c>
      <c r="C862">
        <v>4600</v>
      </c>
      <c r="D862">
        <v>4373</v>
      </c>
    </row>
    <row r="863" spans="1:4">
      <c r="A863">
        <v>861</v>
      </c>
      <c r="B863">
        <v>5</v>
      </c>
      <c r="C863">
        <v>4600</v>
      </c>
      <c r="D863">
        <v>4288</v>
      </c>
    </row>
    <row r="864" spans="1:4">
      <c r="A864">
        <v>862</v>
      </c>
      <c r="B864">
        <v>6</v>
      </c>
      <c r="C864">
        <v>4600</v>
      </c>
      <c r="D864">
        <v>5069</v>
      </c>
    </row>
    <row r="865" spans="1:4">
      <c r="A865">
        <v>863</v>
      </c>
      <c r="B865">
        <v>5</v>
      </c>
      <c r="C865">
        <v>4600</v>
      </c>
      <c r="D865">
        <v>4197</v>
      </c>
    </row>
    <row r="866" spans="1:4">
      <c r="A866">
        <v>864</v>
      </c>
      <c r="B866">
        <v>6</v>
      </c>
      <c r="C866">
        <v>4600</v>
      </c>
      <c r="D866">
        <v>5187</v>
      </c>
    </row>
    <row r="867" spans="1:4">
      <c r="A867">
        <v>865</v>
      </c>
      <c r="B867">
        <v>5</v>
      </c>
      <c r="C867">
        <v>4600</v>
      </c>
      <c r="D867">
        <v>4302</v>
      </c>
    </row>
    <row r="868" spans="1:4">
      <c r="A868">
        <v>866</v>
      </c>
      <c r="B868">
        <v>6</v>
      </c>
      <c r="C868">
        <v>4600</v>
      </c>
      <c r="D868">
        <v>5158</v>
      </c>
    </row>
    <row r="869" spans="1:4">
      <c r="A869">
        <v>867</v>
      </c>
      <c r="B869">
        <v>5</v>
      </c>
      <c r="C869">
        <v>4600</v>
      </c>
      <c r="D869">
        <v>4284</v>
      </c>
    </row>
    <row r="870" spans="1:4">
      <c r="A870">
        <v>868</v>
      </c>
      <c r="B870">
        <v>5</v>
      </c>
      <c r="C870">
        <v>4600</v>
      </c>
      <c r="D870">
        <v>4292</v>
      </c>
    </row>
    <row r="871" spans="1:4">
      <c r="A871">
        <v>869</v>
      </c>
      <c r="B871">
        <v>6</v>
      </c>
      <c r="C871">
        <v>4600</v>
      </c>
      <c r="D871">
        <v>5102</v>
      </c>
    </row>
    <row r="872" spans="1:4">
      <c r="A872">
        <v>870</v>
      </c>
      <c r="B872">
        <v>5</v>
      </c>
      <c r="C872">
        <v>4600</v>
      </c>
      <c r="D872">
        <v>4054</v>
      </c>
    </row>
    <row r="873" spans="1:4">
      <c r="A873">
        <v>871</v>
      </c>
      <c r="B873">
        <v>6</v>
      </c>
      <c r="C873">
        <v>4600</v>
      </c>
      <c r="D873">
        <v>4644</v>
      </c>
    </row>
    <row r="874" spans="1:4">
      <c r="A874">
        <v>872</v>
      </c>
      <c r="B874">
        <v>5</v>
      </c>
      <c r="C874">
        <v>4600</v>
      </c>
      <c r="D874">
        <v>4205</v>
      </c>
    </row>
    <row r="875" spans="1:4">
      <c r="A875">
        <v>873</v>
      </c>
      <c r="B875">
        <v>6</v>
      </c>
      <c r="C875">
        <v>4600</v>
      </c>
      <c r="D875">
        <v>4976</v>
      </c>
    </row>
    <row r="876" spans="1:4">
      <c r="A876">
        <v>874</v>
      </c>
      <c r="B876">
        <v>5</v>
      </c>
      <c r="C876">
        <v>4600</v>
      </c>
      <c r="D876">
        <v>4262</v>
      </c>
    </row>
    <row r="877" spans="1:4">
      <c r="A877">
        <v>875</v>
      </c>
      <c r="B877">
        <v>6</v>
      </c>
      <c r="C877">
        <v>4600</v>
      </c>
      <c r="D877">
        <v>5140</v>
      </c>
    </row>
    <row r="878" spans="1:4">
      <c r="A878">
        <v>876</v>
      </c>
      <c r="B878">
        <v>5</v>
      </c>
      <c r="C878">
        <v>4600</v>
      </c>
      <c r="D878">
        <v>4255</v>
      </c>
    </row>
    <row r="879" spans="1:4">
      <c r="A879">
        <v>877</v>
      </c>
      <c r="B879">
        <v>6</v>
      </c>
      <c r="C879">
        <v>4600</v>
      </c>
      <c r="D879">
        <v>5162</v>
      </c>
    </row>
    <row r="880" spans="1:4">
      <c r="A880">
        <v>878</v>
      </c>
      <c r="B880">
        <v>5</v>
      </c>
      <c r="C880">
        <v>4600</v>
      </c>
      <c r="D880">
        <v>4239</v>
      </c>
    </row>
    <row r="881" spans="1:4">
      <c r="A881">
        <v>879</v>
      </c>
      <c r="B881">
        <v>6</v>
      </c>
      <c r="C881">
        <v>4600</v>
      </c>
      <c r="D881">
        <v>5111</v>
      </c>
    </row>
    <row r="882" spans="1:4">
      <c r="A882">
        <v>880</v>
      </c>
      <c r="B882">
        <v>5</v>
      </c>
      <c r="C882">
        <v>4600</v>
      </c>
      <c r="D882">
        <v>4298</v>
      </c>
    </row>
    <row r="883" spans="1:4">
      <c r="A883">
        <v>881</v>
      </c>
      <c r="B883">
        <v>5</v>
      </c>
      <c r="C883">
        <v>4600</v>
      </c>
      <c r="D883">
        <v>4348</v>
      </c>
    </row>
    <row r="884" spans="1:4">
      <c r="A884">
        <v>882</v>
      </c>
      <c r="B884">
        <v>5</v>
      </c>
      <c r="C884">
        <v>4600</v>
      </c>
      <c r="D884">
        <v>4306</v>
      </c>
    </row>
    <row r="885" spans="1:4">
      <c r="A885">
        <v>883</v>
      </c>
      <c r="B885">
        <v>6</v>
      </c>
      <c r="C885">
        <v>4600</v>
      </c>
      <c r="D885">
        <v>5140</v>
      </c>
    </row>
    <row r="886" spans="1:4">
      <c r="A886">
        <v>884</v>
      </c>
      <c r="B886">
        <v>5</v>
      </c>
      <c r="C886">
        <v>4600</v>
      </c>
      <c r="D886">
        <v>4127</v>
      </c>
    </row>
    <row r="887" spans="1:4">
      <c r="A887">
        <v>885</v>
      </c>
      <c r="B887">
        <v>6</v>
      </c>
      <c r="C887">
        <v>4600</v>
      </c>
      <c r="D887">
        <v>5080</v>
      </c>
    </row>
    <row r="888" spans="1:4">
      <c r="A888">
        <v>886</v>
      </c>
      <c r="B888">
        <v>5</v>
      </c>
      <c r="C888">
        <v>4600</v>
      </c>
      <c r="D888">
        <v>4291</v>
      </c>
    </row>
    <row r="889" spans="1:4">
      <c r="A889">
        <v>887</v>
      </c>
      <c r="B889">
        <v>6</v>
      </c>
      <c r="C889">
        <v>4600</v>
      </c>
      <c r="D889">
        <v>5162</v>
      </c>
    </row>
    <row r="890" spans="1:4">
      <c r="A890">
        <v>888</v>
      </c>
      <c r="B890">
        <v>5</v>
      </c>
      <c r="C890">
        <v>4600</v>
      </c>
      <c r="D890">
        <v>4299</v>
      </c>
    </row>
    <row r="891" spans="1:4">
      <c r="A891">
        <v>889</v>
      </c>
      <c r="B891">
        <v>5</v>
      </c>
      <c r="C891">
        <v>4600</v>
      </c>
      <c r="D891">
        <v>4244</v>
      </c>
    </row>
    <row r="892" spans="1:4">
      <c r="A892">
        <v>890</v>
      </c>
      <c r="B892">
        <v>6</v>
      </c>
      <c r="C892">
        <v>4600</v>
      </c>
      <c r="D892">
        <v>5063</v>
      </c>
    </row>
    <row r="893" spans="1:4">
      <c r="A893">
        <v>891</v>
      </c>
      <c r="B893">
        <v>5</v>
      </c>
      <c r="C893">
        <v>4600</v>
      </c>
      <c r="D893">
        <v>4288</v>
      </c>
    </row>
    <row r="894" spans="1:4">
      <c r="A894">
        <v>892</v>
      </c>
      <c r="B894">
        <v>6</v>
      </c>
      <c r="C894">
        <v>4600</v>
      </c>
      <c r="D894">
        <v>5109</v>
      </c>
    </row>
    <row r="895" spans="1:4">
      <c r="A895">
        <v>893</v>
      </c>
      <c r="B895">
        <v>5</v>
      </c>
      <c r="C895">
        <v>4600</v>
      </c>
      <c r="D895">
        <v>4208</v>
      </c>
    </row>
    <row r="896" spans="1:4">
      <c r="A896">
        <v>894</v>
      </c>
      <c r="B896">
        <v>6</v>
      </c>
      <c r="C896">
        <v>4600</v>
      </c>
      <c r="D896">
        <v>4988</v>
      </c>
    </row>
    <row r="897" spans="1:4">
      <c r="A897">
        <v>895</v>
      </c>
      <c r="B897">
        <v>5</v>
      </c>
      <c r="C897">
        <v>4600</v>
      </c>
      <c r="D897">
        <v>4307</v>
      </c>
    </row>
    <row r="898" spans="1:4">
      <c r="A898">
        <v>896</v>
      </c>
      <c r="B898">
        <v>5</v>
      </c>
      <c r="C898">
        <v>4600</v>
      </c>
      <c r="D898">
        <v>4282</v>
      </c>
    </row>
    <row r="899" spans="1:4">
      <c r="A899">
        <v>897</v>
      </c>
      <c r="B899">
        <v>6</v>
      </c>
      <c r="C899">
        <v>4600</v>
      </c>
      <c r="D899">
        <v>4784</v>
      </c>
    </row>
    <row r="900" spans="1:4">
      <c r="A900">
        <v>898</v>
      </c>
      <c r="B900">
        <v>5</v>
      </c>
      <c r="C900">
        <v>4600</v>
      </c>
      <c r="D900">
        <v>3038</v>
      </c>
    </row>
    <row r="901" spans="1:4">
      <c r="A901">
        <v>899</v>
      </c>
      <c r="B901">
        <v>6</v>
      </c>
      <c r="C901">
        <v>4600</v>
      </c>
      <c r="D901">
        <v>4902</v>
      </c>
    </row>
    <row r="902" spans="1:4">
      <c r="A902">
        <v>900</v>
      </c>
      <c r="B902">
        <v>6</v>
      </c>
      <c r="C902">
        <v>4600</v>
      </c>
      <c r="D902">
        <v>5041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B3" sqref="B3:C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9" t="s">
        <v>6</v>
      </c>
      <c r="C2" s="9" t="s">
        <v>8</v>
      </c>
      <c r="D2" s="12" t="s">
        <v>14</v>
      </c>
      <c r="E2" s="43"/>
      <c r="F2" s="43"/>
      <c r="G2" s="43"/>
      <c r="H2" s="43"/>
    </row>
    <row r="3" spans="1:8">
      <c r="A3">
        <v>1</v>
      </c>
      <c r="B3">
        <v>233</v>
      </c>
      <c r="C3">
        <v>8</v>
      </c>
      <c r="D3">
        <v>233</v>
      </c>
      <c r="E3" s="4">
        <f>IF(AND(C3&lt;=B3*1.2,C3&gt;=B3*0.8),1,0)</f>
        <v>0</v>
      </c>
      <c r="F3" s="4">
        <f>ABS(B3-C3)</f>
        <v>225</v>
      </c>
      <c r="G3" s="4">
        <f>POWER(F3,2)</f>
        <v>50625</v>
      </c>
      <c r="H3" s="5">
        <f>SQRT(SUM('p-pi-6'!$C$3:C3)/COUNTIF($A$3:A3,"&lt;&gt;0"))</f>
        <v>2.8284271247461903</v>
      </c>
    </row>
    <row r="4" spans="1:8">
      <c r="A4">
        <v>2</v>
      </c>
      <c r="B4">
        <v>233</v>
      </c>
      <c r="C4">
        <v>87</v>
      </c>
      <c r="D4">
        <v>84</v>
      </c>
      <c r="E4" s="4">
        <f t="shared" ref="E4:E67" si="0">IF(AND(C4&lt;=B4*1.2,C4&gt;=B4*0.8),1,0)</f>
        <v>0</v>
      </c>
      <c r="F4" s="4">
        <f t="shared" ref="F4:F67" si="1">ABS(B4-C4)</f>
        <v>146</v>
      </c>
      <c r="G4" s="4">
        <f t="shared" ref="G4:G67" si="2">POWER(F4,2)</f>
        <v>21316</v>
      </c>
      <c r="H4" s="5">
        <f>SQRT(SUM('p-pi-6'!$C$3:C4)/COUNTIF($A$3:A4,"&lt;&gt;0"))</f>
        <v>6.8920243760451108</v>
      </c>
    </row>
    <row r="5" spans="1:8">
      <c r="A5">
        <v>3</v>
      </c>
      <c r="B5">
        <v>233</v>
      </c>
      <c r="C5">
        <v>73</v>
      </c>
      <c r="D5">
        <v>71</v>
      </c>
      <c r="E5" s="4">
        <f t="shared" si="0"/>
        <v>0</v>
      </c>
      <c r="F5" s="4">
        <f t="shared" si="1"/>
        <v>160</v>
      </c>
      <c r="G5" s="4">
        <f t="shared" si="2"/>
        <v>25600</v>
      </c>
      <c r="H5" s="5">
        <f>SQRT(SUM('p-pi-6'!$C$3:C5)/COUNTIF($A$3:A5,"&lt;&gt;0"))</f>
        <v>7.4833147735478827</v>
      </c>
    </row>
    <row r="6" spans="1:8">
      <c r="A6">
        <v>4</v>
      </c>
      <c r="B6">
        <v>233</v>
      </c>
      <c r="C6">
        <v>83</v>
      </c>
      <c r="D6">
        <v>87</v>
      </c>
      <c r="E6" s="4">
        <f t="shared" si="0"/>
        <v>0</v>
      </c>
      <c r="F6" s="4">
        <f t="shared" si="1"/>
        <v>150</v>
      </c>
      <c r="G6" s="4">
        <f t="shared" si="2"/>
        <v>22500</v>
      </c>
      <c r="H6" s="5">
        <f>SQRT(SUM('p-pi-6'!$C$3:C6)/COUNTIF($A$3:A6,"&lt;&gt;0"))</f>
        <v>7.9214897588774296</v>
      </c>
    </row>
    <row r="7" spans="1:8">
      <c r="A7">
        <v>5</v>
      </c>
      <c r="B7">
        <v>233</v>
      </c>
      <c r="C7">
        <v>55</v>
      </c>
      <c r="D7">
        <v>95</v>
      </c>
      <c r="E7" s="4">
        <f t="shared" si="0"/>
        <v>0</v>
      </c>
      <c r="F7" s="4">
        <f t="shared" si="1"/>
        <v>178</v>
      </c>
      <c r="G7" s="4">
        <f t="shared" si="2"/>
        <v>31684</v>
      </c>
      <c r="H7" s="5">
        <f>SQRT(SUM('p-pi-6'!$C$3:C7)/COUNTIF($A$3:A7,"&lt;&gt;0"))</f>
        <v>7.8230428862431785</v>
      </c>
    </row>
    <row r="8" spans="1:8">
      <c r="A8">
        <v>6</v>
      </c>
      <c r="B8">
        <v>233</v>
      </c>
      <c r="C8">
        <v>131</v>
      </c>
      <c r="D8">
        <v>117</v>
      </c>
      <c r="E8" s="4">
        <f t="shared" si="0"/>
        <v>0</v>
      </c>
      <c r="F8" s="4">
        <f t="shared" si="1"/>
        <v>102</v>
      </c>
      <c r="G8" s="4">
        <f t="shared" si="2"/>
        <v>10404</v>
      </c>
      <c r="H8" s="5">
        <f>SQRT(SUM('p-pi-6'!$C$3:C8)/COUNTIF($A$3:A8,"&lt;&gt;0"))</f>
        <v>8.5342447429947388</v>
      </c>
    </row>
    <row r="9" spans="1:8">
      <c r="A9">
        <v>7</v>
      </c>
      <c r="B9">
        <v>233</v>
      </c>
      <c r="C9">
        <v>84</v>
      </c>
      <c r="D9">
        <v>102</v>
      </c>
      <c r="E9" s="4">
        <f t="shared" si="0"/>
        <v>0</v>
      </c>
      <c r="F9" s="4">
        <f t="shared" si="1"/>
        <v>149</v>
      </c>
      <c r="G9" s="4">
        <f t="shared" si="2"/>
        <v>22201</v>
      </c>
      <c r="H9" s="5">
        <f>SQRT(SUM('p-pi-6'!$C$3:C9)/COUNTIF($A$3:A9,"&lt;&gt;0"))</f>
        <v>8.6271995125052854</v>
      </c>
    </row>
    <row r="10" spans="1:8">
      <c r="A10">
        <v>8</v>
      </c>
      <c r="B10">
        <v>233</v>
      </c>
      <c r="C10">
        <v>162</v>
      </c>
      <c r="D10">
        <v>127</v>
      </c>
      <c r="E10" s="4">
        <f t="shared" si="0"/>
        <v>0</v>
      </c>
      <c r="F10" s="4">
        <f t="shared" si="1"/>
        <v>71</v>
      </c>
      <c r="G10" s="4">
        <f t="shared" si="2"/>
        <v>5041</v>
      </c>
      <c r="H10" s="5">
        <f>SQRT(SUM('p-pi-6'!$C$3:C10)/COUNTIF($A$3:A10,"&lt;&gt;0"))</f>
        <v>9.2398593062881638</v>
      </c>
    </row>
    <row r="11" spans="1:8">
      <c r="A11">
        <v>9</v>
      </c>
      <c r="B11">
        <v>233</v>
      </c>
      <c r="C11">
        <v>89</v>
      </c>
      <c r="D11">
        <v>109</v>
      </c>
      <c r="E11" s="4">
        <f t="shared" si="0"/>
        <v>0</v>
      </c>
      <c r="F11" s="4">
        <f t="shared" si="1"/>
        <v>144</v>
      </c>
      <c r="G11" s="4">
        <f t="shared" si="2"/>
        <v>20736</v>
      </c>
      <c r="H11" s="5">
        <f>SQRT(SUM('p-pi-6'!$C$3:C11)/COUNTIF($A$3:A11,"&lt;&gt;0"))</f>
        <v>9.2616293262998699</v>
      </c>
    </row>
    <row r="12" spans="1:8">
      <c r="A12">
        <v>10</v>
      </c>
      <c r="B12">
        <v>233</v>
      </c>
      <c r="C12">
        <v>135</v>
      </c>
      <c r="D12">
        <v>142</v>
      </c>
      <c r="E12" s="4">
        <f t="shared" si="0"/>
        <v>0</v>
      </c>
      <c r="F12" s="4">
        <f t="shared" si="1"/>
        <v>98</v>
      </c>
      <c r="G12" s="4">
        <f t="shared" si="2"/>
        <v>9604</v>
      </c>
      <c r="H12" s="5">
        <f>SQRT(SUM('p-pi-6'!$C$3:C12)/COUNTIF($A$3:A12,"&lt;&gt;0"))</f>
        <v>9.5236547606473003</v>
      </c>
    </row>
    <row r="13" spans="1:8">
      <c r="A13">
        <v>11</v>
      </c>
      <c r="B13">
        <v>233</v>
      </c>
      <c r="C13">
        <v>176</v>
      </c>
      <c r="D13">
        <v>135</v>
      </c>
      <c r="E13" s="4">
        <f t="shared" si="0"/>
        <v>0</v>
      </c>
      <c r="F13" s="4">
        <f t="shared" si="1"/>
        <v>57</v>
      </c>
      <c r="G13" s="4">
        <f t="shared" si="2"/>
        <v>3249</v>
      </c>
      <c r="H13" s="5">
        <f>SQRT(SUM('p-pi-6'!$C$3:C13)/COUNTIF($A$3:A13,"&lt;&gt;0"))</f>
        <v>9.9224263894747775</v>
      </c>
    </row>
    <row r="14" spans="1:8">
      <c r="A14">
        <v>12</v>
      </c>
      <c r="B14">
        <v>233</v>
      </c>
      <c r="C14">
        <v>97</v>
      </c>
      <c r="D14">
        <v>127</v>
      </c>
      <c r="E14" s="4">
        <f t="shared" si="0"/>
        <v>0</v>
      </c>
      <c r="F14" s="4">
        <f t="shared" si="1"/>
        <v>136</v>
      </c>
      <c r="G14" s="4">
        <f t="shared" si="2"/>
        <v>18496</v>
      </c>
      <c r="H14" s="5">
        <f>SQRT(SUM('p-pi-6'!$C$3:C14)/COUNTIF($A$3:A14,"&lt;&gt;0"))</f>
        <v>9.9163165204290102</v>
      </c>
    </row>
    <row r="15" spans="1:8">
      <c r="A15">
        <v>13</v>
      </c>
      <c r="B15">
        <v>233</v>
      </c>
      <c r="C15">
        <v>142</v>
      </c>
      <c r="D15">
        <v>161</v>
      </c>
      <c r="E15" s="4">
        <f t="shared" si="0"/>
        <v>0</v>
      </c>
      <c r="F15" s="4">
        <f t="shared" si="1"/>
        <v>91</v>
      </c>
      <c r="G15" s="4">
        <f t="shared" si="2"/>
        <v>8281</v>
      </c>
      <c r="H15" s="5">
        <f>SQRT(SUM('p-pi-6'!$C$3:C15)/COUNTIF($A$3:A15,"&lt;&gt;0"))</f>
        <v>10.084260393916239</v>
      </c>
    </row>
    <row r="16" spans="1:8">
      <c r="A16">
        <v>14</v>
      </c>
      <c r="B16">
        <v>233</v>
      </c>
      <c r="C16">
        <v>194</v>
      </c>
      <c r="D16">
        <v>154</v>
      </c>
      <c r="E16" s="4">
        <f t="shared" si="0"/>
        <v>1</v>
      </c>
      <c r="F16" s="4">
        <f t="shared" si="1"/>
        <v>39</v>
      </c>
      <c r="G16" s="4">
        <f t="shared" si="2"/>
        <v>1521</v>
      </c>
      <c r="H16" s="5">
        <f>SQRT(SUM('p-pi-6'!$C$3:C16)/COUNTIF($A$3:A16,"&lt;&gt;0"))</f>
        <v>10.406042200842466</v>
      </c>
    </row>
    <row r="17" spans="1:8">
      <c r="A17">
        <v>15</v>
      </c>
      <c r="B17">
        <v>233</v>
      </c>
      <c r="C17">
        <v>184</v>
      </c>
      <c r="D17">
        <v>142</v>
      </c>
      <c r="E17" s="4">
        <f t="shared" si="0"/>
        <v>0</v>
      </c>
      <c r="F17" s="4">
        <f t="shared" si="1"/>
        <v>49</v>
      </c>
      <c r="G17" s="4">
        <f t="shared" si="2"/>
        <v>2401</v>
      </c>
      <c r="H17" s="5">
        <f>SQRT(SUM('p-pi-6'!$C$3:C17)/COUNTIF($A$3:A17,"&lt;&gt;0"))</f>
        <v>10.64581294844754</v>
      </c>
    </row>
    <row r="18" spans="1:8">
      <c r="A18">
        <v>16</v>
      </c>
      <c r="B18">
        <v>233</v>
      </c>
      <c r="C18">
        <v>117</v>
      </c>
      <c r="D18">
        <v>148</v>
      </c>
      <c r="E18" s="4">
        <f t="shared" si="0"/>
        <v>0</v>
      </c>
      <c r="F18" s="4">
        <f t="shared" si="1"/>
        <v>116</v>
      </c>
      <c r="G18" s="4">
        <f t="shared" si="2"/>
        <v>13456</v>
      </c>
      <c r="H18" s="5">
        <f>SQRT(SUM('p-pi-6'!$C$3:C18)/COUNTIF($A$3:A18,"&lt;&gt;0"))</f>
        <v>10.656570742973557</v>
      </c>
    </row>
    <row r="19" spans="1:8">
      <c r="A19">
        <v>17</v>
      </c>
      <c r="B19">
        <v>233</v>
      </c>
      <c r="C19">
        <v>146</v>
      </c>
      <c r="D19">
        <v>177</v>
      </c>
      <c r="E19" s="4">
        <f t="shared" si="0"/>
        <v>0</v>
      </c>
      <c r="F19" s="4">
        <f t="shared" si="1"/>
        <v>87</v>
      </c>
      <c r="G19" s="4">
        <f t="shared" si="2"/>
        <v>7569</v>
      </c>
      <c r="H19" s="5">
        <f>SQRT(SUM('p-pi-6'!$C$3:C19)/COUNTIF($A$3:A19,"&lt;&gt;0"))</f>
        <v>10.745724183846063</v>
      </c>
    </row>
    <row r="20" spans="1:8">
      <c r="A20">
        <v>18</v>
      </c>
      <c r="B20">
        <v>233</v>
      </c>
      <c r="C20">
        <v>140</v>
      </c>
      <c r="D20">
        <v>175</v>
      </c>
      <c r="E20" s="4">
        <f t="shared" si="0"/>
        <v>0</v>
      </c>
      <c r="F20" s="4">
        <f t="shared" si="1"/>
        <v>93</v>
      </c>
      <c r="G20" s="4">
        <f t="shared" si="2"/>
        <v>8649</v>
      </c>
      <c r="H20" s="5">
        <f>SQRT(SUM('p-pi-6'!$C$3:C20)/COUNTIF($A$3:A20,"&lt;&gt;0"))</f>
        <v>10.808946911393974</v>
      </c>
    </row>
    <row r="21" spans="1:8">
      <c r="A21">
        <v>19</v>
      </c>
      <c r="B21">
        <v>233</v>
      </c>
      <c r="C21">
        <v>205</v>
      </c>
      <c r="D21">
        <v>184</v>
      </c>
      <c r="E21" s="4">
        <f t="shared" si="0"/>
        <v>1</v>
      </c>
      <c r="F21" s="4">
        <f t="shared" si="1"/>
        <v>28</v>
      </c>
      <c r="G21" s="4">
        <f t="shared" si="2"/>
        <v>784</v>
      </c>
      <c r="H21" s="5">
        <f>SQRT(SUM('p-pi-6'!$C$3:C21)/COUNTIF($A$3:A21,"&lt;&gt;0"))</f>
        <v>11.021510069429066</v>
      </c>
    </row>
    <row r="22" spans="1:8">
      <c r="A22">
        <v>20</v>
      </c>
      <c r="B22">
        <v>233</v>
      </c>
      <c r="C22">
        <v>206</v>
      </c>
      <c r="D22">
        <v>166</v>
      </c>
      <c r="E22" s="4">
        <f t="shared" si="0"/>
        <v>1</v>
      </c>
      <c r="F22" s="4">
        <f t="shared" si="1"/>
        <v>27</v>
      </c>
      <c r="G22" s="4">
        <f t="shared" si="2"/>
        <v>729</v>
      </c>
      <c r="H22" s="5">
        <f>SQRT(SUM('p-pi-6'!$C$3:C22)/COUNTIF($A$3:A22,"&lt;&gt;0"))</f>
        <v>11.211601134539169</v>
      </c>
    </row>
    <row r="23" spans="1:8">
      <c r="A23">
        <v>21</v>
      </c>
      <c r="B23">
        <v>233</v>
      </c>
      <c r="C23">
        <v>208</v>
      </c>
      <c r="D23">
        <v>168</v>
      </c>
      <c r="E23" s="4">
        <f t="shared" si="0"/>
        <v>1</v>
      </c>
      <c r="F23" s="4">
        <f t="shared" si="1"/>
        <v>25</v>
      </c>
      <c r="G23" s="4">
        <f t="shared" si="2"/>
        <v>625</v>
      </c>
      <c r="H23" s="5">
        <f>SQRT(SUM('p-pi-6'!$C$3:C23)/COUNTIF($A$3:A23,"&lt;&gt;0"))</f>
        <v>11.385036127261415</v>
      </c>
    </row>
    <row r="24" spans="1:8">
      <c r="A24">
        <v>22</v>
      </c>
      <c r="B24">
        <v>233</v>
      </c>
      <c r="C24">
        <v>195</v>
      </c>
      <c r="D24">
        <v>169</v>
      </c>
      <c r="E24" s="4">
        <f t="shared" si="0"/>
        <v>1</v>
      </c>
      <c r="F24" s="4">
        <f t="shared" si="1"/>
        <v>38</v>
      </c>
      <c r="G24" s="4">
        <f t="shared" si="2"/>
        <v>1444</v>
      </c>
      <c r="H24" s="5">
        <f>SQRT(SUM('p-pi-6'!$C$3:C24)/COUNTIF($A$3:A24,"&lt;&gt;0"))</f>
        <v>11.514812594693371</v>
      </c>
    </row>
    <row r="25" spans="1:8">
      <c r="A25">
        <v>23</v>
      </c>
      <c r="B25">
        <v>233</v>
      </c>
      <c r="C25">
        <v>124</v>
      </c>
      <c r="D25">
        <v>176</v>
      </c>
      <c r="E25" s="4">
        <f t="shared" si="0"/>
        <v>0</v>
      </c>
      <c r="F25" s="4">
        <f t="shared" si="1"/>
        <v>109</v>
      </c>
      <c r="G25" s="4">
        <f t="shared" si="2"/>
        <v>11881</v>
      </c>
      <c r="H25" s="5">
        <f>SQRT(SUM('p-pi-6'!$C$3:C25)/COUNTIF($A$3:A25,"&lt;&gt;0"))</f>
        <v>11.498582143218695</v>
      </c>
    </row>
    <row r="26" spans="1:8">
      <c r="A26">
        <v>24</v>
      </c>
      <c r="B26">
        <v>233</v>
      </c>
      <c r="C26">
        <v>212</v>
      </c>
      <c r="D26">
        <v>205</v>
      </c>
      <c r="E26" s="4">
        <f t="shared" si="0"/>
        <v>1</v>
      </c>
      <c r="F26" s="4">
        <f t="shared" si="1"/>
        <v>21</v>
      </c>
      <c r="G26" s="4">
        <f t="shared" si="2"/>
        <v>441</v>
      </c>
      <c r="H26" s="5">
        <f>SQRT(SUM('p-pi-6'!$C$3:C26)/COUNTIF($A$3:A26,"&lt;&gt;0"))</f>
        <v>11.642236325838205</v>
      </c>
    </row>
    <row r="27" spans="1:8">
      <c r="A27">
        <v>25</v>
      </c>
      <c r="B27">
        <v>233</v>
      </c>
      <c r="C27">
        <v>185</v>
      </c>
      <c r="D27">
        <v>181</v>
      </c>
      <c r="E27" s="4">
        <f t="shared" si="0"/>
        <v>0</v>
      </c>
      <c r="F27" s="4">
        <f t="shared" si="1"/>
        <v>48</v>
      </c>
      <c r="G27" s="4">
        <f t="shared" si="2"/>
        <v>2304</v>
      </c>
      <c r="H27" s="5">
        <f>SQRT(SUM('p-pi-6'!$C$3:C27)/COUNTIF($A$3:A27,"&lt;&gt;0"))</f>
        <v>11.726892171415239</v>
      </c>
    </row>
    <row r="28" spans="1:8">
      <c r="A28">
        <v>26</v>
      </c>
      <c r="B28">
        <v>233</v>
      </c>
      <c r="C28">
        <v>207</v>
      </c>
      <c r="D28">
        <v>192</v>
      </c>
      <c r="E28" s="4">
        <f t="shared" si="0"/>
        <v>1</v>
      </c>
      <c r="F28" s="4">
        <f t="shared" si="1"/>
        <v>26</v>
      </c>
      <c r="G28" s="4">
        <f t="shared" si="2"/>
        <v>676</v>
      </c>
      <c r="H28" s="5">
        <f>SQRT(SUM('p-pi-6'!$C$3:C28)/COUNTIF($A$3:A28,"&lt;&gt;0"))</f>
        <v>11.840283260644894</v>
      </c>
    </row>
    <row r="29" spans="1:8">
      <c r="A29">
        <v>27</v>
      </c>
      <c r="B29">
        <v>233</v>
      </c>
      <c r="C29">
        <v>189</v>
      </c>
      <c r="D29">
        <v>187</v>
      </c>
      <c r="E29" s="4">
        <f t="shared" si="0"/>
        <v>1</v>
      </c>
      <c r="F29" s="4">
        <f t="shared" si="1"/>
        <v>44</v>
      </c>
      <c r="G29" s="4">
        <f t="shared" si="2"/>
        <v>1936</v>
      </c>
      <c r="H29" s="5">
        <f>SQRT(SUM('p-pi-6'!$C$3:C29)/COUNTIF($A$3:A29,"&lt;&gt;0"))</f>
        <v>11.916375287812984</v>
      </c>
    </row>
    <row r="30" spans="1:8">
      <c r="A30">
        <v>28</v>
      </c>
      <c r="B30">
        <v>233</v>
      </c>
      <c r="C30">
        <v>216</v>
      </c>
      <c r="D30">
        <v>196</v>
      </c>
      <c r="E30" s="4">
        <f t="shared" si="0"/>
        <v>1</v>
      </c>
      <c r="F30" s="4">
        <f t="shared" si="1"/>
        <v>17</v>
      </c>
      <c r="G30" s="4">
        <f t="shared" si="2"/>
        <v>289</v>
      </c>
      <c r="H30" s="5">
        <f>SQRT(SUM('p-pi-6'!$C$3:C30)/COUNTIF($A$3:A30,"&lt;&gt;0"))</f>
        <v>12.026755886059098</v>
      </c>
    </row>
    <row r="31" spans="1:8">
      <c r="A31">
        <v>29</v>
      </c>
      <c r="B31">
        <v>233</v>
      </c>
      <c r="C31">
        <v>193</v>
      </c>
      <c r="D31">
        <v>190</v>
      </c>
      <c r="E31" s="4">
        <f t="shared" si="0"/>
        <v>1</v>
      </c>
      <c r="F31" s="4">
        <f t="shared" si="1"/>
        <v>40</v>
      </c>
      <c r="G31" s="4">
        <f t="shared" si="2"/>
        <v>1600</v>
      </c>
      <c r="H31" s="5">
        <f>SQRT(SUM('p-pi-6'!$C$3:C31)/COUNTIF($A$3:A31,"&lt;&gt;0"))</f>
        <v>12.095881316695623</v>
      </c>
    </row>
    <row r="32" spans="1:8">
      <c r="A32">
        <v>30</v>
      </c>
      <c r="B32">
        <v>233</v>
      </c>
      <c r="C32">
        <v>195</v>
      </c>
      <c r="D32">
        <v>199</v>
      </c>
      <c r="E32" s="4">
        <f t="shared" si="0"/>
        <v>1</v>
      </c>
      <c r="F32" s="4">
        <f t="shared" si="1"/>
        <v>38</v>
      </c>
      <c r="G32" s="4">
        <f t="shared" si="2"/>
        <v>1444</v>
      </c>
      <c r="H32" s="5">
        <f>SQRT(SUM('p-pi-6'!$C$3:C32)/COUNTIF($A$3:A32,"&lt;&gt;0"))</f>
        <v>12.162784768848512</v>
      </c>
    </row>
    <row r="33" spans="1:8">
      <c r="A33">
        <v>31</v>
      </c>
      <c r="B33">
        <v>233</v>
      </c>
      <c r="C33">
        <v>200</v>
      </c>
      <c r="D33">
        <v>201</v>
      </c>
      <c r="E33" s="4">
        <f t="shared" si="0"/>
        <v>1</v>
      </c>
      <c r="F33" s="4">
        <f t="shared" si="1"/>
        <v>33</v>
      </c>
      <c r="G33" s="4">
        <f t="shared" si="2"/>
        <v>1089</v>
      </c>
      <c r="H33" s="5">
        <f>SQRT(SUM('p-pi-6'!$C$3:C33)/COUNTIF($A$3:A33,"&lt;&gt;0"))</f>
        <v>12.231635345521321</v>
      </c>
    </row>
    <row r="34" spans="1:8">
      <c r="A34">
        <v>32</v>
      </c>
      <c r="B34">
        <v>233</v>
      </c>
      <c r="C34">
        <v>201</v>
      </c>
      <c r="D34">
        <v>202</v>
      </c>
      <c r="E34" s="4">
        <f t="shared" si="0"/>
        <v>1</v>
      </c>
      <c r="F34" s="4">
        <f t="shared" si="1"/>
        <v>32</v>
      </c>
      <c r="G34" s="4">
        <f t="shared" si="2"/>
        <v>1024</v>
      </c>
      <c r="H34" s="5">
        <f>SQRT(SUM('p-pi-6'!$C$3:C34)/COUNTIF($A$3:A34,"&lt;&gt;0"))</f>
        <v>12.297103317448382</v>
      </c>
    </row>
    <row r="35" spans="1:8">
      <c r="A35">
        <v>33</v>
      </c>
      <c r="B35">
        <v>233</v>
      </c>
      <c r="C35">
        <v>203</v>
      </c>
      <c r="D35">
        <v>205</v>
      </c>
      <c r="E35" s="4">
        <f t="shared" si="0"/>
        <v>1</v>
      </c>
      <c r="F35" s="4">
        <f t="shared" si="1"/>
        <v>30</v>
      </c>
      <c r="G35" s="4">
        <f t="shared" si="2"/>
        <v>900</v>
      </c>
      <c r="H35" s="5">
        <f>SQRT(SUM('p-pi-6'!$C$3:C35)/COUNTIF($A$3:A35,"&lt;&gt;0"))</f>
        <v>12.36073941104976</v>
      </c>
    </row>
    <row r="36" spans="1:8">
      <c r="A36">
        <v>34</v>
      </c>
      <c r="B36">
        <v>233</v>
      </c>
      <c r="C36">
        <v>204</v>
      </c>
      <c r="D36">
        <v>206</v>
      </c>
      <c r="E36" s="4">
        <f t="shared" si="0"/>
        <v>1</v>
      </c>
      <c r="F36" s="4">
        <f t="shared" si="1"/>
        <v>29</v>
      </c>
      <c r="G36" s="4">
        <f t="shared" si="2"/>
        <v>841</v>
      </c>
      <c r="H36" s="5">
        <f>SQRT(SUM('p-pi-6'!$C$3:C36)/COUNTIF($A$3:A36,"&lt;&gt;0"))</f>
        <v>12.421518330987514</v>
      </c>
    </row>
    <row r="37" spans="1:8">
      <c r="A37">
        <v>35</v>
      </c>
      <c r="B37">
        <v>233</v>
      </c>
      <c r="C37">
        <v>206</v>
      </c>
      <c r="D37">
        <v>208</v>
      </c>
      <c r="E37" s="4">
        <f t="shared" si="0"/>
        <v>1</v>
      </c>
      <c r="F37" s="4">
        <f t="shared" si="1"/>
        <v>27</v>
      </c>
      <c r="G37" s="4">
        <f t="shared" si="2"/>
        <v>729</v>
      </c>
      <c r="H37" s="5">
        <f>SQRT(SUM('p-pi-6'!$C$3:C37)/COUNTIF($A$3:A37,"&lt;&gt;0"))</f>
        <v>12.480842462407278</v>
      </c>
    </row>
    <row r="38" spans="1:8">
      <c r="A38">
        <v>36</v>
      </c>
      <c r="B38">
        <v>233</v>
      </c>
      <c r="C38">
        <v>188</v>
      </c>
      <c r="D38">
        <v>210</v>
      </c>
      <c r="E38" s="4">
        <f t="shared" si="0"/>
        <v>1</v>
      </c>
      <c r="F38" s="4">
        <f t="shared" si="1"/>
        <v>45</v>
      </c>
      <c r="G38" s="4">
        <f t="shared" si="2"/>
        <v>2025</v>
      </c>
      <c r="H38" s="5">
        <f>SQRT(SUM('p-pi-6'!$C$3:C38)/COUNTIF($A$3:A38,"&lt;&gt;0"))</f>
        <v>12.516655570345725</v>
      </c>
    </row>
    <row r="39" spans="1:8">
      <c r="A39">
        <v>37</v>
      </c>
      <c r="B39">
        <v>233</v>
      </c>
      <c r="C39">
        <v>210</v>
      </c>
      <c r="D39">
        <v>218</v>
      </c>
      <c r="E39" s="4">
        <f t="shared" si="0"/>
        <v>1</v>
      </c>
      <c r="F39" s="4">
        <f t="shared" si="1"/>
        <v>23</v>
      </c>
      <c r="G39" s="4">
        <f t="shared" si="2"/>
        <v>529</v>
      </c>
      <c r="H39" s="5">
        <f>SQRT(SUM('p-pi-6'!$C$3:C39)/COUNTIF($A$3:A39,"&lt;&gt;0"))</f>
        <v>12.574104664273639</v>
      </c>
    </row>
    <row r="40" spans="1:8">
      <c r="A40">
        <v>38</v>
      </c>
      <c r="B40">
        <v>233</v>
      </c>
      <c r="C40">
        <v>194</v>
      </c>
      <c r="D40">
        <v>213</v>
      </c>
      <c r="E40" s="4">
        <f t="shared" si="0"/>
        <v>1</v>
      </c>
      <c r="F40" s="4">
        <f t="shared" si="1"/>
        <v>39</v>
      </c>
      <c r="G40" s="4">
        <f t="shared" si="2"/>
        <v>1521</v>
      </c>
      <c r="H40" s="5">
        <f>SQRT(SUM('p-pi-6'!$C$3:C40)/COUNTIF($A$3:A40,"&lt;&gt;0"))</f>
        <v>12.611607018098344</v>
      </c>
    </row>
    <row r="41" spans="1:8">
      <c r="A41">
        <v>39</v>
      </c>
      <c r="B41">
        <v>233</v>
      </c>
      <c r="C41">
        <v>195</v>
      </c>
      <c r="D41">
        <v>221</v>
      </c>
      <c r="E41" s="4">
        <f t="shared" si="0"/>
        <v>1</v>
      </c>
      <c r="F41" s="4">
        <f t="shared" si="1"/>
        <v>38</v>
      </c>
      <c r="G41" s="4">
        <f t="shared" si="2"/>
        <v>1444</v>
      </c>
      <c r="H41" s="5">
        <f>SQRT(SUM('p-pi-6'!$C$3:C41)/COUNTIF($A$3:A41,"&lt;&gt;0"))</f>
        <v>12.648097049531165</v>
      </c>
    </row>
    <row r="42" spans="1:8">
      <c r="A42">
        <v>40</v>
      </c>
      <c r="B42">
        <v>233</v>
      </c>
      <c r="C42">
        <v>194</v>
      </c>
      <c r="D42">
        <v>224</v>
      </c>
      <c r="E42" s="4">
        <f t="shared" si="0"/>
        <v>1</v>
      </c>
      <c r="F42" s="4">
        <f t="shared" si="1"/>
        <v>39</v>
      </c>
      <c r="G42" s="4">
        <f t="shared" si="2"/>
        <v>1521</v>
      </c>
      <c r="H42" s="5">
        <f>SQRT(SUM('p-pi-6'!$C$3:C42)/COUNTIF($A$3:A42,"&lt;&gt;0"))</f>
        <v>12.68167969947199</v>
      </c>
    </row>
    <row r="43" spans="1:8">
      <c r="A43">
        <v>41</v>
      </c>
      <c r="B43">
        <v>233</v>
      </c>
      <c r="C43">
        <v>201</v>
      </c>
      <c r="D43">
        <v>227</v>
      </c>
      <c r="E43" s="4">
        <f t="shared" si="0"/>
        <v>1</v>
      </c>
      <c r="F43" s="4">
        <f t="shared" si="1"/>
        <v>32</v>
      </c>
      <c r="G43" s="4">
        <f t="shared" si="2"/>
        <v>1024</v>
      </c>
      <c r="H43" s="5">
        <f>SQRT(SUM('p-pi-6'!$C$3:C43)/COUNTIF($A$3:A43,"&lt;&gt;0"))</f>
        <v>12.720254637733495</v>
      </c>
    </row>
    <row r="44" spans="1:8">
      <c r="A44">
        <v>42</v>
      </c>
      <c r="B44">
        <v>233</v>
      </c>
      <c r="C44">
        <v>216</v>
      </c>
      <c r="D44">
        <v>227</v>
      </c>
      <c r="E44" s="4">
        <f t="shared" si="0"/>
        <v>1</v>
      </c>
      <c r="F44" s="4">
        <f t="shared" si="1"/>
        <v>17</v>
      </c>
      <c r="G44" s="4">
        <f t="shared" si="2"/>
        <v>289</v>
      </c>
      <c r="H44" s="5">
        <f>SQRT(SUM('p-pi-6'!$C$3:C44)/COUNTIF($A$3:A44,"&lt;&gt;0"))</f>
        <v>12.770874601813226</v>
      </c>
    </row>
    <row r="45" spans="1:8">
      <c r="A45">
        <v>43</v>
      </c>
      <c r="B45">
        <v>233</v>
      </c>
      <c r="C45">
        <v>199</v>
      </c>
      <c r="D45">
        <v>224</v>
      </c>
      <c r="E45" s="4">
        <f t="shared" si="0"/>
        <v>1</v>
      </c>
      <c r="F45" s="4">
        <f t="shared" si="1"/>
        <v>34</v>
      </c>
      <c r="G45" s="4">
        <f t="shared" si="2"/>
        <v>1156</v>
      </c>
      <c r="H45" s="5">
        <f>SQRT(SUM('p-pi-6'!$C$3:C45)/COUNTIF($A$3:A45,"&lt;&gt;0"))</f>
        <v>12.80352422413999</v>
      </c>
    </row>
    <row r="46" spans="1:8">
      <c r="A46">
        <v>44</v>
      </c>
      <c r="B46">
        <v>233</v>
      </c>
      <c r="C46">
        <v>183</v>
      </c>
      <c r="D46">
        <v>231</v>
      </c>
      <c r="E46" s="4">
        <f t="shared" si="0"/>
        <v>0</v>
      </c>
      <c r="F46" s="4">
        <f t="shared" si="1"/>
        <v>50</v>
      </c>
      <c r="G46" s="4">
        <f t="shared" si="2"/>
        <v>2500</v>
      </c>
      <c r="H46" s="5">
        <f>SQRT(SUM('p-pi-6'!$C$3:C46)/COUNTIF($A$3:A46,"&lt;&gt;0"))</f>
        <v>12.820438228221233</v>
      </c>
    </row>
    <row r="47" spans="1:8">
      <c r="A47">
        <v>45</v>
      </c>
      <c r="B47">
        <v>233</v>
      </c>
      <c r="C47">
        <v>212</v>
      </c>
      <c r="D47">
        <v>240</v>
      </c>
      <c r="E47" s="4">
        <f t="shared" si="0"/>
        <v>1</v>
      </c>
      <c r="F47" s="4">
        <f t="shared" si="1"/>
        <v>21</v>
      </c>
      <c r="G47" s="4">
        <f t="shared" si="2"/>
        <v>441</v>
      </c>
      <c r="H47" s="5">
        <f>SQRT(SUM('p-pi-6'!$C$3:C47)/COUNTIF($A$3:A47,"&lt;&gt;0"))</f>
        <v>12.861657055847129</v>
      </c>
    </row>
    <row r="48" spans="1:8">
      <c r="A48">
        <v>46</v>
      </c>
      <c r="B48">
        <v>233</v>
      </c>
      <c r="C48">
        <v>201</v>
      </c>
      <c r="D48">
        <v>233</v>
      </c>
      <c r="E48" s="4">
        <f t="shared" si="0"/>
        <v>1</v>
      </c>
      <c r="F48" s="4">
        <f t="shared" si="1"/>
        <v>32</v>
      </c>
      <c r="G48" s="4">
        <f t="shared" si="2"/>
        <v>1024</v>
      </c>
      <c r="H48" s="5">
        <f>SQRT(SUM('p-pi-6'!$C$3:C48)/COUNTIF($A$3:A48,"&lt;&gt;0"))</f>
        <v>12.891689267660505</v>
      </c>
    </row>
    <row r="49" spans="1:8">
      <c r="A49">
        <v>47</v>
      </c>
      <c r="B49">
        <v>233</v>
      </c>
      <c r="C49">
        <v>201</v>
      </c>
      <c r="D49">
        <v>238</v>
      </c>
      <c r="E49" s="4">
        <f t="shared" si="0"/>
        <v>1</v>
      </c>
      <c r="F49" s="4">
        <f t="shared" si="1"/>
        <v>32</v>
      </c>
      <c r="G49" s="4">
        <f t="shared" si="2"/>
        <v>1024</v>
      </c>
      <c r="H49" s="5">
        <f>SQRT(SUM('p-pi-6'!$C$3:C49)/COUNTIF($A$3:A49,"&lt;&gt;0"))</f>
        <v>12.920378098676755</v>
      </c>
    </row>
    <row r="50" spans="1:8">
      <c r="A50">
        <v>48</v>
      </c>
      <c r="B50">
        <v>233</v>
      </c>
      <c r="C50">
        <v>204</v>
      </c>
      <c r="D50">
        <v>241</v>
      </c>
      <c r="E50" s="4">
        <f t="shared" si="0"/>
        <v>1</v>
      </c>
      <c r="F50" s="4">
        <f t="shared" si="1"/>
        <v>29</v>
      </c>
      <c r="G50" s="4">
        <f t="shared" si="2"/>
        <v>841</v>
      </c>
      <c r="H50" s="5">
        <f>SQRT(SUM('p-pi-6'!$C$3:C50)/COUNTIF($A$3:A50,"&lt;&gt;0"))</f>
        <v>12.950225223266711</v>
      </c>
    </row>
    <row r="51" spans="1:8">
      <c r="A51">
        <v>49</v>
      </c>
      <c r="B51">
        <v>233</v>
      </c>
      <c r="C51">
        <v>185</v>
      </c>
      <c r="D51">
        <v>242</v>
      </c>
      <c r="E51" s="4">
        <f t="shared" si="0"/>
        <v>0</v>
      </c>
      <c r="F51" s="4">
        <f t="shared" si="1"/>
        <v>48</v>
      </c>
      <c r="G51" s="4">
        <f t="shared" si="2"/>
        <v>2304</v>
      </c>
      <c r="H51" s="5">
        <f>SQRT(SUM('p-pi-6'!$C$3:C51)/COUNTIF($A$3:A51,"&lt;&gt;0"))</f>
        <v>12.963842967646434</v>
      </c>
    </row>
    <row r="52" spans="1:8">
      <c r="A52">
        <v>50</v>
      </c>
      <c r="B52">
        <v>233</v>
      </c>
      <c r="C52">
        <v>210</v>
      </c>
      <c r="D52">
        <v>251</v>
      </c>
      <c r="E52" s="4">
        <f t="shared" si="0"/>
        <v>1</v>
      </c>
      <c r="F52" s="4">
        <f t="shared" si="1"/>
        <v>23</v>
      </c>
      <c r="G52" s="4">
        <f t="shared" si="2"/>
        <v>529</v>
      </c>
      <c r="H52" s="5">
        <f>SQRT(SUM('p-pi-6'!$C$3:C52)/COUNTIF($A$3:A52,"&lt;&gt;0"))</f>
        <v>12.996153277027783</v>
      </c>
    </row>
    <row r="53" spans="1:8">
      <c r="A53">
        <v>51</v>
      </c>
      <c r="B53">
        <v>233</v>
      </c>
      <c r="C53">
        <v>256</v>
      </c>
      <c r="D53">
        <v>245</v>
      </c>
      <c r="E53" s="4">
        <f t="shared" si="0"/>
        <v>1</v>
      </c>
      <c r="F53" s="4">
        <f t="shared" si="1"/>
        <v>23</v>
      </c>
      <c r="G53" s="4">
        <f t="shared" si="2"/>
        <v>529</v>
      </c>
      <c r="H53" s="5">
        <f>SQRT(SUM('p-pi-6'!$C$3:C53)/COUNTIF($A$3:A53,"&lt;&gt;0"))</f>
        <v>13.061693731566931</v>
      </c>
    </row>
    <row r="54" spans="1:8">
      <c r="A54">
        <v>52</v>
      </c>
      <c r="B54">
        <v>233</v>
      </c>
      <c r="C54">
        <v>135</v>
      </c>
      <c r="D54">
        <v>230</v>
      </c>
      <c r="E54" s="4">
        <f t="shared" si="0"/>
        <v>0</v>
      </c>
      <c r="F54" s="4">
        <f t="shared" si="1"/>
        <v>98</v>
      </c>
      <c r="G54" s="4">
        <f t="shared" si="2"/>
        <v>9604</v>
      </c>
      <c r="H54" s="5">
        <f>SQRT(SUM('p-pi-6'!$C$3:C54)/COUNTIF($A$3:A54,"&lt;&gt;0"))</f>
        <v>13.035454611292884</v>
      </c>
    </row>
    <row r="55" spans="1:8">
      <c r="A55">
        <v>53</v>
      </c>
      <c r="B55">
        <v>233</v>
      </c>
      <c r="C55">
        <v>209</v>
      </c>
      <c r="D55">
        <v>274</v>
      </c>
      <c r="E55" s="4">
        <f t="shared" si="0"/>
        <v>1</v>
      </c>
      <c r="F55" s="4">
        <f t="shared" si="1"/>
        <v>24</v>
      </c>
      <c r="G55" s="4">
        <f t="shared" si="2"/>
        <v>576</v>
      </c>
      <c r="H55" s="5">
        <f>SQRT(SUM('p-pi-6'!$C$3:C55)/COUNTIF($A$3:A55,"&lt;&gt;0"))</f>
        <v>13.063704580190512</v>
      </c>
    </row>
    <row r="56" spans="1:8">
      <c r="A56">
        <v>54</v>
      </c>
      <c r="B56">
        <v>233</v>
      </c>
      <c r="C56">
        <v>257</v>
      </c>
      <c r="D56">
        <v>253</v>
      </c>
      <c r="E56" s="4">
        <f t="shared" si="0"/>
        <v>1</v>
      </c>
      <c r="F56" s="4">
        <f t="shared" si="1"/>
        <v>24</v>
      </c>
      <c r="G56" s="4">
        <f t="shared" si="2"/>
        <v>576</v>
      </c>
      <c r="H56" s="5">
        <f>SQRT(SUM('p-pi-6'!$C$3:C56)/COUNTIF($A$3:A56,"&lt;&gt;0"))</f>
        <v>13.124757493350469</v>
      </c>
    </row>
    <row r="57" spans="1:8">
      <c r="A57">
        <v>55</v>
      </c>
      <c r="B57">
        <v>233</v>
      </c>
      <c r="C57">
        <v>134</v>
      </c>
      <c r="D57">
        <v>237</v>
      </c>
      <c r="E57" s="4">
        <f t="shared" si="0"/>
        <v>0</v>
      </c>
      <c r="F57" s="4">
        <f t="shared" si="1"/>
        <v>99</v>
      </c>
      <c r="G57" s="4">
        <f t="shared" si="2"/>
        <v>9801</v>
      </c>
      <c r="H57" s="5">
        <f>SQRT(SUM('p-pi-6'!$C$3:C57)/COUNTIF($A$3:A57,"&lt;&gt;0"))</f>
        <v>13.098230276019596</v>
      </c>
    </row>
    <row r="58" spans="1:8">
      <c r="A58">
        <v>56</v>
      </c>
      <c r="B58">
        <v>233</v>
      </c>
      <c r="C58">
        <v>208</v>
      </c>
      <c r="D58">
        <v>281</v>
      </c>
      <c r="E58" s="4">
        <f t="shared" si="0"/>
        <v>1</v>
      </c>
      <c r="F58" s="4">
        <f t="shared" si="1"/>
        <v>25</v>
      </c>
      <c r="G58" s="4">
        <f t="shared" si="2"/>
        <v>625</v>
      </c>
      <c r="H58" s="5">
        <f>SQRT(SUM('p-pi-6'!$C$3:C58)/COUNTIF($A$3:A58,"&lt;&gt;0"))</f>
        <v>13.123044071947854</v>
      </c>
    </row>
    <row r="59" spans="1:8">
      <c r="A59">
        <v>57</v>
      </c>
      <c r="B59">
        <v>233</v>
      </c>
      <c r="C59">
        <v>196</v>
      </c>
      <c r="D59">
        <v>261</v>
      </c>
      <c r="E59" s="4">
        <f t="shared" si="0"/>
        <v>1</v>
      </c>
      <c r="F59" s="4">
        <f t="shared" si="1"/>
        <v>37</v>
      </c>
      <c r="G59" s="4">
        <f t="shared" si="2"/>
        <v>1369</v>
      </c>
      <c r="H59" s="5">
        <f>SQRT(SUM('p-pi-6'!$C$3:C59)/COUNTIF($A$3:A59,"&lt;&gt;0"))</f>
        <v>13.138933706635726</v>
      </c>
    </row>
    <row r="60" spans="1:8">
      <c r="A60">
        <v>58</v>
      </c>
      <c r="B60">
        <v>233</v>
      </c>
      <c r="C60">
        <v>200</v>
      </c>
      <c r="D60">
        <v>267</v>
      </c>
      <c r="E60" s="4">
        <f t="shared" si="0"/>
        <v>1</v>
      </c>
      <c r="F60" s="4">
        <f t="shared" si="1"/>
        <v>33</v>
      </c>
      <c r="G60" s="4">
        <f t="shared" si="2"/>
        <v>1089</v>
      </c>
      <c r="H60" s="5">
        <f>SQRT(SUM('p-pi-6'!$C$3:C60)/COUNTIF($A$3:A60,"&lt;&gt;0"))</f>
        <v>13.156878363649261</v>
      </c>
    </row>
    <row r="61" spans="1:8">
      <c r="A61">
        <v>59</v>
      </c>
      <c r="B61">
        <v>233</v>
      </c>
      <c r="C61">
        <v>200</v>
      </c>
      <c r="D61">
        <v>268</v>
      </c>
      <c r="E61" s="4">
        <f t="shared" si="0"/>
        <v>1</v>
      </c>
      <c r="F61" s="4">
        <f t="shared" si="1"/>
        <v>33</v>
      </c>
      <c r="G61" s="4">
        <f t="shared" si="2"/>
        <v>1089</v>
      </c>
      <c r="H61" s="5">
        <f>SQRT(SUM('p-pi-6'!$C$3:C61)/COUNTIF($A$3:A61,"&lt;&gt;0"))</f>
        <v>13.174191513481892</v>
      </c>
    </row>
    <row r="62" spans="1:8">
      <c r="A62">
        <v>60</v>
      </c>
      <c r="B62">
        <v>233</v>
      </c>
      <c r="C62">
        <v>202</v>
      </c>
      <c r="D62">
        <v>271</v>
      </c>
      <c r="E62" s="4">
        <f t="shared" si="0"/>
        <v>1</v>
      </c>
      <c r="F62" s="4">
        <f t="shared" si="1"/>
        <v>31</v>
      </c>
      <c r="G62" s="4">
        <f t="shared" si="2"/>
        <v>961</v>
      </c>
      <c r="H62" s="5">
        <f>SQRT(SUM('p-pi-6'!$C$3:C62)/COUNTIF($A$3:A62,"&lt;&gt;0"))</f>
        <v>13.192169394505717</v>
      </c>
    </row>
    <row r="63" spans="1:8">
      <c r="A63">
        <v>61</v>
      </c>
      <c r="B63">
        <v>233</v>
      </c>
      <c r="C63">
        <v>203</v>
      </c>
      <c r="D63">
        <v>272</v>
      </c>
      <c r="E63" s="4">
        <f t="shared" si="0"/>
        <v>1</v>
      </c>
      <c r="F63" s="4">
        <f t="shared" si="1"/>
        <v>30</v>
      </c>
      <c r="G63" s="4">
        <f t="shared" si="2"/>
        <v>900</v>
      </c>
      <c r="H63" s="5">
        <f>SQRT(SUM('p-pi-6'!$C$3:C63)/COUNTIF($A$3:A63,"&lt;&gt;0"))</f>
        <v>13.210155060456765</v>
      </c>
    </row>
    <row r="64" spans="1:8">
      <c r="A64">
        <v>62</v>
      </c>
      <c r="B64">
        <v>233</v>
      </c>
      <c r="C64">
        <v>260</v>
      </c>
      <c r="D64">
        <v>275</v>
      </c>
      <c r="E64" s="4">
        <f t="shared" si="0"/>
        <v>1</v>
      </c>
      <c r="F64" s="4">
        <f t="shared" si="1"/>
        <v>27</v>
      </c>
      <c r="G64" s="4">
        <f t="shared" si="2"/>
        <v>729</v>
      </c>
      <c r="H64" s="5">
        <f>SQRT(SUM('p-pi-6'!$C$3:C64)/COUNTIF($A$3:A64,"&lt;&gt;0"))</f>
        <v>13.262243278352027</v>
      </c>
    </row>
    <row r="65" spans="1:8">
      <c r="A65">
        <v>63</v>
      </c>
      <c r="B65">
        <v>233</v>
      </c>
      <c r="C65">
        <v>142</v>
      </c>
      <c r="D65">
        <v>255</v>
      </c>
      <c r="E65" s="4">
        <f t="shared" si="0"/>
        <v>0</v>
      </c>
      <c r="F65" s="4">
        <f t="shared" si="1"/>
        <v>91</v>
      </c>
      <c r="G65" s="4">
        <f t="shared" si="2"/>
        <v>8281</v>
      </c>
      <c r="H65" s="5">
        <f>SQRT(SUM('p-pi-6'!$C$3:C65)/COUNTIF($A$3:A65,"&lt;&gt;0"))</f>
        <v>13.241948736844073</v>
      </c>
    </row>
    <row r="66" spans="1:8">
      <c r="A66">
        <v>64</v>
      </c>
      <c r="B66">
        <v>233</v>
      </c>
      <c r="C66">
        <v>278</v>
      </c>
      <c r="D66">
        <v>298</v>
      </c>
      <c r="E66" s="4">
        <f t="shared" si="0"/>
        <v>1</v>
      </c>
      <c r="F66" s="4">
        <f t="shared" si="1"/>
        <v>45</v>
      </c>
      <c r="G66" s="4">
        <f t="shared" si="2"/>
        <v>2025</v>
      </c>
      <c r="H66" s="5">
        <f>SQRT(SUM('p-pi-6'!$C$3:C66)/COUNTIF($A$3:A66,"&lt;&gt;0"))</f>
        <v>13.302372908620477</v>
      </c>
    </row>
    <row r="67" spans="1:8">
      <c r="A67">
        <v>65</v>
      </c>
      <c r="B67">
        <v>233</v>
      </c>
      <c r="C67">
        <v>180</v>
      </c>
      <c r="D67">
        <v>253</v>
      </c>
      <c r="E67" s="4">
        <f t="shared" si="0"/>
        <v>0</v>
      </c>
      <c r="F67" s="4">
        <f t="shared" si="1"/>
        <v>53</v>
      </c>
      <c r="G67" s="4">
        <f t="shared" si="2"/>
        <v>2809</v>
      </c>
      <c r="H67" s="5">
        <f>SQRT(SUM('p-pi-6'!$C$3:C67)/COUNTIF($A$3:A67,"&lt;&gt;0"))</f>
        <v>13.30413469565007</v>
      </c>
    </row>
    <row r="68" spans="1:8">
      <c r="A68">
        <v>66</v>
      </c>
      <c r="B68">
        <v>233</v>
      </c>
      <c r="C68">
        <v>212</v>
      </c>
      <c r="D68">
        <v>287</v>
      </c>
      <c r="E68" s="4">
        <f t="shared" ref="E68:E131" si="3">IF(AND(C68&lt;=B68*1.2,C68&gt;=B68*0.8),1,0)</f>
        <v>1</v>
      </c>
      <c r="F68" s="4">
        <f t="shared" ref="F68:F131" si="4">ABS(B68-C68)</f>
        <v>21</v>
      </c>
      <c r="G68" s="4">
        <f t="shared" ref="G68:G131" si="5">POWER(F68,2)</f>
        <v>441</v>
      </c>
      <c r="H68" s="5">
        <f>SQRT(SUM('p-pi-6'!$C$3:C68)/COUNTIF($A$3:A68,"&lt;&gt;0"))</f>
        <v>13.32404979840225</v>
      </c>
    </row>
    <row r="69" spans="1:8">
      <c r="A69">
        <v>67</v>
      </c>
      <c r="B69">
        <v>233</v>
      </c>
      <c r="C69">
        <v>247</v>
      </c>
      <c r="D69">
        <v>279</v>
      </c>
      <c r="E69" s="4">
        <f t="shared" si="3"/>
        <v>1</v>
      </c>
      <c r="F69" s="4">
        <f t="shared" si="4"/>
        <v>14</v>
      </c>
      <c r="G69" s="4">
        <f t="shared" si="5"/>
        <v>196</v>
      </c>
      <c r="H69" s="5">
        <f>SQRT(SUM('p-pi-6'!$C$3:C69)/COUNTIF($A$3:A69,"&lt;&gt;0"))</f>
        <v>13.362902535718222</v>
      </c>
    </row>
    <row r="70" spans="1:8">
      <c r="A70">
        <v>68</v>
      </c>
      <c r="B70">
        <v>233</v>
      </c>
      <c r="C70">
        <v>202</v>
      </c>
      <c r="D70">
        <v>267</v>
      </c>
      <c r="E70" s="4">
        <f t="shared" si="3"/>
        <v>1</v>
      </c>
      <c r="F70" s="4">
        <f t="shared" si="4"/>
        <v>31</v>
      </c>
      <c r="G70" s="4">
        <f t="shared" si="5"/>
        <v>961</v>
      </c>
      <c r="H70" s="5">
        <f>SQRT(SUM('p-pi-6'!$C$3:C70)/COUNTIF($A$3:A70,"&lt;&gt;0"))</f>
        <v>13.375790246033404</v>
      </c>
    </row>
    <row r="71" spans="1:8">
      <c r="A71">
        <v>69</v>
      </c>
      <c r="B71">
        <v>233</v>
      </c>
      <c r="C71">
        <v>206</v>
      </c>
      <c r="D71">
        <v>283</v>
      </c>
      <c r="E71" s="4">
        <f t="shared" si="3"/>
        <v>1</v>
      </c>
      <c r="F71" s="4">
        <f t="shared" si="4"/>
        <v>27</v>
      </c>
      <c r="G71" s="4">
        <f t="shared" si="5"/>
        <v>729</v>
      </c>
      <c r="H71" s="5">
        <f>SQRT(SUM('p-pi-6'!$C$3:C71)/COUNTIF($A$3:A71,"&lt;&gt;0"))</f>
        <v>13.390457341931491</v>
      </c>
    </row>
    <row r="72" spans="1:8">
      <c r="A72">
        <v>70</v>
      </c>
      <c r="B72">
        <v>233</v>
      </c>
      <c r="C72">
        <v>230</v>
      </c>
      <c r="D72">
        <v>284</v>
      </c>
      <c r="E72" s="4">
        <f t="shared" si="3"/>
        <v>1</v>
      </c>
      <c r="F72" s="4">
        <f t="shared" si="4"/>
        <v>3</v>
      </c>
      <c r="G72" s="4">
        <f t="shared" si="5"/>
        <v>9</v>
      </c>
      <c r="H72" s="5">
        <f>SQRT(SUM('p-pi-6'!$C$3:C72)/COUNTIF($A$3:A72,"&lt;&gt;0"))</f>
        <v>13.41747261702335</v>
      </c>
    </row>
    <row r="73" spans="1:8">
      <c r="A73">
        <v>71</v>
      </c>
      <c r="B73">
        <v>233</v>
      </c>
      <c r="C73">
        <v>167</v>
      </c>
      <c r="D73">
        <v>277</v>
      </c>
      <c r="E73" s="4">
        <f t="shared" si="3"/>
        <v>0</v>
      </c>
      <c r="F73" s="4">
        <f t="shared" si="4"/>
        <v>66</v>
      </c>
      <c r="G73" s="4">
        <f t="shared" si="5"/>
        <v>4356</v>
      </c>
      <c r="H73" s="5">
        <f>SQRT(SUM('p-pi-6'!$C$3:C73)/COUNTIF($A$3:A73,"&lt;&gt;0"))</f>
        <v>13.410632737590543</v>
      </c>
    </row>
    <row r="74" spans="1:8">
      <c r="A74">
        <v>72</v>
      </c>
      <c r="B74">
        <v>233</v>
      </c>
      <c r="C74">
        <v>275</v>
      </c>
      <c r="D74">
        <v>300</v>
      </c>
      <c r="E74" s="4">
        <f t="shared" si="3"/>
        <v>1</v>
      </c>
      <c r="F74" s="4">
        <f t="shared" si="4"/>
        <v>42</v>
      </c>
      <c r="G74" s="4">
        <f t="shared" si="5"/>
        <v>1764</v>
      </c>
      <c r="H74" s="5">
        <f>SQRT(SUM('p-pi-6'!$C$3:C74)/COUNTIF($A$3:A74,"&lt;&gt;0"))</f>
        <v>13.459816739713311</v>
      </c>
    </row>
    <row r="75" spans="1:8">
      <c r="A75">
        <v>73</v>
      </c>
      <c r="B75">
        <v>233</v>
      </c>
      <c r="C75">
        <v>199</v>
      </c>
      <c r="D75">
        <v>265</v>
      </c>
      <c r="E75" s="4">
        <f t="shared" si="3"/>
        <v>1</v>
      </c>
      <c r="F75" s="4">
        <f t="shared" si="4"/>
        <v>34</v>
      </c>
      <c r="G75" s="4">
        <f t="shared" si="5"/>
        <v>1156</v>
      </c>
      <c r="H75" s="5">
        <f>SQRT(SUM('p-pi-6'!$C$3:C75)/COUNTIF($A$3:A75,"&lt;&gt;0"))</f>
        <v>13.468888554892329</v>
      </c>
    </row>
    <row r="76" spans="1:8">
      <c r="A76">
        <v>74</v>
      </c>
      <c r="B76">
        <v>233</v>
      </c>
      <c r="C76">
        <v>272</v>
      </c>
      <c r="D76">
        <v>290</v>
      </c>
      <c r="E76" s="4">
        <f t="shared" si="3"/>
        <v>1</v>
      </c>
      <c r="F76" s="4">
        <f t="shared" si="4"/>
        <v>39</v>
      </c>
      <c r="G76" s="4">
        <f t="shared" si="5"/>
        <v>1521</v>
      </c>
      <c r="H76" s="5">
        <f>SQRT(SUM('p-pi-6'!$C$3:C76)/COUNTIF($A$3:A76,"&lt;&gt;0"))</f>
        <v>13.514256736318691</v>
      </c>
    </row>
    <row r="77" spans="1:8">
      <c r="A77">
        <v>75</v>
      </c>
      <c r="B77">
        <v>233</v>
      </c>
      <c r="C77">
        <v>204</v>
      </c>
      <c r="D77">
        <v>265</v>
      </c>
      <c r="E77" s="4">
        <f t="shared" si="3"/>
        <v>1</v>
      </c>
      <c r="F77" s="4">
        <f t="shared" si="4"/>
        <v>29</v>
      </c>
      <c r="G77" s="4">
        <f t="shared" si="5"/>
        <v>841</v>
      </c>
      <c r="H77" s="5">
        <f>SQRT(SUM('p-pi-6'!$C$3:C77)/COUNTIF($A$3:A77,"&lt;&gt;0"))</f>
        <v>13.52479205015737</v>
      </c>
    </row>
    <row r="78" spans="1:8">
      <c r="A78">
        <v>76</v>
      </c>
      <c r="B78">
        <v>233</v>
      </c>
      <c r="C78">
        <v>245</v>
      </c>
      <c r="D78">
        <v>288</v>
      </c>
      <c r="E78" s="4">
        <f t="shared" si="3"/>
        <v>1</v>
      </c>
      <c r="F78" s="4">
        <f t="shared" si="4"/>
        <v>12</v>
      </c>
      <c r="G78" s="4">
        <f t="shared" si="5"/>
        <v>144</v>
      </c>
      <c r="H78" s="5">
        <f>SQRT(SUM('p-pi-6'!$C$3:C78)/COUNTIF($A$3:A78,"&lt;&gt;0"))</f>
        <v>13.554956366778285</v>
      </c>
    </row>
    <row r="79" spans="1:8">
      <c r="A79">
        <v>77</v>
      </c>
      <c r="B79">
        <v>233</v>
      </c>
      <c r="C79">
        <v>207</v>
      </c>
      <c r="D79">
        <v>275</v>
      </c>
      <c r="E79" s="4">
        <f t="shared" si="3"/>
        <v>1</v>
      </c>
      <c r="F79" s="4">
        <f t="shared" si="4"/>
        <v>26</v>
      </c>
      <c r="G79" s="4">
        <f t="shared" si="5"/>
        <v>676</v>
      </c>
      <c r="H79" s="5">
        <f>SQRT(SUM('p-pi-6'!$C$3:C79)/COUNTIF($A$3:A79,"&lt;&gt;0"))</f>
        <v>13.566096013185261</v>
      </c>
    </row>
    <row r="80" spans="1:8">
      <c r="A80">
        <v>78</v>
      </c>
      <c r="B80">
        <v>233</v>
      </c>
      <c r="C80">
        <v>247</v>
      </c>
      <c r="D80">
        <v>288</v>
      </c>
      <c r="E80" s="4">
        <f t="shared" si="3"/>
        <v>1</v>
      </c>
      <c r="F80" s="4">
        <f t="shared" si="4"/>
        <v>14</v>
      </c>
      <c r="G80" s="4">
        <f t="shared" si="5"/>
        <v>196</v>
      </c>
      <c r="H80" s="5">
        <f>SQRT(SUM('p-pi-6'!$C$3:C80)/COUNTIF($A$3:A80,"&lt;&gt;0"))</f>
        <v>13.595813835374249</v>
      </c>
    </row>
    <row r="81" spans="1:8">
      <c r="A81">
        <v>79</v>
      </c>
      <c r="B81">
        <v>233</v>
      </c>
      <c r="C81">
        <v>205</v>
      </c>
      <c r="D81">
        <v>275</v>
      </c>
      <c r="E81" s="4">
        <f t="shared" si="3"/>
        <v>1</v>
      </c>
      <c r="F81" s="4">
        <f t="shared" si="4"/>
        <v>28</v>
      </c>
      <c r="G81" s="4">
        <f t="shared" si="5"/>
        <v>784</v>
      </c>
      <c r="H81" s="5">
        <f>SQRT(SUM('p-pi-6'!$C$3:C81)/COUNTIF($A$3:A81,"&lt;&gt;0"))</f>
        <v>13.605192605133704</v>
      </c>
    </row>
    <row r="82" spans="1:8">
      <c r="A82">
        <v>80</v>
      </c>
      <c r="B82">
        <v>233</v>
      </c>
      <c r="C82">
        <v>214</v>
      </c>
      <c r="D82">
        <v>290</v>
      </c>
      <c r="E82" s="4">
        <f t="shared" si="3"/>
        <v>1</v>
      </c>
      <c r="F82" s="4">
        <f t="shared" si="4"/>
        <v>19</v>
      </c>
      <c r="G82" s="4">
        <f t="shared" si="5"/>
        <v>361</v>
      </c>
      <c r="H82" s="5">
        <f>SQRT(SUM('p-pi-6'!$C$3:C82)/COUNTIF($A$3:A82,"&lt;&gt;0"))</f>
        <v>13.618461733984496</v>
      </c>
    </row>
    <row r="83" spans="1:8">
      <c r="A83">
        <v>81</v>
      </c>
      <c r="B83">
        <v>233</v>
      </c>
      <c r="C83">
        <v>270</v>
      </c>
      <c r="D83">
        <v>288</v>
      </c>
      <c r="E83" s="4">
        <f t="shared" si="3"/>
        <v>1</v>
      </c>
      <c r="F83" s="4">
        <f t="shared" si="4"/>
        <v>37</v>
      </c>
      <c r="G83" s="4">
        <f t="shared" si="5"/>
        <v>1369</v>
      </c>
      <c r="H83" s="5">
        <f>SQRT(SUM('p-pi-6'!$C$3:C83)/COUNTIF($A$3:A83,"&lt;&gt;0"))</f>
        <v>13.656726285589317</v>
      </c>
    </row>
    <row r="84" spans="1:8">
      <c r="A84">
        <v>82</v>
      </c>
      <c r="B84">
        <v>233</v>
      </c>
      <c r="C84">
        <v>205</v>
      </c>
      <c r="D84">
        <v>269</v>
      </c>
      <c r="E84" s="4">
        <f t="shared" si="3"/>
        <v>1</v>
      </c>
      <c r="F84" s="4">
        <f t="shared" si="4"/>
        <v>28</v>
      </c>
      <c r="G84" s="4">
        <f t="shared" si="5"/>
        <v>784</v>
      </c>
      <c r="H84" s="5">
        <f>SQRT(SUM('p-pi-6'!$C$3:C84)/COUNTIF($A$3:A84,"&lt;&gt;0"))</f>
        <v>13.664981058057606</v>
      </c>
    </row>
    <row r="85" spans="1:8">
      <c r="A85">
        <v>83</v>
      </c>
      <c r="B85">
        <v>233</v>
      </c>
      <c r="C85">
        <v>249</v>
      </c>
      <c r="D85">
        <v>290</v>
      </c>
      <c r="E85" s="4">
        <f t="shared" si="3"/>
        <v>1</v>
      </c>
      <c r="F85" s="4">
        <f t="shared" si="4"/>
        <v>16</v>
      </c>
      <c r="G85" s="4">
        <f t="shared" si="5"/>
        <v>256</v>
      </c>
      <c r="H85" s="5">
        <f>SQRT(SUM('p-pi-6'!$C$3:C85)/COUNTIF($A$3:A85,"&lt;&gt;0"))</f>
        <v>13.692404015031231</v>
      </c>
    </row>
    <row r="86" spans="1:8">
      <c r="A86">
        <v>84</v>
      </c>
      <c r="B86">
        <v>233</v>
      </c>
      <c r="C86">
        <v>208</v>
      </c>
      <c r="D86">
        <v>276</v>
      </c>
      <c r="E86" s="4">
        <f t="shared" si="3"/>
        <v>1</v>
      </c>
      <c r="F86" s="4">
        <f t="shared" si="4"/>
        <v>25</v>
      </c>
      <c r="G86" s="4">
        <f t="shared" si="5"/>
        <v>625</v>
      </c>
      <c r="H86" s="5">
        <f>SQRT(SUM('p-pi-6'!$C$3:C86)/COUNTIF($A$3:A86,"&lt;&gt;0"))</f>
        <v>13.701320756634759</v>
      </c>
    </row>
    <row r="87" spans="1:8">
      <c r="A87">
        <v>85</v>
      </c>
      <c r="B87">
        <v>233</v>
      </c>
      <c r="C87">
        <v>211</v>
      </c>
      <c r="D87">
        <v>290</v>
      </c>
      <c r="E87" s="4">
        <f t="shared" si="3"/>
        <v>1</v>
      </c>
      <c r="F87" s="4">
        <f t="shared" si="4"/>
        <v>22</v>
      </c>
      <c r="G87" s="4">
        <f t="shared" si="5"/>
        <v>484</v>
      </c>
      <c r="H87" s="5">
        <f>SQRT(SUM('p-pi-6'!$C$3:C87)/COUNTIF($A$3:A87,"&lt;&gt;0"))</f>
        <v>13.711309200802088</v>
      </c>
    </row>
    <row r="88" spans="1:8">
      <c r="A88">
        <v>86</v>
      </c>
      <c r="B88">
        <v>233</v>
      </c>
      <c r="C88">
        <v>252</v>
      </c>
      <c r="D88">
        <v>291</v>
      </c>
      <c r="E88" s="4">
        <f t="shared" si="3"/>
        <v>1</v>
      </c>
      <c r="F88" s="4">
        <f t="shared" si="4"/>
        <v>19</v>
      </c>
      <c r="G88" s="4">
        <f t="shared" si="5"/>
        <v>361</v>
      </c>
      <c r="H88" s="5">
        <f>SQRT(SUM('p-pi-6'!$C$3:C88)/COUNTIF($A$3:A88,"&lt;&gt;0"))</f>
        <v>13.738420070972921</v>
      </c>
    </row>
    <row r="89" spans="1:8">
      <c r="A89">
        <v>87</v>
      </c>
      <c r="B89">
        <v>233</v>
      </c>
      <c r="C89">
        <v>206</v>
      </c>
      <c r="D89">
        <v>277</v>
      </c>
      <c r="E89" s="4">
        <f t="shared" si="3"/>
        <v>1</v>
      </c>
      <c r="F89" s="4">
        <f t="shared" si="4"/>
        <v>27</v>
      </c>
      <c r="G89" s="4">
        <f t="shared" si="5"/>
        <v>729</v>
      </c>
      <c r="H89" s="5">
        <f>SQRT(SUM('p-pi-6'!$C$3:C89)/COUNTIF($A$3:A89,"&lt;&gt;0"))</f>
        <v>13.745636716268628</v>
      </c>
    </row>
    <row r="90" spans="1:8">
      <c r="A90">
        <v>88</v>
      </c>
      <c r="B90">
        <v>233</v>
      </c>
      <c r="C90">
        <v>271</v>
      </c>
      <c r="D90">
        <v>293</v>
      </c>
      <c r="E90" s="4">
        <f t="shared" si="3"/>
        <v>1</v>
      </c>
      <c r="F90" s="4">
        <f t="shared" si="4"/>
        <v>38</v>
      </c>
      <c r="G90" s="4">
        <f t="shared" si="5"/>
        <v>1444</v>
      </c>
      <c r="H90" s="5">
        <f>SQRT(SUM('p-pi-6'!$C$3:C90)/COUNTIF($A$3:A90,"&lt;&gt;0"))</f>
        <v>13.77951377952067</v>
      </c>
    </row>
    <row r="91" spans="1:8">
      <c r="A91">
        <v>89</v>
      </c>
      <c r="B91">
        <v>233</v>
      </c>
      <c r="C91">
        <v>206</v>
      </c>
      <c r="D91">
        <v>270</v>
      </c>
      <c r="E91" s="4">
        <f t="shared" si="3"/>
        <v>1</v>
      </c>
      <c r="F91" s="4">
        <f t="shared" si="4"/>
        <v>27</v>
      </c>
      <c r="G91" s="4">
        <f t="shared" si="5"/>
        <v>729</v>
      </c>
      <c r="H91" s="5">
        <f>SQRT(SUM('p-pi-6'!$C$3:C91)/COUNTIF($A$3:A91,"&lt;&gt;0"))</f>
        <v>13.786086456107872</v>
      </c>
    </row>
    <row r="92" spans="1:8">
      <c r="A92">
        <v>90</v>
      </c>
      <c r="B92">
        <v>233</v>
      </c>
      <c r="C92">
        <v>253</v>
      </c>
      <c r="D92">
        <v>292</v>
      </c>
      <c r="E92" s="4">
        <f t="shared" si="3"/>
        <v>1</v>
      </c>
      <c r="F92" s="4">
        <f t="shared" si="4"/>
        <v>20</v>
      </c>
      <c r="G92" s="4">
        <f t="shared" si="5"/>
        <v>400</v>
      </c>
      <c r="H92" s="5">
        <f>SQRT(SUM('p-pi-6'!$C$3:C92)/COUNTIF($A$3:A92,"&lt;&gt;0"))</f>
        <v>13.811428440083798</v>
      </c>
    </row>
    <row r="93" spans="1:8">
      <c r="A93">
        <v>91</v>
      </c>
      <c r="B93">
        <v>233</v>
      </c>
      <c r="C93">
        <v>188</v>
      </c>
      <c r="D93">
        <v>276</v>
      </c>
      <c r="E93" s="4">
        <f t="shared" si="3"/>
        <v>1</v>
      </c>
      <c r="F93" s="4">
        <f t="shared" si="4"/>
        <v>45</v>
      </c>
      <c r="G93" s="4">
        <f t="shared" si="5"/>
        <v>2025</v>
      </c>
      <c r="H93" s="5">
        <f>SQRT(SUM('p-pi-6'!$C$3:C93)/COUNTIF($A$3:A93,"&lt;&gt;0"))</f>
        <v>13.810332172879649</v>
      </c>
    </row>
    <row r="94" spans="1:8">
      <c r="A94">
        <v>92</v>
      </c>
      <c r="B94">
        <v>233</v>
      </c>
      <c r="C94">
        <v>214</v>
      </c>
      <c r="D94">
        <v>299</v>
      </c>
      <c r="E94" s="4">
        <f t="shared" si="3"/>
        <v>1</v>
      </c>
      <c r="F94" s="4">
        <f t="shared" si="4"/>
        <v>19</v>
      </c>
      <c r="G94" s="4">
        <f t="shared" si="5"/>
        <v>361</v>
      </c>
      <c r="H94" s="5">
        <f>SQRT(SUM('p-pi-6'!$C$3:C94)/COUNTIF($A$3:A94,"&lt;&gt;0"))</f>
        <v>13.819488444568606</v>
      </c>
    </row>
    <row r="95" spans="1:8">
      <c r="A95">
        <v>93</v>
      </c>
      <c r="B95">
        <v>233</v>
      </c>
      <c r="C95">
        <v>196</v>
      </c>
      <c r="D95">
        <v>292</v>
      </c>
      <c r="E95" s="4">
        <f t="shared" si="3"/>
        <v>1</v>
      </c>
      <c r="F95" s="4">
        <f t="shared" si="4"/>
        <v>37</v>
      </c>
      <c r="G95" s="4">
        <f t="shared" si="5"/>
        <v>1369</v>
      </c>
      <c r="H95" s="5">
        <f>SQRT(SUM('p-pi-6'!$C$3:C95)/COUNTIF($A$3:A95,"&lt;&gt;0"))</f>
        <v>13.821441967628274</v>
      </c>
    </row>
    <row r="96" spans="1:8">
      <c r="A96">
        <v>94</v>
      </c>
      <c r="B96">
        <v>233</v>
      </c>
      <c r="C96">
        <v>198</v>
      </c>
      <c r="D96">
        <v>301</v>
      </c>
      <c r="E96" s="4">
        <f t="shared" si="3"/>
        <v>1</v>
      </c>
      <c r="F96" s="4">
        <f t="shared" si="4"/>
        <v>35</v>
      </c>
      <c r="G96" s="4">
        <f t="shared" si="5"/>
        <v>1225</v>
      </c>
      <c r="H96" s="5">
        <f>SQRT(SUM('p-pi-6'!$C$3:C96)/COUNTIF($A$3:A96,"&lt;&gt;0"))</f>
        <v>13.824123226401138</v>
      </c>
    </row>
    <row r="97" spans="1:8">
      <c r="A97">
        <v>95</v>
      </c>
      <c r="B97">
        <v>233</v>
      </c>
      <c r="C97">
        <v>261</v>
      </c>
      <c r="D97">
        <v>303</v>
      </c>
      <c r="E97" s="4">
        <f t="shared" si="3"/>
        <v>1</v>
      </c>
      <c r="F97" s="4">
        <f t="shared" si="4"/>
        <v>28</v>
      </c>
      <c r="G97" s="4">
        <f t="shared" si="5"/>
        <v>784</v>
      </c>
      <c r="H97" s="5">
        <f>SQRT(SUM('p-pi-6'!$C$3:C97)/COUNTIF($A$3:A97,"&lt;&gt;0"))</f>
        <v>13.85070775314958</v>
      </c>
    </row>
    <row r="98" spans="1:8">
      <c r="A98">
        <v>96</v>
      </c>
      <c r="B98">
        <v>233</v>
      </c>
      <c r="C98">
        <v>285</v>
      </c>
      <c r="D98">
        <v>282</v>
      </c>
      <c r="E98" s="4">
        <f t="shared" si="3"/>
        <v>0</v>
      </c>
      <c r="F98" s="4">
        <f t="shared" si="4"/>
        <v>52</v>
      </c>
      <c r="G98" s="4">
        <f t="shared" si="5"/>
        <v>2704</v>
      </c>
      <c r="H98" s="5">
        <f>SQRT(SUM('p-pi-6'!$C$3:C98)/COUNTIF($A$3:A98,"&lt;&gt;0"))</f>
        <v>13.885694076998815</v>
      </c>
    </row>
    <row r="99" spans="1:8">
      <c r="A99">
        <v>97</v>
      </c>
      <c r="B99">
        <v>233</v>
      </c>
      <c r="C99">
        <v>242</v>
      </c>
      <c r="D99">
        <v>270</v>
      </c>
      <c r="E99" s="4">
        <f t="shared" si="3"/>
        <v>1</v>
      </c>
      <c r="F99" s="4">
        <f t="shared" si="4"/>
        <v>9</v>
      </c>
      <c r="G99" s="4">
        <f t="shared" si="5"/>
        <v>81</v>
      </c>
      <c r="H99" s="5">
        <f>SQRT(SUM('p-pi-6'!$C$3:C99)/COUNTIF($A$3:A99,"&lt;&gt;0"))</f>
        <v>13.903941442226587</v>
      </c>
    </row>
    <row r="100" spans="1:8">
      <c r="A100">
        <v>98</v>
      </c>
      <c r="B100">
        <v>233</v>
      </c>
      <c r="C100">
        <v>207</v>
      </c>
      <c r="D100">
        <v>283</v>
      </c>
      <c r="E100" s="4">
        <f t="shared" si="3"/>
        <v>1</v>
      </c>
      <c r="F100" s="4">
        <f t="shared" si="4"/>
        <v>26</v>
      </c>
      <c r="G100" s="4">
        <f t="shared" si="5"/>
        <v>676</v>
      </c>
      <c r="H100" s="5">
        <f>SQRT(SUM('p-pi-6'!$C$3:C100)/COUNTIF($A$3:A100,"&lt;&gt;0"))</f>
        <v>13.908960553307692</v>
      </c>
    </row>
    <row r="101" spans="1:8">
      <c r="A101">
        <v>99</v>
      </c>
      <c r="B101">
        <v>233</v>
      </c>
      <c r="C101">
        <v>273</v>
      </c>
      <c r="D101">
        <v>295</v>
      </c>
      <c r="E101" s="4">
        <f t="shared" si="3"/>
        <v>1</v>
      </c>
      <c r="F101" s="4">
        <f t="shared" si="4"/>
        <v>40</v>
      </c>
      <c r="G101" s="4">
        <f t="shared" si="5"/>
        <v>1600</v>
      </c>
      <c r="H101" s="5">
        <f>SQRT(SUM('p-pi-6'!$C$3:C101)/COUNTIF($A$3:A101,"&lt;&gt;0"))</f>
        <v>13.937812822054481</v>
      </c>
    </row>
    <row r="102" spans="1:8">
      <c r="A102">
        <v>100</v>
      </c>
      <c r="B102">
        <v>233</v>
      </c>
      <c r="C102">
        <v>207</v>
      </c>
      <c r="D102">
        <v>272</v>
      </c>
      <c r="E102" s="4">
        <f t="shared" si="3"/>
        <v>1</v>
      </c>
      <c r="F102" s="4">
        <f t="shared" si="4"/>
        <v>26</v>
      </c>
      <c r="G102" s="4">
        <f t="shared" si="5"/>
        <v>676</v>
      </c>
      <c r="H102" s="5">
        <f>SQRT(SUM('p-pi-6'!$C$3:C102)/COUNTIF($A$3:A102,"&lt;&gt;0"))</f>
        <v>13.942381432165741</v>
      </c>
    </row>
    <row r="103" spans="1:8">
      <c r="A103">
        <v>101</v>
      </c>
      <c r="B103">
        <v>233</v>
      </c>
      <c r="C103">
        <v>275</v>
      </c>
      <c r="D103">
        <v>294</v>
      </c>
      <c r="E103" s="4">
        <f t="shared" si="3"/>
        <v>1</v>
      </c>
      <c r="F103" s="4">
        <f t="shared" si="4"/>
        <v>42</v>
      </c>
      <c r="G103" s="4">
        <f t="shared" si="5"/>
        <v>1764</v>
      </c>
      <c r="H103" s="5">
        <f>SQRT(SUM('p-pi-6'!$C$3:C103)/COUNTIF($A$3:A103,"&lt;&gt;0"))</f>
        <v>13.970974154005196</v>
      </c>
    </row>
    <row r="104" spans="1:8">
      <c r="A104">
        <v>102</v>
      </c>
      <c r="B104">
        <v>233</v>
      </c>
      <c r="C104">
        <v>246</v>
      </c>
      <c r="D104">
        <v>270</v>
      </c>
      <c r="E104" s="4">
        <f t="shared" si="3"/>
        <v>1</v>
      </c>
      <c r="F104" s="4">
        <f t="shared" si="4"/>
        <v>13</v>
      </c>
      <c r="G104" s="4">
        <f t="shared" si="5"/>
        <v>169</v>
      </c>
      <c r="H104" s="5">
        <f>SQRT(SUM('p-pi-6'!$C$3:C104)/COUNTIF($A$3:A104,"&lt;&gt;0"))</f>
        <v>13.988791031029233</v>
      </c>
    </row>
    <row r="105" spans="1:8">
      <c r="A105">
        <v>103</v>
      </c>
      <c r="B105">
        <v>233</v>
      </c>
      <c r="C105">
        <v>205</v>
      </c>
      <c r="D105">
        <v>278</v>
      </c>
      <c r="E105" s="4">
        <f t="shared" si="3"/>
        <v>1</v>
      </c>
      <c r="F105" s="4">
        <f t="shared" si="4"/>
        <v>28</v>
      </c>
      <c r="G105" s="4">
        <f t="shared" si="5"/>
        <v>784</v>
      </c>
      <c r="H105" s="5">
        <f>SQRT(SUM('p-pi-6'!$C$3:C105)/COUNTIF($A$3:A105,"&lt;&gt;0"))</f>
        <v>13.992022692560436</v>
      </c>
    </row>
    <row r="106" spans="1:8">
      <c r="A106">
        <v>104</v>
      </c>
      <c r="B106">
        <v>233</v>
      </c>
      <c r="C106">
        <v>192</v>
      </c>
      <c r="D106">
        <v>293</v>
      </c>
      <c r="E106" s="4">
        <f t="shared" si="3"/>
        <v>1</v>
      </c>
      <c r="F106" s="4">
        <f t="shared" si="4"/>
        <v>41</v>
      </c>
      <c r="G106" s="4">
        <f t="shared" si="5"/>
        <v>1681</v>
      </c>
      <c r="H106" s="5">
        <f>SQRT(SUM('p-pi-6'!$C$3:C106)/COUNTIF($A$3:A106,"&lt;&gt;0"))</f>
        <v>13.990724949600882</v>
      </c>
    </row>
    <row r="107" spans="1:8">
      <c r="A107">
        <v>105</v>
      </c>
      <c r="B107">
        <v>233</v>
      </c>
      <c r="C107">
        <v>218</v>
      </c>
      <c r="D107">
        <v>299</v>
      </c>
      <c r="E107" s="4">
        <f t="shared" si="3"/>
        <v>1</v>
      </c>
      <c r="F107" s="4">
        <f t="shared" si="4"/>
        <v>15</v>
      </c>
      <c r="G107" s="4">
        <f t="shared" si="5"/>
        <v>225</v>
      </c>
      <c r="H107" s="5">
        <f>SQRT(SUM('p-pi-6'!$C$3:C107)/COUNTIF($A$3:A107,"&lt;&gt;0"))</f>
        <v>13.998299216418435</v>
      </c>
    </row>
    <row r="108" spans="1:8">
      <c r="A108">
        <v>106</v>
      </c>
      <c r="B108">
        <v>233</v>
      </c>
      <c r="C108">
        <v>255</v>
      </c>
      <c r="D108">
        <v>293</v>
      </c>
      <c r="E108" s="4">
        <f t="shared" si="3"/>
        <v>1</v>
      </c>
      <c r="F108" s="4">
        <f t="shared" si="4"/>
        <v>22</v>
      </c>
      <c r="G108" s="4">
        <f t="shared" si="5"/>
        <v>484</v>
      </c>
      <c r="H108" s="5">
        <f>SQRT(SUM('p-pi-6'!$C$3:C108)/COUNTIF($A$3:A108,"&lt;&gt;0"))</f>
        <v>14.018182263127562</v>
      </c>
    </row>
    <row r="109" spans="1:8">
      <c r="A109">
        <v>107</v>
      </c>
      <c r="B109">
        <v>233</v>
      </c>
      <c r="C109">
        <v>268</v>
      </c>
      <c r="D109">
        <v>280</v>
      </c>
      <c r="E109" s="4">
        <f t="shared" si="3"/>
        <v>1</v>
      </c>
      <c r="F109" s="4">
        <f t="shared" si="4"/>
        <v>35</v>
      </c>
      <c r="G109" s="4">
        <f t="shared" si="5"/>
        <v>1225</v>
      </c>
      <c r="H109" s="5">
        <f>SQRT(SUM('p-pi-6'!$C$3:C109)/COUNTIF($A$3:A109,"&lt;&gt;0"))</f>
        <v>14.041993095478217</v>
      </c>
    </row>
    <row r="110" spans="1:8">
      <c r="A110">
        <v>108</v>
      </c>
      <c r="B110">
        <v>233</v>
      </c>
      <c r="C110">
        <v>205</v>
      </c>
      <c r="D110">
        <v>273</v>
      </c>
      <c r="E110" s="4">
        <f t="shared" si="3"/>
        <v>1</v>
      </c>
      <c r="F110" s="4">
        <f t="shared" si="4"/>
        <v>28</v>
      </c>
      <c r="G110" s="4">
        <f t="shared" si="5"/>
        <v>784</v>
      </c>
      <c r="H110" s="5">
        <f>SQRT(SUM('p-pi-6'!$C$3:C110)/COUNTIF($A$3:A110,"&lt;&gt;0"))</f>
        <v>14.044571905188139</v>
      </c>
    </row>
    <row r="111" spans="1:8">
      <c r="A111">
        <v>109</v>
      </c>
      <c r="B111">
        <v>233</v>
      </c>
      <c r="C111">
        <v>212</v>
      </c>
      <c r="D111">
        <v>294</v>
      </c>
      <c r="E111" s="4">
        <f t="shared" si="3"/>
        <v>1</v>
      </c>
      <c r="F111" s="4">
        <f t="shared" si="4"/>
        <v>21</v>
      </c>
      <c r="G111" s="4">
        <f t="shared" si="5"/>
        <v>441</v>
      </c>
      <c r="H111" s="5">
        <f>SQRT(SUM('p-pi-6'!$C$3:C111)/COUNTIF($A$3:A111,"&lt;&gt;0"))</f>
        <v>14.049388637977007</v>
      </c>
    </row>
    <row r="112" spans="1:8">
      <c r="A112">
        <v>110</v>
      </c>
      <c r="B112">
        <v>233</v>
      </c>
      <c r="C112">
        <v>196</v>
      </c>
      <c r="D112">
        <v>294</v>
      </c>
      <c r="E112" s="4">
        <f t="shared" si="3"/>
        <v>1</v>
      </c>
      <c r="F112" s="4">
        <f t="shared" si="4"/>
        <v>37</v>
      </c>
      <c r="G112" s="4">
        <f t="shared" si="5"/>
        <v>1369</v>
      </c>
      <c r="H112" s="5">
        <f>SQRT(SUM('p-pi-6'!$C$3:C112)/COUNTIF($A$3:A112,"&lt;&gt;0"))</f>
        <v>14.048940432385898</v>
      </c>
    </row>
    <row r="113" spans="1:8">
      <c r="A113">
        <v>111</v>
      </c>
      <c r="B113">
        <v>233</v>
      </c>
      <c r="C113">
        <v>199</v>
      </c>
      <c r="D113">
        <v>301</v>
      </c>
      <c r="E113" s="4">
        <f t="shared" si="3"/>
        <v>1</v>
      </c>
      <c r="F113" s="4">
        <f t="shared" si="4"/>
        <v>34</v>
      </c>
      <c r="G113" s="4">
        <f t="shared" si="5"/>
        <v>1156</v>
      </c>
      <c r="H113" s="5">
        <f>SQRT(SUM('p-pi-6'!$C$3:C113)/COUNTIF($A$3:A113,"&lt;&gt;0"))</f>
        <v>14.049462174310708</v>
      </c>
    </row>
    <row r="114" spans="1:8">
      <c r="A114">
        <v>112</v>
      </c>
      <c r="B114">
        <v>233</v>
      </c>
      <c r="C114">
        <v>244</v>
      </c>
      <c r="D114">
        <v>303</v>
      </c>
      <c r="E114" s="4">
        <f t="shared" si="3"/>
        <v>1</v>
      </c>
      <c r="F114" s="4">
        <f t="shared" si="4"/>
        <v>11</v>
      </c>
      <c r="G114" s="4">
        <f t="shared" si="5"/>
        <v>121</v>
      </c>
      <c r="H114" s="5">
        <f>SQRT(SUM('p-pi-6'!$C$3:C114)/COUNTIF($A$3:A114,"&lt;&gt;0"))</f>
        <v>14.064265762156637</v>
      </c>
    </row>
    <row r="115" spans="1:8">
      <c r="A115">
        <v>113</v>
      </c>
      <c r="B115">
        <v>233</v>
      </c>
      <c r="C115">
        <v>153</v>
      </c>
      <c r="D115">
        <v>289</v>
      </c>
      <c r="E115" s="4">
        <f t="shared" si="3"/>
        <v>0</v>
      </c>
      <c r="F115" s="4">
        <f t="shared" si="4"/>
        <v>80</v>
      </c>
      <c r="G115" s="4">
        <f t="shared" si="5"/>
        <v>6400</v>
      </c>
      <c r="H115" s="5">
        <f>SQRT(SUM('p-pi-6'!$C$3:C115)/COUNTIF($A$3:A115,"&lt;&gt;0"))</f>
        <v>14.050162975781374</v>
      </c>
    </row>
    <row r="116" spans="1:8">
      <c r="A116">
        <v>114</v>
      </c>
      <c r="B116">
        <v>233</v>
      </c>
      <c r="C116">
        <v>269</v>
      </c>
      <c r="D116">
        <v>322</v>
      </c>
      <c r="E116" s="4">
        <f t="shared" si="3"/>
        <v>1</v>
      </c>
      <c r="F116" s="4">
        <f t="shared" si="4"/>
        <v>36</v>
      </c>
      <c r="G116" s="4">
        <f t="shared" si="5"/>
        <v>1296</v>
      </c>
      <c r="H116" s="5">
        <f>SQRT(SUM('p-pi-6'!$C$3:C116)/COUNTIF($A$3:A116,"&lt;&gt;0"))</f>
        <v>14.072494012054092</v>
      </c>
    </row>
    <row r="117" spans="1:8">
      <c r="A117">
        <v>115</v>
      </c>
      <c r="B117">
        <v>233</v>
      </c>
      <c r="C117">
        <v>136</v>
      </c>
      <c r="D117">
        <v>285</v>
      </c>
      <c r="E117" s="4">
        <f t="shared" si="3"/>
        <v>0</v>
      </c>
      <c r="F117" s="4">
        <f t="shared" si="4"/>
        <v>97</v>
      </c>
      <c r="G117" s="4">
        <f t="shared" si="5"/>
        <v>9409</v>
      </c>
      <c r="H117" s="5">
        <f>SQRT(SUM('p-pi-6'!$C$3:C117)/COUNTIF($A$3:A117,"&lt;&gt;0"))</f>
        <v>14.053314632993636</v>
      </c>
    </row>
    <row r="118" spans="1:8">
      <c r="A118">
        <v>116</v>
      </c>
      <c r="B118">
        <v>233</v>
      </c>
      <c r="C118">
        <v>269</v>
      </c>
      <c r="D118">
        <v>332</v>
      </c>
      <c r="E118" s="4">
        <f t="shared" si="3"/>
        <v>1</v>
      </c>
      <c r="F118" s="4">
        <f t="shared" si="4"/>
        <v>36</v>
      </c>
      <c r="G118" s="4">
        <f t="shared" si="5"/>
        <v>1296</v>
      </c>
      <c r="H118" s="5">
        <f>SQRT(SUM('p-pi-6'!$C$3:C118)/COUNTIF($A$3:A118,"&lt;&gt;0"))</f>
        <v>14.075228913432181</v>
      </c>
    </row>
    <row r="119" spans="1:8">
      <c r="A119">
        <v>117</v>
      </c>
      <c r="B119">
        <v>233</v>
      </c>
      <c r="C119">
        <v>233</v>
      </c>
      <c r="D119">
        <v>289</v>
      </c>
      <c r="E119" s="4">
        <f t="shared" si="3"/>
        <v>1</v>
      </c>
      <c r="F119" s="4">
        <f t="shared" si="4"/>
        <v>0</v>
      </c>
      <c r="G119" s="4">
        <f t="shared" si="5"/>
        <v>0</v>
      </c>
      <c r="H119" s="5">
        <f>SQRT(SUM('p-pi-6'!$C$3:C119)/COUNTIF($A$3:A119,"&lt;&gt;0"))</f>
        <v>14.085817562720894</v>
      </c>
    </row>
    <row r="120" spans="1:8">
      <c r="A120">
        <v>118</v>
      </c>
      <c r="B120">
        <v>233</v>
      </c>
      <c r="C120">
        <v>220</v>
      </c>
      <c r="D120">
        <v>300</v>
      </c>
      <c r="E120" s="4">
        <f t="shared" si="3"/>
        <v>1</v>
      </c>
      <c r="F120" s="4">
        <f t="shared" si="4"/>
        <v>13</v>
      </c>
      <c r="G120" s="4">
        <f t="shared" si="5"/>
        <v>169</v>
      </c>
      <c r="H120" s="5">
        <f>SQRT(SUM('p-pi-6'!$C$3:C120)/COUNTIF($A$3:A120,"&lt;&gt;0"))</f>
        <v>14.092310681324872</v>
      </c>
    </row>
    <row r="121" spans="1:8">
      <c r="A121">
        <v>119</v>
      </c>
      <c r="B121">
        <v>233</v>
      </c>
      <c r="C121">
        <v>283</v>
      </c>
      <c r="D121">
        <v>305</v>
      </c>
      <c r="E121" s="4">
        <f t="shared" si="3"/>
        <v>0</v>
      </c>
      <c r="F121" s="4">
        <f t="shared" si="4"/>
        <v>50</v>
      </c>
      <c r="G121" s="4">
        <f t="shared" si="5"/>
        <v>2500</v>
      </c>
      <c r="H121" s="5">
        <f>SQRT(SUM('p-pi-6'!$C$3:C121)/COUNTIF($A$3:A121,"&lt;&gt;0"))</f>
        <v>14.117454480479241</v>
      </c>
    </row>
    <row r="122" spans="1:8">
      <c r="A122">
        <v>120</v>
      </c>
      <c r="B122">
        <v>233</v>
      </c>
      <c r="C122">
        <v>249</v>
      </c>
      <c r="D122">
        <v>282</v>
      </c>
      <c r="E122" s="4">
        <f t="shared" si="3"/>
        <v>1</v>
      </c>
      <c r="F122" s="4">
        <f t="shared" si="4"/>
        <v>16</v>
      </c>
      <c r="G122" s="4">
        <f t="shared" si="5"/>
        <v>256</v>
      </c>
      <c r="H122" s="5">
        <f>SQRT(SUM('p-pi-6'!$C$3:C122)/COUNTIF($A$3:A122,"&lt;&gt;0"))</f>
        <v>14.132114727338816</v>
      </c>
    </row>
    <row r="123" spans="1:8">
      <c r="A123">
        <v>121</v>
      </c>
      <c r="B123">
        <v>233</v>
      </c>
      <c r="C123">
        <v>192</v>
      </c>
      <c r="D123">
        <v>291</v>
      </c>
      <c r="E123" s="4">
        <f t="shared" si="3"/>
        <v>1</v>
      </c>
      <c r="F123" s="4">
        <f t="shared" si="4"/>
        <v>41</v>
      </c>
      <c r="G123" s="4">
        <f t="shared" si="5"/>
        <v>1681</v>
      </c>
      <c r="H123" s="5">
        <f>SQRT(SUM('p-pi-6'!$C$3:C123)/COUNTIF($A$3:A123,"&lt;&gt;0"))</f>
        <v>14.129858193272268</v>
      </c>
    </row>
    <row r="124" spans="1:8">
      <c r="A124">
        <v>122</v>
      </c>
      <c r="B124">
        <v>233</v>
      </c>
      <c r="C124">
        <v>222</v>
      </c>
      <c r="D124">
        <v>311</v>
      </c>
      <c r="E124" s="4">
        <f t="shared" si="3"/>
        <v>1</v>
      </c>
      <c r="F124" s="4">
        <f t="shared" si="4"/>
        <v>11</v>
      </c>
      <c r="G124" s="4">
        <f t="shared" si="5"/>
        <v>121</v>
      </c>
      <c r="H124" s="5">
        <f>SQRT(SUM('p-pi-6'!$C$3:C124)/COUNTIF($A$3:A124,"&lt;&gt;0"))</f>
        <v>14.136338478324948</v>
      </c>
    </row>
    <row r="125" spans="1:8">
      <c r="A125">
        <v>123</v>
      </c>
      <c r="B125">
        <v>233</v>
      </c>
      <c r="C125">
        <v>241</v>
      </c>
      <c r="D125">
        <v>303</v>
      </c>
      <c r="E125" s="4">
        <f t="shared" si="3"/>
        <v>1</v>
      </c>
      <c r="F125" s="4">
        <f t="shared" si="4"/>
        <v>8</v>
      </c>
      <c r="G125" s="4">
        <f t="shared" si="5"/>
        <v>64</v>
      </c>
      <c r="H125" s="5">
        <f>SQRT(SUM('p-pi-6'!$C$3:C125)/COUNTIF($A$3:A125,"&lt;&gt;0"))</f>
        <v>14.148170613450951</v>
      </c>
    </row>
    <row r="126" spans="1:8">
      <c r="A126">
        <v>124</v>
      </c>
      <c r="B126">
        <v>233</v>
      </c>
      <c r="C126">
        <v>276</v>
      </c>
      <c r="D126">
        <v>296</v>
      </c>
      <c r="E126" s="4">
        <f t="shared" si="3"/>
        <v>1</v>
      </c>
      <c r="F126" s="4">
        <f t="shared" si="4"/>
        <v>43</v>
      </c>
      <c r="G126" s="4">
        <f t="shared" si="5"/>
        <v>1849</v>
      </c>
      <c r="H126" s="5">
        <f>SQRT(SUM('p-pi-6'!$C$3:C126)/COUNTIF($A$3:A126,"&lt;&gt;0"))</f>
        <v>14.169765631954402</v>
      </c>
    </row>
    <row r="127" spans="1:8">
      <c r="A127">
        <v>125</v>
      </c>
      <c r="B127">
        <v>233</v>
      </c>
      <c r="C127">
        <v>266</v>
      </c>
      <c r="D127">
        <v>283</v>
      </c>
      <c r="E127" s="4">
        <f t="shared" si="3"/>
        <v>1</v>
      </c>
      <c r="F127" s="4">
        <f t="shared" si="4"/>
        <v>33</v>
      </c>
      <c r="G127" s="4">
        <f t="shared" si="5"/>
        <v>1089</v>
      </c>
      <c r="H127" s="5">
        <f>SQRT(SUM('p-pi-6'!$C$3:C127)/COUNTIF($A$3:A127,"&lt;&gt;0"))</f>
        <v>14.188164081374305</v>
      </c>
    </row>
    <row r="128" spans="1:8">
      <c r="A128">
        <v>126</v>
      </c>
      <c r="B128">
        <v>233</v>
      </c>
      <c r="C128">
        <v>189</v>
      </c>
      <c r="D128">
        <v>283</v>
      </c>
      <c r="E128" s="4">
        <f t="shared" si="3"/>
        <v>1</v>
      </c>
      <c r="F128" s="4">
        <f t="shared" si="4"/>
        <v>44</v>
      </c>
      <c r="G128" s="4">
        <f t="shared" si="5"/>
        <v>1936</v>
      </c>
      <c r="H128" s="5">
        <f>SQRT(SUM('p-pi-6'!$C$3:C128)/COUNTIF($A$3:A128,"&lt;&gt;0"))</f>
        <v>14.184722387355674</v>
      </c>
    </row>
    <row r="129" spans="1:8">
      <c r="A129">
        <v>127</v>
      </c>
      <c r="B129">
        <v>233</v>
      </c>
      <c r="C129">
        <v>220</v>
      </c>
      <c r="D129">
        <v>309</v>
      </c>
      <c r="E129" s="4">
        <f t="shared" si="3"/>
        <v>1</v>
      </c>
      <c r="F129" s="4">
        <f t="shared" si="4"/>
        <v>13</v>
      </c>
      <c r="G129" s="4">
        <f t="shared" si="5"/>
        <v>169</v>
      </c>
      <c r="H129" s="5">
        <f>SQRT(SUM('p-pi-6'!$C$3:C129)/COUNTIF($A$3:A129,"&lt;&gt;0"))</f>
        <v>14.189937656968809</v>
      </c>
    </row>
    <row r="130" spans="1:8">
      <c r="A130">
        <v>128</v>
      </c>
      <c r="B130">
        <v>233</v>
      </c>
      <c r="C130">
        <v>260</v>
      </c>
      <c r="D130">
        <v>301</v>
      </c>
      <c r="E130" s="4">
        <f t="shared" si="3"/>
        <v>1</v>
      </c>
      <c r="F130" s="4">
        <f t="shared" si="4"/>
        <v>27</v>
      </c>
      <c r="G130" s="4">
        <f t="shared" si="5"/>
        <v>729</v>
      </c>
      <c r="H130" s="5">
        <f>SQRT(SUM('p-pi-6'!$C$3:C130)/COUNTIF($A$3:A130,"&lt;&gt;0"))</f>
        <v>14.206072645175372</v>
      </c>
    </row>
    <row r="131" spans="1:8">
      <c r="A131">
        <v>129</v>
      </c>
      <c r="B131">
        <v>233</v>
      </c>
      <c r="C131">
        <v>272</v>
      </c>
      <c r="D131">
        <v>287</v>
      </c>
      <c r="E131" s="4">
        <f t="shared" si="3"/>
        <v>1</v>
      </c>
      <c r="F131" s="4">
        <f t="shared" si="4"/>
        <v>39</v>
      </c>
      <c r="G131" s="4">
        <f t="shared" si="5"/>
        <v>1521</v>
      </c>
      <c r="H131" s="5">
        <f>SQRT(SUM('p-pi-6'!$C$3:C131)/COUNTIF($A$3:A131,"&lt;&gt;0"))</f>
        <v>14.225209634563802</v>
      </c>
    </row>
    <row r="132" spans="1:8">
      <c r="A132">
        <v>130</v>
      </c>
      <c r="B132">
        <v>233</v>
      </c>
      <c r="C132">
        <v>248</v>
      </c>
      <c r="D132">
        <v>281</v>
      </c>
      <c r="E132" s="4">
        <f t="shared" ref="E132:E152" si="6">IF(AND(C132&lt;=B132*1.2,C132&gt;=B132*0.8),1,0)</f>
        <v>1</v>
      </c>
      <c r="F132" s="4">
        <f t="shared" ref="F132:F152" si="7">ABS(B132-C132)</f>
        <v>15</v>
      </c>
      <c r="G132" s="4">
        <f t="shared" ref="G132:G152" si="8">POWER(F132,2)</f>
        <v>225</v>
      </c>
      <c r="H132" s="5">
        <f>SQRT(SUM('p-pi-6'!$C$3:C132)/COUNTIF($A$3:A132,"&lt;&gt;0"))</f>
        <v>14.237545164377611</v>
      </c>
    </row>
    <row r="133" spans="1:8">
      <c r="A133">
        <v>131</v>
      </c>
      <c r="B133">
        <v>233</v>
      </c>
      <c r="C133">
        <v>211</v>
      </c>
      <c r="D133">
        <v>287</v>
      </c>
      <c r="E133" s="4">
        <f t="shared" si="6"/>
        <v>1</v>
      </c>
      <c r="F133" s="4">
        <f t="shared" si="7"/>
        <v>22</v>
      </c>
      <c r="G133" s="4">
        <f t="shared" si="8"/>
        <v>484</v>
      </c>
      <c r="H133" s="5">
        <f>SQRT(SUM('p-pi-6'!$C$3:C133)/COUNTIF($A$3:A133,"&lt;&gt;0"))</f>
        <v>14.239767988503612</v>
      </c>
    </row>
    <row r="134" spans="1:8">
      <c r="A134">
        <v>132</v>
      </c>
      <c r="B134">
        <v>233</v>
      </c>
      <c r="C134">
        <v>197</v>
      </c>
      <c r="D134">
        <v>299</v>
      </c>
      <c r="E134" s="4">
        <f t="shared" si="6"/>
        <v>1</v>
      </c>
      <c r="F134" s="4">
        <f t="shared" si="7"/>
        <v>36</v>
      </c>
      <c r="G134" s="4">
        <f t="shared" si="8"/>
        <v>1296</v>
      </c>
      <c r="H134" s="5">
        <f>SQRT(SUM('p-pi-6'!$C$3:C134)/COUNTIF($A$3:A134,"&lt;&gt;0"))</f>
        <v>14.238232781046696</v>
      </c>
    </row>
    <row r="135" spans="1:8">
      <c r="A135">
        <v>133</v>
      </c>
      <c r="B135">
        <v>233</v>
      </c>
      <c r="C135">
        <v>202</v>
      </c>
      <c r="D135">
        <v>306</v>
      </c>
      <c r="E135" s="4">
        <f t="shared" si="6"/>
        <v>1</v>
      </c>
      <c r="F135" s="4">
        <f t="shared" si="7"/>
        <v>31</v>
      </c>
      <c r="G135" s="4">
        <f t="shared" si="8"/>
        <v>961</v>
      </c>
      <c r="H135" s="5">
        <f>SQRT(SUM('p-pi-6'!$C$3:C135)/COUNTIF($A$3:A135,"&lt;&gt;0"))</f>
        <v>14.238040753954815</v>
      </c>
    </row>
    <row r="136" spans="1:8">
      <c r="A136">
        <v>134</v>
      </c>
      <c r="B136">
        <v>233</v>
      </c>
      <c r="C136">
        <v>265</v>
      </c>
      <c r="D136">
        <v>307</v>
      </c>
      <c r="E136" s="4">
        <f t="shared" si="6"/>
        <v>1</v>
      </c>
      <c r="F136" s="4">
        <f t="shared" si="7"/>
        <v>32</v>
      </c>
      <c r="G136" s="4">
        <f t="shared" si="8"/>
        <v>1024</v>
      </c>
      <c r="H136" s="5">
        <f>SQRT(SUM('p-pi-6'!$C$3:C136)/COUNTIF($A$3:A136,"&lt;&gt;0"))</f>
        <v>14.254352569098995</v>
      </c>
    </row>
    <row r="137" spans="1:8">
      <c r="A137">
        <v>135</v>
      </c>
      <c r="B137">
        <v>233</v>
      </c>
      <c r="C137">
        <v>271</v>
      </c>
      <c r="D137">
        <v>286</v>
      </c>
      <c r="E137" s="4">
        <f t="shared" si="6"/>
        <v>1</v>
      </c>
      <c r="F137" s="4">
        <f t="shared" si="7"/>
        <v>38</v>
      </c>
      <c r="G137" s="4">
        <f t="shared" si="8"/>
        <v>1444</v>
      </c>
      <c r="H137" s="5">
        <f>SQRT(SUM('p-pi-6'!$C$3:C137)/COUNTIF($A$3:A137,"&lt;&gt;0"))</f>
        <v>14.271961634228454</v>
      </c>
    </row>
    <row r="138" spans="1:8">
      <c r="A138">
        <v>136</v>
      </c>
      <c r="B138">
        <v>233</v>
      </c>
      <c r="C138">
        <v>265</v>
      </c>
      <c r="D138">
        <v>281</v>
      </c>
      <c r="E138" s="4">
        <f t="shared" si="6"/>
        <v>1</v>
      </c>
      <c r="F138" s="4">
        <f t="shared" si="7"/>
        <v>32</v>
      </c>
      <c r="G138" s="4">
        <f t="shared" si="8"/>
        <v>1024</v>
      </c>
      <c r="H138" s="5">
        <f>SQRT(SUM('p-pi-6'!$C$3:C138)/COUNTIF($A$3:A138,"&lt;&gt;0"))</f>
        <v>14.287746704164128</v>
      </c>
    </row>
    <row r="139" spans="1:8">
      <c r="A139">
        <v>137</v>
      </c>
      <c r="B139">
        <v>233</v>
      </c>
      <c r="C139">
        <v>188</v>
      </c>
      <c r="D139">
        <v>280</v>
      </c>
      <c r="E139" s="4">
        <f t="shared" si="6"/>
        <v>1</v>
      </c>
      <c r="F139" s="4">
        <f t="shared" si="7"/>
        <v>45</v>
      </c>
      <c r="G139" s="4">
        <f t="shared" si="8"/>
        <v>2025</v>
      </c>
      <c r="H139" s="5">
        <f>SQRT(SUM('p-pi-6'!$C$3:C139)/COUNTIF($A$3:A139,"&lt;&gt;0"))</f>
        <v>14.283623413203632</v>
      </c>
    </row>
    <row r="140" spans="1:8">
      <c r="A140">
        <v>138</v>
      </c>
      <c r="B140">
        <v>233</v>
      </c>
      <c r="C140">
        <v>280</v>
      </c>
      <c r="D140">
        <v>307</v>
      </c>
      <c r="E140" s="4">
        <f t="shared" si="6"/>
        <v>0</v>
      </c>
      <c r="F140" s="4">
        <f t="shared" si="7"/>
        <v>47</v>
      </c>
      <c r="G140" s="4">
        <f t="shared" si="8"/>
        <v>2209</v>
      </c>
      <c r="H140" s="5">
        <f>SQRT(SUM('p-pi-6'!$C$3:C140)/COUNTIF($A$3:A140,"&lt;&gt;0"))</f>
        <v>14.302883057905351</v>
      </c>
    </row>
    <row r="141" spans="1:8">
      <c r="A141">
        <v>139</v>
      </c>
      <c r="B141">
        <v>233</v>
      </c>
      <c r="C141">
        <v>265</v>
      </c>
      <c r="D141">
        <v>276</v>
      </c>
      <c r="E141" s="4">
        <f t="shared" si="6"/>
        <v>1</v>
      </c>
      <c r="F141" s="4">
        <f t="shared" si="7"/>
        <v>32</v>
      </c>
      <c r="G141" s="4">
        <f t="shared" si="8"/>
        <v>1024</v>
      </c>
      <c r="H141" s="5">
        <f>SQRT(SUM('p-pi-6'!$C$3:C141)/COUNTIF($A$3:A141,"&lt;&gt;0"))</f>
        <v>14.31807229499154</v>
      </c>
    </row>
    <row r="142" spans="1:8">
      <c r="A142">
        <v>140</v>
      </c>
      <c r="B142">
        <v>233</v>
      </c>
      <c r="C142">
        <v>206</v>
      </c>
      <c r="D142">
        <v>278</v>
      </c>
      <c r="E142" s="4">
        <f t="shared" si="6"/>
        <v>1</v>
      </c>
      <c r="F142" s="4">
        <f t="shared" si="7"/>
        <v>27</v>
      </c>
      <c r="G142" s="4">
        <f t="shared" si="8"/>
        <v>729</v>
      </c>
      <c r="H142" s="5">
        <f>SQRT(SUM('p-pi-6'!$C$3:C142)/COUNTIF($A$3:A142,"&lt;&gt;0"))</f>
        <v>14.31831993336808</v>
      </c>
    </row>
    <row r="143" spans="1:8">
      <c r="A143">
        <v>141</v>
      </c>
      <c r="B143">
        <v>233</v>
      </c>
      <c r="C143">
        <v>194</v>
      </c>
      <c r="D143">
        <v>297</v>
      </c>
      <c r="E143" s="4">
        <f t="shared" si="6"/>
        <v>1</v>
      </c>
      <c r="F143" s="4">
        <f t="shared" si="7"/>
        <v>39</v>
      </c>
      <c r="G143" s="4">
        <f t="shared" si="8"/>
        <v>1521</v>
      </c>
      <c r="H143" s="5">
        <f>SQRT(SUM('p-pi-6'!$C$3:C143)/COUNTIF($A$3:A143,"&lt;&gt;0"))</f>
        <v>14.315591856879895</v>
      </c>
    </row>
    <row r="144" spans="1:8">
      <c r="A144">
        <v>142</v>
      </c>
      <c r="B144">
        <v>233</v>
      </c>
      <c r="C144">
        <v>261</v>
      </c>
      <c r="D144">
        <v>304</v>
      </c>
      <c r="E144" s="4">
        <f t="shared" si="6"/>
        <v>1</v>
      </c>
      <c r="F144" s="4">
        <f t="shared" si="7"/>
        <v>28</v>
      </c>
      <c r="G144" s="4">
        <f t="shared" si="8"/>
        <v>784</v>
      </c>
      <c r="H144" s="5">
        <f>SQRT(SUM('p-pi-6'!$C$3:C144)/COUNTIF($A$3:A144,"&lt;&gt;0"))</f>
        <v>14.329374931081013</v>
      </c>
    </row>
    <row r="145" spans="1:8">
      <c r="A145">
        <v>143</v>
      </c>
      <c r="B145">
        <v>233</v>
      </c>
      <c r="C145">
        <v>249</v>
      </c>
      <c r="D145">
        <v>282</v>
      </c>
      <c r="E145" s="4">
        <f t="shared" si="6"/>
        <v>1</v>
      </c>
      <c r="F145" s="4">
        <f t="shared" si="7"/>
        <v>16</v>
      </c>
      <c r="G145" s="4">
        <f t="shared" si="8"/>
        <v>256</v>
      </c>
      <c r="H145" s="5">
        <f>SQRT(SUM('p-pi-6'!$C$3:C145)/COUNTIF($A$3:A145,"&lt;&gt;0"))</f>
        <v>14.340026626068852</v>
      </c>
    </row>
    <row r="146" spans="1:8">
      <c r="A146">
        <v>144</v>
      </c>
      <c r="B146">
        <v>233</v>
      </c>
      <c r="C146">
        <v>210</v>
      </c>
      <c r="D146">
        <v>284</v>
      </c>
      <c r="E146" s="4">
        <f t="shared" si="6"/>
        <v>1</v>
      </c>
      <c r="F146" s="4">
        <f t="shared" si="7"/>
        <v>23</v>
      </c>
      <c r="G146" s="4">
        <f t="shared" si="8"/>
        <v>529</v>
      </c>
      <c r="H146" s="5">
        <f>SQRT(SUM('p-pi-6'!$C$3:C146)/COUNTIF($A$3:A146,"&lt;&gt;0"))</f>
        <v>14.341083176199302</v>
      </c>
    </row>
    <row r="147" spans="1:8">
      <c r="A147">
        <v>145</v>
      </c>
      <c r="B147">
        <v>233</v>
      </c>
      <c r="C147">
        <v>216</v>
      </c>
      <c r="D147">
        <v>298</v>
      </c>
      <c r="E147" s="4">
        <f t="shared" si="6"/>
        <v>1</v>
      </c>
      <c r="F147" s="4">
        <f t="shared" si="7"/>
        <v>17</v>
      </c>
      <c r="G147" s="4">
        <f t="shared" si="8"/>
        <v>289</v>
      </c>
      <c r="H147" s="5">
        <f>SQRT(SUM('p-pi-6'!$C$3:C147)/COUNTIF($A$3:A147,"&lt;&gt;0"))</f>
        <v>14.343567583920073</v>
      </c>
    </row>
    <row r="148" spans="1:8">
      <c r="A148">
        <v>146</v>
      </c>
      <c r="B148">
        <v>233</v>
      </c>
      <c r="C148">
        <v>277</v>
      </c>
      <c r="D148">
        <v>297</v>
      </c>
      <c r="E148" s="4">
        <f t="shared" si="6"/>
        <v>1</v>
      </c>
      <c r="F148" s="4">
        <f t="shared" si="7"/>
        <v>44</v>
      </c>
      <c r="G148" s="4">
        <f t="shared" si="8"/>
        <v>1936</v>
      </c>
      <c r="H148" s="5">
        <f>SQRT(SUM('p-pi-6'!$C$3:C148)/COUNTIF($A$3:A148,"&lt;&gt;0"))</f>
        <v>14.360571973193139</v>
      </c>
    </row>
    <row r="149" spans="1:8">
      <c r="A149">
        <v>147</v>
      </c>
      <c r="B149">
        <v>233</v>
      </c>
      <c r="C149">
        <v>244</v>
      </c>
      <c r="D149">
        <v>275</v>
      </c>
      <c r="E149" s="4">
        <f t="shared" si="6"/>
        <v>1</v>
      </c>
      <c r="F149" s="4">
        <f t="shared" si="7"/>
        <v>11</v>
      </c>
      <c r="G149" s="4">
        <f t="shared" si="8"/>
        <v>121</v>
      </c>
      <c r="H149" s="5">
        <f>SQRT(SUM('p-pi-6'!$C$3:C149)/COUNTIF($A$3:A149,"&lt;&gt;0"))</f>
        <v>14.369516108668341</v>
      </c>
    </row>
    <row r="150" spans="1:8">
      <c r="A150">
        <v>148</v>
      </c>
      <c r="B150">
        <v>233</v>
      </c>
      <c r="C150">
        <v>265</v>
      </c>
      <c r="D150">
        <v>284</v>
      </c>
      <c r="E150" s="4">
        <f t="shared" si="6"/>
        <v>1</v>
      </c>
      <c r="F150" s="4">
        <f t="shared" si="7"/>
        <v>32</v>
      </c>
      <c r="G150" s="4">
        <f t="shared" si="8"/>
        <v>1024</v>
      </c>
      <c r="H150" s="5">
        <f>SQRT(SUM('p-pi-6'!$C$3:C150)/COUNTIF($A$3:A150,"&lt;&gt;0"))</f>
        <v>14.383267305392692</v>
      </c>
    </row>
    <row r="151" spans="1:8">
      <c r="A151">
        <v>149</v>
      </c>
      <c r="B151">
        <v>233</v>
      </c>
      <c r="C151">
        <v>282</v>
      </c>
      <c r="D151">
        <v>276</v>
      </c>
      <c r="E151" s="4">
        <f t="shared" si="6"/>
        <v>0</v>
      </c>
      <c r="F151" s="4">
        <f t="shared" si="7"/>
        <v>49</v>
      </c>
      <c r="G151" s="4">
        <f t="shared" si="8"/>
        <v>2401</v>
      </c>
      <c r="H151" s="5">
        <f>SQRT(SUM('p-pi-6'!$C$3:C151)/COUNTIF($A$3:A151,"&lt;&gt;0"))</f>
        <v>14.40078297647633</v>
      </c>
    </row>
    <row r="152" spans="1:8">
      <c r="A152">
        <v>150</v>
      </c>
      <c r="B152">
        <v>233</v>
      </c>
      <c r="C152">
        <v>202</v>
      </c>
      <c r="D152">
        <v>267</v>
      </c>
      <c r="E152" s="4">
        <f t="shared" si="6"/>
        <v>1</v>
      </c>
      <c r="F152" s="4">
        <f t="shared" si="7"/>
        <v>31</v>
      </c>
      <c r="G152" s="4">
        <f t="shared" si="8"/>
        <v>961</v>
      </c>
      <c r="H152" s="5">
        <f>SQRT(SUM('p-pi-6'!$C$3:C152)/COUNTIF($A$3:A152,"&lt;&gt;0"))</f>
        <v>14.399537029594621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10" t="s">
        <v>6</v>
      </c>
      <c r="C2" s="10" t="s">
        <v>8</v>
      </c>
      <c r="D2" s="12" t="s">
        <v>14</v>
      </c>
      <c r="E2" s="43"/>
      <c r="F2" s="43"/>
      <c r="G2" s="43"/>
      <c r="H2" s="43"/>
    </row>
    <row r="3" spans="1:8">
      <c r="A3">
        <v>1</v>
      </c>
      <c r="B3">
        <v>343</v>
      </c>
      <c r="C3">
        <v>137</v>
      </c>
      <c r="D3">
        <v>343</v>
      </c>
      <c r="E3" s="4">
        <f>IF(AND(C3&lt;=B3*1.2,C3&gt;=B3*0.8),1,0)</f>
        <v>0</v>
      </c>
      <c r="F3" s="4">
        <f>ABS(B3-C3)</f>
        <v>206</v>
      </c>
      <c r="G3" s="4">
        <f>POWER(F3,2)</f>
        <v>42436</v>
      </c>
      <c r="H3" s="5">
        <f>SQRT(SUM('p-pi-9'!$C$3:C3)/COUNTIF($A$3:A3,"&lt;&gt;0"))</f>
        <v>11.704699910719626</v>
      </c>
    </row>
    <row r="4" spans="1:8">
      <c r="A4">
        <v>2</v>
      </c>
      <c r="B4">
        <v>343</v>
      </c>
      <c r="C4">
        <v>145</v>
      </c>
      <c r="D4">
        <v>77</v>
      </c>
      <c r="E4" s="4">
        <f t="shared" ref="E4:E67" si="0">IF(AND(C4&lt;=B4*1.2,C4&gt;=B4*0.8),1,0)</f>
        <v>0</v>
      </c>
      <c r="F4" s="4">
        <f t="shared" ref="F4:F67" si="1">ABS(B4-C4)</f>
        <v>198</v>
      </c>
      <c r="G4" s="4">
        <f t="shared" ref="G4:G67" si="2">POWER(F4,2)</f>
        <v>39204</v>
      </c>
      <c r="H4" s="5">
        <f>SQRT(SUM('p-pi-9'!$C$3:C4)/COUNTIF($A$3:A4,"&lt;&gt;0"))</f>
        <v>11.874342087037917</v>
      </c>
    </row>
    <row r="5" spans="1:8">
      <c r="A5">
        <v>3</v>
      </c>
      <c r="B5">
        <v>343</v>
      </c>
      <c r="C5">
        <v>86</v>
      </c>
      <c r="D5">
        <v>89</v>
      </c>
      <c r="E5" s="4">
        <f t="shared" si="0"/>
        <v>0</v>
      </c>
      <c r="F5" s="4">
        <f t="shared" si="1"/>
        <v>257</v>
      </c>
      <c r="G5" s="4">
        <f t="shared" si="2"/>
        <v>66049</v>
      </c>
      <c r="H5" s="5">
        <f>SQRT(SUM('p-pi-9'!$C$3:C5)/COUNTIF($A$3:A5,"&lt;&gt;0"))</f>
        <v>11.075498483890767</v>
      </c>
    </row>
    <row r="6" spans="1:8">
      <c r="A6">
        <v>4</v>
      </c>
      <c r="B6">
        <v>343</v>
      </c>
      <c r="C6">
        <v>138</v>
      </c>
      <c r="D6">
        <v>126</v>
      </c>
      <c r="E6" s="4">
        <f t="shared" si="0"/>
        <v>0</v>
      </c>
      <c r="F6" s="4">
        <f t="shared" si="1"/>
        <v>205</v>
      </c>
      <c r="G6" s="4">
        <f t="shared" si="2"/>
        <v>42025</v>
      </c>
      <c r="H6" s="5">
        <f>SQRT(SUM('p-pi-9'!$C$3:C6)/COUNTIF($A$3:A6,"&lt;&gt;0"))</f>
        <v>11.247221879201993</v>
      </c>
    </row>
    <row r="7" spans="1:8">
      <c r="A7">
        <v>5</v>
      </c>
      <c r="B7">
        <v>343</v>
      </c>
      <c r="C7">
        <v>126</v>
      </c>
      <c r="D7">
        <v>126</v>
      </c>
      <c r="E7" s="4">
        <f t="shared" si="0"/>
        <v>0</v>
      </c>
      <c r="F7" s="4">
        <f t="shared" si="1"/>
        <v>217</v>
      </c>
      <c r="G7" s="4">
        <f t="shared" si="2"/>
        <v>47089</v>
      </c>
      <c r="H7" s="5">
        <f>SQRT(SUM('p-pi-9'!$C$3:C7)/COUNTIF($A$3:A7,"&lt;&gt;0"))</f>
        <v>11.242775458044157</v>
      </c>
    </row>
    <row r="8" spans="1:8">
      <c r="A8">
        <v>6</v>
      </c>
      <c r="B8">
        <v>343</v>
      </c>
      <c r="C8">
        <v>142</v>
      </c>
      <c r="D8">
        <v>146</v>
      </c>
      <c r="E8" s="4">
        <f t="shared" si="0"/>
        <v>0</v>
      </c>
      <c r="F8" s="4">
        <f t="shared" si="1"/>
        <v>201</v>
      </c>
      <c r="G8" s="4">
        <f t="shared" si="2"/>
        <v>40401</v>
      </c>
      <c r="H8" s="5">
        <f>SQRT(SUM('p-pi-9'!$C$3:C8)/COUNTIF($A$3:A8,"&lt;&gt;0"))</f>
        <v>11.357816691600547</v>
      </c>
    </row>
    <row r="9" spans="1:8">
      <c r="A9">
        <v>7</v>
      </c>
      <c r="B9">
        <v>343</v>
      </c>
      <c r="C9">
        <v>154</v>
      </c>
      <c r="D9">
        <v>156</v>
      </c>
      <c r="E9" s="4">
        <f t="shared" si="0"/>
        <v>0</v>
      </c>
      <c r="F9" s="4">
        <f t="shared" si="1"/>
        <v>189</v>
      </c>
      <c r="G9" s="4">
        <f t="shared" si="2"/>
        <v>35721</v>
      </c>
      <c r="H9" s="5">
        <f>SQRT(SUM('p-pi-9'!$C$3:C9)/COUNTIF($A$3:A9,"&lt;&gt;0"))</f>
        <v>11.513966674062791</v>
      </c>
    </row>
    <row r="10" spans="1:8">
      <c r="A10">
        <v>8</v>
      </c>
      <c r="B10">
        <v>343</v>
      </c>
      <c r="C10">
        <v>164</v>
      </c>
      <c r="D10">
        <v>166</v>
      </c>
      <c r="E10" s="4">
        <f t="shared" si="0"/>
        <v>0</v>
      </c>
      <c r="F10" s="4">
        <f t="shared" si="1"/>
        <v>179</v>
      </c>
      <c r="G10" s="4">
        <f t="shared" si="2"/>
        <v>32041</v>
      </c>
      <c r="H10" s="5">
        <f>SQRT(SUM('p-pi-9'!$C$3:C10)/COUNTIF($A$3:A10,"&lt;&gt;0"))</f>
        <v>11.683321445547923</v>
      </c>
    </row>
    <row r="11" spans="1:8">
      <c r="A11">
        <v>9</v>
      </c>
      <c r="B11">
        <v>343</v>
      </c>
      <c r="C11">
        <v>174</v>
      </c>
      <c r="D11">
        <v>177</v>
      </c>
      <c r="E11" s="4">
        <f t="shared" si="0"/>
        <v>0</v>
      </c>
      <c r="F11" s="4">
        <f t="shared" si="1"/>
        <v>169</v>
      </c>
      <c r="G11" s="4">
        <f t="shared" si="2"/>
        <v>28561</v>
      </c>
      <c r="H11" s="5">
        <f>SQRT(SUM('p-pi-9'!$C$3:C11)/COUNTIF($A$3:A11,"&lt;&gt;0"))</f>
        <v>11.86029791643813</v>
      </c>
    </row>
    <row r="12" spans="1:8">
      <c r="A12">
        <v>10</v>
      </c>
      <c r="B12">
        <v>343</v>
      </c>
      <c r="C12">
        <v>221</v>
      </c>
      <c r="D12">
        <v>186</v>
      </c>
      <c r="E12" s="4">
        <f t="shared" si="0"/>
        <v>0</v>
      </c>
      <c r="F12" s="4">
        <f t="shared" si="1"/>
        <v>122</v>
      </c>
      <c r="G12" s="4">
        <f t="shared" si="2"/>
        <v>14884</v>
      </c>
      <c r="H12" s="5">
        <f>SQRT(SUM('p-pi-9'!$C$3:C12)/COUNTIF($A$3:A12,"&lt;&gt;0"))</f>
        <v>12.19426094521517</v>
      </c>
    </row>
    <row r="13" spans="1:8">
      <c r="A13">
        <v>11</v>
      </c>
      <c r="B13">
        <v>343</v>
      </c>
      <c r="C13">
        <v>182</v>
      </c>
      <c r="D13">
        <v>181</v>
      </c>
      <c r="E13" s="4">
        <f t="shared" si="0"/>
        <v>0</v>
      </c>
      <c r="F13" s="4">
        <f t="shared" si="1"/>
        <v>161</v>
      </c>
      <c r="G13" s="4">
        <f t="shared" si="2"/>
        <v>25921</v>
      </c>
      <c r="H13" s="5">
        <f>SQRT(SUM('p-pi-9'!$C$3:C13)/COUNTIF($A$3:A13,"&lt;&gt;0"))</f>
        <v>12.317762488669471</v>
      </c>
    </row>
    <row r="14" spans="1:8">
      <c r="A14">
        <v>12</v>
      </c>
      <c r="B14">
        <v>343</v>
      </c>
      <c r="C14">
        <v>220</v>
      </c>
      <c r="D14">
        <v>205</v>
      </c>
      <c r="E14" s="4">
        <f t="shared" si="0"/>
        <v>0</v>
      </c>
      <c r="F14" s="4">
        <f t="shared" si="1"/>
        <v>123</v>
      </c>
      <c r="G14" s="4">
        <f t="shared" si="2"/>
        <v>15129</v>
      </c>
      <c r="H14" s="5">
        <f>SQRT(SUM('p-pi-9'!$C$3:C14)/COUNTIF($A$3:A14,"&lt;&gt;0"))</f>
        <v>12.546579879260589</v>
      </c>
    </row>
    <row r="15" spans="1:8">
      <c r="A15">
        <v>13</v>
      </c>
      <c r="B15">
        <v>343</v>
      </c>
      <c r="C15">
        <v>242</v>
      </c>
      <c r="D15">
        <v>203</v>
      </c>
      <c r="E15" s="4">
        <f t="shared" si="0"/>
        <v>0</v>
      </c>
      <c r="F15" s="4">
        <f t="shared" si="1"/>
        <v>101</v>
      </c>
      <c r="G15" s="4">
        <f t="shared" si="2"/>
        <v>10201</v>
      </c>
      <c r="H15" s="5">
        <f>SQRT(SUM('p-pi-9'!$C$3:C15)/COUNTIF($A$3:A15,"&lt;&gt;0"))</f>
        <v>12.803244781034101</v>
      </c>
    </row>
    <row r="16" spans="1:8">
      <c r="A16">
        <v>14</v>
      </c>
      <c r="B16">
        <v>343</v>
      </c>
      <c r="C16">
        <v>203</v>
      </c>
      <c r="D16">
        <v>204</v>
      </c>
      <c r="E16" s="4">
        <f t="shared" si="0"/>
        <v>0</v>
      </c>
      <c r="F16" s="4">
        <f t="shared" si="1"/>
        <v>140</v>
      </c>
      <c r="G16" s="4">
        <f t="shared" si="2"/>
        <v>19600</v>
      </c>
      <c r="H16" s="5">
        <f>SQRT(SUM('p-pi-9'!$C$3:C16)/COUNTIF($A$3:A16,"&lt;&gt;0"))</f>
        <v>12.911788633426653</v>
      </c>
    </row>
    <row r="17" spans="1:8">
      <c r="A17">
        <v>15</v>
      </c>
      <c r="B17">
        <v>343</v>
      </c>
      <c r="C17">
        <v>256</v>
      </c>
      <c r="D17">
        <v>226</v>
      </c>
      <c r="E17" s="4">
        <f t="shared" si="0"/>
        <v>0</v>
      </c>
      <c r="F17" s="4">
        <f t="shared" si="1"/>
        <v>87</v>
      </c>
      <c r="G17" s="4">
        <f t="shared" si="2"/>
        <v>7569</v>
      </c>
      <c r="H17" s="5">
        <f>SQRT(SUM('p-pi-9'!$C$3:C17)/COUNTIF($A$3:A17,"&lt;&gt;0"))</f>
        <v>13.140268896284683</v>
      </c>
    </row>
    <row r="18" spans="1:8">
      <c r="A18">
        <v>16</v>
      </c>
      <c r="B18">
        <v>343</v>
      </c>
      <c r="C18">
        <v>235</v>
      </c>
      <c r="D18">
        <v>217</v>
      </c>
      <c r="E18" s="4">
        <f t="shared" si="0"/>
        <v>0</v>
      </c>
      <c r="F18" s="4">
        <f t="shared" si="1"/>
        <v>108</v>
      </c>
      <c r="G18" s="4">
        <f t="shared" si="2"/>
        <v>11664</v>
      </c>
      <c r="H18" s="5">
        <f>SQRT(SUM('p-pi-9'!$C$3:C18)/COUNTIF($A$3:A18,"&lt;&gt;0"))</f>
        <v>13.287682265918312</v>
      </c>
    </row>
    <row r="19" spans="1:8">
      <c r="A19">
        <v>17</v>
      </c>
      <c r="B19">
        <v>343</v>
      </c>
      <c r="C19">
        <v>222</v>
      </c>
      <c r="D19">
        <v>231</v>
      </c>
      <c r="E19" s="4">
        <f t="shared" si="0"/>
        <v>0</v>
      </c>
      <c r="F19" s="4">
        <f t="shared" si="1"/>
        <v>121</v>
      </c>
      <c r="G19" s="4">
        <f t="shared" si="2"/>
        <v>14641</v>
      </c>
      <c r="H19" s="5">
        <f>SQRT(SUM('p-pi-9'!$C$3:C19)/COUNTIF($A$3:A19,"&lt;&gt;0"))</f>
        <v>13.387878626490721</v>
      </c>
    </row>
    <row r="20" spans="1:8">
      <c r="A20">
        <v>18</v>
      </c>
      <c r="B20">
        <v>343</v>
      </c>
      <c r="C20">
        <v>241</v>
      </c>
      <c r="D20">
        <v>244</v>
      </c>
      <c r="E20" s="4">
        <f t="shared" si="0"/>
        <v>0</v>
      </c>
      <c r="F20" s="4">
        <f t="shared" si="1"/>
        <v>102</v>
      </c>
      <c r="G20" s="4">
        <f t="shared" si="2"/>
        <v>10404</v>
      </c>
      <c r="H20" s="5">
        <f>SQRT(SUM('p-pi-9'!$C$3:C20)/COUNTIF($A$3:A20,"&lt;&gt;0"))</f>
        <v>13.515423288475528</v>
      </c>
    </row>
    <row r="21" spans="1:8">
      <c r="A21">
        <v>19</v>
      </c>
      <c r="B21">
        <v>343</v>
      </c>
      <c r="C21">
        <v>256</v>
      </c>
      <c r="D21">
        <v>246</v>
      </c>
      <c r="E21" s="4">
        <f t="shared" si="0"/>
        <v>0</v>
      </c>
      <c r="F21" s="4">
        <f t="shared" si="1"/>
        <v>87</v>
      </c>
      <c r="G21" s="4">
        <f t="shared" si="2"/>
        <v>7569</v>
      </c>
      <c r="H21" s="5">
        <f>SQRT(SUM('p-pi-9'!$C$3:C21)/COUNTIF($A$3:A21,"&lt;&gt;0"))</f>
        <v>13.657463739269955</v>
      </c>
    </row>
    <row r="22" spans="1:8">
      <c r="A22">
        <v>20</v>
      </c>
      <c r="B22">
        <v>343</v>
      </c>
      <c r="C22">
        <v>258</v>
      </c>
      <c r="D22">
        <v>248</v>
      </c>
      <c r="E22" s="4">
        <f t="shared" si="0"/>
        <v>0</v>
      </c>
      <c r="F22" s="4">
        <f t="shared" si="1"/>
        <v>85</v>
      </c>
      <c r="G22" s="4">
        <f t="shared" si="2"/>
        <v>7225</v>
      </c>
      <c r="H22" s="5">
        <f>SQRT(SUM('p-pi-9'!$C$3:C22)/COUNTIF($A$3:A22,"&lt;&gt;0"))</f>
        <v>13.787675656179326</v>
      </c>
    </row>
    <row r="23" spans="1:8">
      <c r="A23">
        <v>21</v>
      </c>
      <c r="B23">
        <v>343</v>
      </c>
      <c r="C23">
        <v>242</v>
      </c>
      <c r="D23">
        <v>254</v>
      </c>
      <c r="E23" s="4">
        <f t="shared" si="0"/>
        <v>0</v>
      </c>
      <c r="F23" s="4">
        <f t="shared" si="1"/>
        <v>101</v>
      </c>
      <c r="G23" s="4">
        <f t="shared" si="2"/>
        <v>10201</v>
      </c>
      <c r="H23" s="5">
        <f>SQRT(SUM('p-pi-9'!$C$3:C23)/COUNTIF($A$3:A23,"&lt;&gt;0"))</f>
        <v>13.877010793806733</v>
      </c>
    </row>
    <row r="24" spans="1:8">
      <c r="A24">
        <v>22</v>
      </c>
      <c r="B24">
        <v>343</v>
      </c>
      <c r="C24">
        <v>230</v>
      </c>
      <c r="D24">
        <v>266</v>
      </c>
      <c r="E24" s="4">
        <f t="shared" si="0"/>
        <v>0</v>
      </c>
      <c r="F24" s="4">
        <f t="shared" si="1"/>
        <v>113</v>
      </c>
      <c r="G24" s="4">
        <f t="shared" si="2"/>
        <v>12769</v>
      </c>
      <c r="H24" s="5">
        <f>SQRT(SUM('p-pi-9'!$C$3:C24)/COUNTIF($A$3:A24,"&lt;&gt;0"))</f>
        <v>13.938175177286562</v>
      </c>
    </row>
    <row r="25" spans="1:8">
      <c r="A25">
        <v>23</v>
      </c>
      <c r="B25">
        <v>343</v>
      </c>
      <c r="C25">
        <v>206</v>
      </c>
      <c r="D25">
        <v>278</v>
      </c>
      <c r="E25" s="4">
        <f t="shared" si="0"/>
        <v>0</v>
      </c>
      <c r="F25" s="4">
        <f t="shared" si="1"/>
        <v>137</v>
      </c>
      <c r="G25" s="4">
        <f t="shared" si="2"/>
        <v>18769</v>
      </c>
      <c r="H25" s="5">
        <f>SQRT(SUM('p-pi-9'!$C$3:C25)/COUNTIF($A$3:A25,"&lt;&gt;0"))</f>
        <v>13.956454015818352</v>
      </c>
    </row>
    <row r="26" spans="1:8">
      <c r="A26">
        <v>24</v>
      </c>
      <c r="B26">
        <v>343</v>
      </c>
      <c r="C26">
        <v>272</v>
      </c>
      <c r="D26">
        <v>295</v>
      </c>
      <c r="E26" s="4">
        <f t="shared" si="0"/>
        <v>0</v>
      </c>
      <c r="F26" s="4">
        <f t="shared" si="1"/>
        <v>71</v>
      </c>
      <c r="G26" s="4">
        <f t="shared" si="2"/>
        <v>5041</v>
      </c>
      <c r="H26" s="5">
        <f>SQRT(SUM('p-pi-9'!$C$3:C26)/COUNTIF($A$3:A26,"&lt;&gt;0"))</f>
        <v>14.071247279470288</v>
      </c>
    </row>
    <row r="27" spans="1:8">
      <c r="A27">
        <v>25</v>
      </c>
      <c r="B27">
        <v>343</v>
      </c>
      <c r="C27">
        <v>304</v>
      </c>
      <c r="D27">
        <v>281</v>
      </c>
      <c r="E27" s="4">
        <f t="shared" si="0"/>
        <v>1</v>
      </c>
      <c r="F27" s="4">
        <f t="shared" si="1"/>
        <v>39</v>
      </c>
      <c r="G27" s="4">
        <f t="shared" si="2"/>
        <v>1521</v>
      </c>
      <c r="H27" s="5">
        <f>SQRT(SUM('p-pi-9'!$C$3:C27)/COUNTIF($A$3:A27,"&lt;&gt;0"))</f>
        <v>14.221111067704943</v>
      </c>
    </row>
    <row r="28" spans="1:8">
      <c r="A28">
        <v>26</v>
      </c>
      <c r="B28">
        <v>343</v>
      </c>
      <c r="C28">
        <v>224</v>
      </c>
      <c r="D28">
        <v>274</v>
      </c>
      <c r="E28" s="4">
        <f t="shared" si="0"/>
        <v>0</v>
      </c>
      <c r="F28" s="4">
        <f t="shared" si="1"/>
        <v>119</v>
      </c>
      <c r="G28" s="4">
        <f t="shared" si="2"/>
        <v>14161</v>
      </c>
      <c r="H28" s="5">
        <f>SQRT(SUM('p-pi-9'!$C$3:C28)/COUNTIF($A$3:A28,"&lt;&gt;0"))</f>
        <v>14.250506063888505</v>
      </c>
    </row>
    <row r="29" spans="1:8">
      <c r="A29">
        <v>27</v>
      </c>
      <c r="B29">
        <v>343</v>
      </c>
      <c r="C29">
        <v>339</v>
      </c>
      <c r="D29">
        <v>307</v>
      </c>
      <c r="E29" s="4">
        <f t="shared" si="0"/>
        <v>1</v>
      </c>
      <c r="F29" s="4">
        <f t="shared" si="1"/>
        <v>4</v>
      </c>
      <c r="G29" s="4">
        <f t="shared" si="2"/>
        <v>16</v>
      </c>
      <c r="H29" s="5">
        <f>SQRT(SUM('p-pi-9'!$C$3:C29)/COUNTIF($A$3:A29,"&lt;&gt;0"))</f>
        <v>14.426056672254935</v>
      </c>
    </row>
    <row r="30" spans="1:8">
      <c r="A30">
        <v>28</v>
      </c>
      <c r="B30">
        <v>343</v>
      </c>
      <c r="C30">
        <v>245</v>
      </c>
      <c r="D30">
        <v>273</v>
      </c>
      <c r="E30" s="4">
        <f t="shared" si="0"/>
        <v>0</v>
      </c>
      <c r="F30" s="4">
        <f t="shared" si="1"/>
        <v>98</v>
      </c>
      <c r="G30" s="4">
        <f t="shared" si="2"/>
        <v>9604</v>
      </c>
      <c r="H30" s="5">
        <f>SQRT(SUM('p-pi-9'!$C$3:C30)/COUNTIF($A$3:A30,"&lt;&gt;0"))</f>
        <v>14.471647156718941</v>
      </c>
    </row>
    <row r="31" spans="1:8">
      <c r="A31">
        <v>29</v>
      </c>
      <c r="B31">
        <v>343</v>
      </c>
      <c r="C31">
        <v>287</v>
      </c>
      <c r="D31">
        <v>309</v>
      </c>
      <c r="E31" s="4">
        <f t="shared" si="0"/>
        <v>1</v>
      </c>
      <c r="F31" s="4">
        <f t="shared" si="1"/>
        <v>56</v>
      </c>
      <c r="G31" s="4">
        <f t="shared" si="2"/>
        <v>3136</v>
      </c>
      <c r="H31" s="5">
        <f>SQRT(SUM('p-pi-9'!$C$3:C31)/COUNTIF($A$3:A31,"&lt;&gt;0"))</f>
        <v>14.563771773680816</v>
      </c>
    </row>
    <row r="32" spans="1:8">
      <c r="A32">
        <v>30</v>
      </c>
      <c r="B32">
        <v>343</v>
      </c>
      <c r="C32">
        <v>320</v>
      </c>
      <c r="D32">
        <v>300</v>
      </c>
      <c r="E32" s="4">
        <f t="shared" si="0"/>
        <v>1</v>
      </c>
      <c r="F32" s="4">
        <f t="shared" si="1"/>
        <v>23</v>
      </c>
      <c r="G32" s="4">
        <f t="shared" si="2"/>
        <v>529</v>
      </c>
      <c r="H32" s="5">
        <f>SQRT(SUM('p-pi-9'!$C$3:C32)/COUNTIF($A$3:A32,"&lt;&gt;0"))</f>
        <v>14.686728703152379</v>
      </c>
    </row>
    <row r="33" spans="1:8">
      <c r="A33">
        <v>31</v>
      </c>
      <c r="B33">
        <v>343</v>
      </c>
      <c r="C33">
        <v>295</v>
      </c>
      <c r="D33">
        <v>292</v>
      </c>
      <c r="E33" s="4">
        <f t="shared" si="0"/>
        <v>1</v>
      </c>
      <c r="F33" s="4">
        <f t="shared" si="1"/>
        <v>48</v>
      </c>
      <c r="G33" s="4">
        <f t="shared" si="2"/>
        <v>2304</v>
      </c>
      <c r="H33" s="5">
        <f>SQRT(SUM('p-pi-9'!$C$3:C33)/COUNTIF($A$3:A33,"&lt;&gt;0"))</f>
        <v>14.773559642690349</v>
      </c>
    </row>
    <row r="34" spans="1:8">
      <c r="A34">
        <v>32</v>
      </c>
      <c r="B34">
        <v>343</v>
      </c>
      <c r="C34">
        <v>320</v>
      </c>
      <c r="D34">
        <v>303</v>
      </c>
      <c r="E34" s="4">
        <f t="shared" si="0"/>
        <v>1</v>
      </c>
      <c r="F34" s="4">
        <f t="shared" si="1"/>
        <v>23</v>
      </c>
      <c r="G34" s="4">
        <f t="shared" si="2"/>
        <v>529</v>
      </c>
      <c r="H34" s="5">
        <f>SQRT(SUM('p-pi-9'!$C$3:C34)/COUNTIF($A$3:A34,"&lt;&gt;0"))</f>
        <v>14.88077618943313</v>
      </c>
    </row>
    <row r="35" spans="1:8">
      <c r="A35">
        <v>33</v>
      </c>
      <c r="B35">
        <v>343</v>
      </c>
      <c r="C35">
        <v>337</v>
      </c>
      <c r="D35">
        <v>297</v>
      </c>
      <c r="E35" s="4">
        <f t="shared" si="0"/>
        <v>1</v>
      </c>
      <c r="F35" s="4">
        <f t="shared" si="1"/>
        <v>6</v>
      </c>
      <c r="G35" s="4">
        <f t="shared" si="2"/>
        <v>36</v>
      </c>
      <c r="H35" s="5">
        <f>SQRT(SUM('p-pi-9'!$C$3:C35)/COUNTIF($A$3:A35,"&lt;&gt;0"))</f>
        <v>14.997979661920933</v>
      </c>
    </row>
    <row r="36" spans="1:8">
      <c r="A36">
        <v>34</v>
      </c>
      <c r="B36">
        <v>343</v>
      </c>
      <c r="C36">
        <v>255</v>
      </c>
      <c r="D36">
        <v>293</v>
      </c>
      <c r="E36" s="4">
        <f t="shared" si="0"/>
        <v>0</v>
      </c>
      <c r="F36" s="4">
        <f t="shared" si="1"/>
        <v>88</v>
      </c>
      <c r="G36" s="4">
        <f t="shared" si="2"/>
        <v>7744</v>
      </c>
      <c r="H36" s="5">
        <f>SQRT(SUM('p-pi-9'!$C$3:C36)/COUNTIF($A$3:A36,"&lt;&gt;0"))</f>
        <v>15.027425907711697</v>
      </c>
    </row>
    <row r="37" spans="1:8">
      <c r="A37">
        <v>35</v>
      </c>
      <c r="B37">
        <v>343</v>
      </c>
      <c r="C37">
        <v>353</v>
      </c>
      <c r="D37">
        <v>324</v>
      </c>
      <c r="E37" s="4">
        <f t="shared" si="0"/>
        <v>1</v>
      </c>
      <c r="F37" s="4">
        <f t="shared" si="1"/>
        <v>10</v>
      </c>
      <c r="G37" s="4">
        <f t="shared" si="2"/>
        <v>100</v>
      </c>
      <c r="H37" s="5">
        <f>SQRT(SUM('p-pi-9'!$C$3:C37)/COUNTIF($A$3:A37,"&lt;&gt;0"))</f>
        <v>15.147842845010732</v>
      </c>
    </row>
    <row r="38" spans="1:8">
      <c r="A38">
        <v>36</v>
      </c>
      <c r="B38">
        <v>343</v>
      </c>
      <c r="C38">
        <v>256</v>
      </c>
      <c r="D38">
        <v>294</v>
      </c>
      <c r="E38" s="4">
        <f t="shared" si="0"/>
        <v>0</v>
      </c>
      <c r="F38" s="4">
        <f t="shared" si="1"/>
        <v>87</v>
      </c>
      <c r="G38" s="4">
        <f t="shared" si="2"/>
        <v>7569</v>
      </c>
      <c r="H38" s="5">
        <f>SQRT(SUM('p-pi-9'!$C$3:C38)/COUNTIF($A$3:A38,"&lt;&gt;0"))</f>
        <v>15.172160177260338</v>
      </c>
    </row>
    <row r="39" spans="1:8">
      <c r="A39">
        <v>37</v>
      </c>
      <c r="B39">
        <v>343</v>
      </c>
      <c r="C39">
        <v>336</v>
      </c>
      <c r="D39">
        <v>329</v>
      </c>
      <c r="E39" s="4">
        <f t="shared" si="0"/>
        <v>1</v>
      </c>
      <c r="F39" s="4">
        <f t="shared" si="1"/>
        <v>7</v>
      </c>
      <c r="G39" s="4">
        <f t="shared" si="2"/>
        <v>49</v>
      </c>
      <c r="H39" s="5">
        <f>SQRT(SUM('p-pi-9'!$C$3:C39)/COUNTIF($A$3:A39,"&lt;&gt;0"))</f>
        <v>15.266108019205618</v>
      </c>
    </row>
    <row r="40" spans="1:8">
      <c r="A40">
        <v>38</v>
      </c>
      <c r="B40">
        <v>343</v>
      </c>
      <c r="C40">
        <v>249</v>
      </c>
      <c r="D40">
        <v>306</v>
      </c>
      <c r="E40" s="4">
        <f t="shared" si="0"/>
        <v>0</v>
      </c>
      <c r="F40" s="4">
        <f t="shared" si="1"/>
        <v>94</v>
      </c>
      <c r="G40" s="4">
        <f t="shared" si="2"/>
        <v>8836</v>
      </c>
      <c r="H40" s="5">
        <f>SQRT(SUM('p-pi-9'!$C$3:C40)/COUNTIF($A$3:A40,"&lt;&gt;0"))</f>
        <v>15.279845686738016</v>
      </c>
    </row>
    <row r="41" spans="1:8">
      <c r="A41">
        <v>39</v>
      </c>
      <c r="B41">
        <v>343</v>
      </c>
      <c r="C41">
        <v>371</v>
      </c>
      <c r="D41">
        <v>339</v>
      </c>
      <c r="E41" s="4">
        <f t="shared" si="0"/>
        <v>1</v>
      </c>
      <c r="F41" s="4">
        <f t="shared" si="1"/>
        <v>28</v>
      </c>
      <c r="G41" s="4">
        <f t="shared" si="2"/>
        <v>784</v>
      </c>
      <c r="H41" s="5">
        <f>SQRT(SUM('p-pi-9'!$C$3:C41)/COUNTIF($A$3:A41,"&lt;&gt;0"))</f>
        <v>15.394804318340652</v>
      </c>
    </row>
    <row r="42" spans="1:8">
      <c r="A42">
        <v>40</v>
      </c>
      <c r="B42">
        <v>343</v>
      </c>
      <c r="C42">
        <v>240</v>
      </c>
      <c r="D42">
        <v>300</v>
      </c>
      <c r="E42" s="4">
        <f t="shared" si="0"/>
        <v>0</v>
      </c>
      <c r="F42" s="4">
        <f t="shared" si="1"/>
        <v>103</v>
      </c>
      <c r="G42" s="4">
        <f t="shared" si="2"/>
        <v>10609</v>
      </c>
      <c r="H42" s="5">
        <f>SQRT(SUM('p-pi-9'!$C$3:C42)/COUNTIF($A$3:A42,"&lt;&gt;0"))</f>
        <v>15.397240012417809</v>
      </c>
    </row>
    <row r="43" spans="1:8">
      <c r="A43">
        <v>41</v>
      </c>
      <c r="B43">
        <v>343</v>
      </c>
      <c r="C43">
        <v>348</v>
      </c>
      <c r="D43">
        <v>347</v>
      </c>
      <c r="E43" s="4">
        <f t="shared" si="0"/>
        <v>1</v>
      </c>
      <c r="F43" s="4">
        <f t="shared" si="1"/>
        <v>5</v>
      </c>
      <c r="G43" s="4">
        <f t="shared" si="2"/>
        <v>25</v>
      </c>
      <c r="H43" s="5">
        <f>SQRT(SUM('p-pi-9'!$C$3:C43)/COUNTIF($A$3:A43,"&lt;&gt;0"))</f>
        <v>15.484847038472097</v>
      </c>
    </row>
    <row r="44" spans="1:8">
      <c r="A44">
        <v>42</v>
      </c>
      <c r="B44">
        <v>343</v>
      </c>
      <c r="C44">
        <v>248</v>
      </c>
      <c r="D44">
        <v>314</v>
      </c>
      <c r="E44" s="4">
        <f t="shared" si="0"/>
        <v>0</v>
      </c>
      <c r="F44" s="4">
        <f t="shared" si="1"/>
        <v>95</v>
      </c>
      <c r="G44" s="4">
        <f t="shared" si="2"/>
        <v>9025</v>
      </c>
      <c r="H44" s="5">
        <f>SQRT(SUM('p-pi-9'!$C$3:C44)/COUNTIF($A$3:A44,"&lt;&gt;0"))</f>
        <v>15.491164916693338</v>
      </c>
    </row>
    <row r="45" spans="1:8">
      <c r="A45">
        <v>43</v>
      </c>
      <c r="B45">
        <v>343</v>
      </c>
      <c r="C45">
        <v>353</v>
      </c>
      <c r="D45">
        <v>351</v>
      </c>
      <c r="E45" s="4">
        <f t="shared" si="0"/>
        <v>1</v>
      </c>
      <c r="F45" s="4">
        <f t="shared" si="1"/>
        <v>10</v>
      </c>
      <c r="G45" s="4">
        <f t="shared" si="2"/>
        <v>100</v>
      </c>
      <c r="H45" s="5">
        <f>SQRT(SUM('p-pi-9'!$C$3:C45)/COUNTIF($A$3:A45,"&lt;&gt;0"))</f>
        <v>15.575771286289186</v>
      </c>
    </row>
    <row r="46" spans="1:8">
      <c r="A46">
        <v>44</v>
      </c>
      <c r="B46">
        <v>343</v>
      </c>
      <c r="C46">
        <v>251</v>
      </c>
      <c r="D46">
        <v>319</v>
      </c>
      <c r="E46" s="4">
        <f t="shared" si="0"/>
        <v>0</v>
      </c>
      <c r="F46" s="4">
        <f t="shared" si="1"/>
        <v>92</v>
      </c>
      <c r="G46" s="4">
        <f t="shared" si="2"/>
        <v>8464</v>
      </c>
      <c r="H46" s="5">
        <f>SQRT(SUM('p-pi-9'!$C$3:C46)/COUNTIF($A$3:A46,"&lt;&gt;0"))</f>
        <v>15.581895088385576</v>
      </c>
    </row>
    <row r="47" spans="1:8">
      <c r="A47">
        <v>45</v>
      </c>
      <c r="B47">
        <v>343</v>
      </c>
      <c r="C47">
        <v>286</v>
      </c>
      <c r="D47">
        <v>357</v>
      </c>
      <c r="E47" s="4">
        <f t="shared" si="0"/>
        <v>1</v>
      </c>
      <c r="F47" s="4">
        <f t="shared" si="1"/>
        <v>57</v>
      </c>
      <c r="G47" s="4">
        <f t="shared" si="2"/>
        <v>3249</v>
      </c>
      <c r="H47" s="5">
        <f>SQRT(SUM('p-pi-9'!$C$3:C47)/COUNTIF($A$3:A47,"&lt;&gt;0"))</f>
        <v>15.612672915153112</v>
      </c>
    </row>
    <row r="48" spans="1:8">
      <c r="A48">
        <v>46</v>
      </c>
      <c r="B48">
        <v>343</v>
      </c>
      <c r="C48">
        <v>400</v>
      </c>
      <c r="D48">
        <v>350</v>
      </c>
      <c r="E48" s="4">
        <f t="shared" si="0"/>
        <v>1</v>
      </c>
      <c r="F48" s="4">
        <f t="shared" si="1"/>
        <v>57</v>
      </c>
      <c r="G48" s="4">
        <f t="shared" si="2"/>
        <v>3249</v>
      </c>
      <c r="H48" s="5">
        <f>SQRT(SUM('p-pi-9'!$C$3:C48)/COUNTIF($A$3:A48,"&lt;&gt;0"))</f>
        <v>15.721074197173788</v>
      </c>
    </row>
    <row r="49" spans="1:8">
      <c r="A49">
        <v>47</v>
      </c>
      <c r="B49">
        <v>343</v>
      </c>
      <c r="C49">
        <v>317</v>
      </c>
      <c r="D49">
        <v>312</v>
      </c>
      <c r="E49" s="4">
        <f t="shared" si="0"/>
        <v>1</v>
      </c>
      <c r="F49" s="4">
        <f t="shared" si="1"/>
        <v>26</v>
      </c>
      <c r="G49" s="4">
        <f t="shared" si="2"/>
        <v>676</v>
      </c>
      <c r="H49" s="5">
        <f>SQRT(SUM('p-pi-9'!$C$3:C49)/COUNTIF($A$3:A49,"&lt;&gt;0"))</f>
        <v>15.768268702439732</v>
      </c>
    </row>
    <row r="50" spans="1:8">
      <c r="A50">
        <v>48</v>
      </c>
      <c r="B50">
        <v>343</v>
      </c>
      <c r="C50">
        <v>383</v>
      </c>
      <c r="D50">
        <v>339</v>
      </c>
      <c r="E50" s="4">
        <f t="shared" si="0"/>
        <v>1</v>
      </c>
      <c r="F50" s="4">
        <f t="shared" si="1"/>
        <v>40</v>
      </c>
      <c r="G50" s="4">
        <f t="shared" si="2"/>
        <v>1600</v>
      </c>
      <c r="H50" s="5">
        <f>SQRT(SUM('p-pi-9'!$C$3:C50)/COUNTIF($A$3:A50,"&lt;&gt;0"))</f>
        <v>15.85678088389948</v>
      </c>
    </row>
    <row r="51" spans="1:8">
      <c r="A51">
        <v>49</v>
      </c>
      <c r="B51">
        <v>343</v>
      </c>
      <c r="C51">
        <v>352</v>
      </c>
      <c r="D51">
        <v>316</v>
      </c>
      <c r="E51" s="4">
        <f t="shared" si="0"/>
        <v>1</v>
      </c>
      <c r="F51" s="4">
        <f t="shared" si="1"/>
        <v>9</v>
      </c>
      <c r="G51" s="4">
        <f t="shared" si="2"/>
        <v>81</v>
      </c>
      <c r="H51" s="5">
        <f>SQRT(SUM('p-pi-9'!$C$3:C51)/COUNTIF($A$3:A51,"&lt;&gt;0"))</f>
        <v>15.921362878798012</v>
      </c>
    </row>
    <row r="52" spans="1:8">
      <c r="A52">
        <v>50</v>
      </c>
      <c r="B52">
        <v>343</v>
      </c>
      <c r="C52">
        <v>337</v>
      </c>
      <c r="D52">
        <v>324</v>
      </c>
      <c r="E52" s="4">
        <f t="shared" si="0"/>
        <v>1</v>
      </c>
      <c r="F52" s="4">
        <f t="shared" si="1"/>
        <v>6</v>
      </c>
      <c r="G52" s="4">
        <f t="shared" si="2"/>
        <v>36</v>
      </c>
      <c r="H52" s="5">
        <f>SQRT(SUM('p-pi-9'!$C$3:C52)/COUNTIF($A$3:A52,"&lt;&gt;0"))</f>
        <v>15.973728431396347</v>
      </c>
    </row>
    <row r="53" spans="1:8">
      <c r="A53">
        <v>51</v>
      </c>
      <c r="B53">
        <v>343</v>
      </c>
      <c r="C53">
        <v>317</v>
      </c>
      <c r="D53">
        <v>329</v>
      </c>
      <c r="E53" s="4">
        <f t="shared" si="0"/>
        <v>1</v>
      </c>
      <c r="F53" s="4">
        <f t="shared" si="1"/>
        <v>26</v>
      </c>
      <c r="G53" s="4">
        <f t="shared" si="2"/>
        <v>676</v>
      </c>
      <c r="H53" s="5">
        <f>SQRT(SUM('p-pi-9'!$C$3:C53)/COUNTIF($A$3:A53,"&lt;&gt;0"))</f>
        <v>16.011637924322667</v>
      </c>
    </row>
    <row r="54" spans="1:8">
      <c r="A54">
        <v>52</v>
      </c>
      <c r="B54">
        <v>343</v>
      </c>
      <c r="C54">
        <v>349</v>
      </c>
      <c r="D54">
        <v>337</v>
      </c>
      <c r="E54" s="4">
        <f t="shared" si="0"/>
        <v>1</v>
      </c>
      <c r="F54" s="4">
        <f t="shared" si="1"/>
        <v>6</v>
      </c>
      <c r="G54" s="4">
        <f t="shared" si="2"/>
        <v>36</v>
      </c>
      <c r="H54" s="5">
        <f>SQRT(SUM('p-pi-9'!$C$3:C54)/COUNTIF($A$3:A54,"&lt;&gt;0"))</f>
        <v>16.067166712082319</v>
      </c>
    </row>
    <row r="55" spans="1:8">
      <c r="A55">
        <v>53</v>
      </c>
      <c r="B55">
        <v>343</v>
      </c>
      <c r="C55">
        <v>263</v>
      </c>
      <c r="D55">
        <v>327</v>
      </c>
      <c r="E55" s="4">
        <f t="shared" si="0"/>
        <v>0</v>
      </c>
      <c r="F55" s="4">
        <f t="shared" si="1"/>
        <v>80</v>
      </c>
      <c r="G55" s="4">
        <f t="shared" si="2"/>
        <v>6400</v>
      </c>
      <c r="H55" s="5">
        <f>SQRT(SUM('p-pi-9'!$C$3:C55)/COUNTIF($A$3:A55,"&lt;&gt;0"))</f>
        <v>16.070011917197448</v>
      </c>
    </row>
    <row r="56" spans="1:8">
      <c r="A56">
        <v>54</v>
      </c>
      <c r="B56">
        <v>343</v>
      </c>
      <c r="C56">
        <v>387</v>
      </c>
      <c r="D56">
        <v>359</v>
      </c>
      <c r="E56" s="4">
        <f t="shared" si="0"/>
        <v>1</v>
      </c>
      <c r="F56" s="4">
        <f t="shared" si="1"/>
        <v>44</v>
      </c>
      <c r="G56" s="4">
        <f t="shared" si="2"/>
        <v>1936</v>
      </c>
      <c r="H56" s="5">
        <f>SQRT(SUM('p-pi-9'!$C$3:C56)/COUNTIF($A$3:A56,"&lt;&gt;0"))</f>
        <v>16.144027676810691</v>
      </c>
    </row>
    <row r="57" spans="1:8">
      <c r="A57">
        <v>55</v>
      </c>
      <c r="B57">
        <v>343</v>
      </c>
      <c r="C57">
        <v>295</v>
      </c>
      <c r="D57">
        <v>319</v>
      </c>
      <c r="E57" s="4">
        <f t="shared" si="0"/>
        <v>1</v>
      </c>
      <c r="F57" s="4">
        <f t="shared" si="1"/>
        <v>48</v>
      </c>
      <c r="G57" s="4">
        <f t="shared" si="2"/>
        <v>2304</v>
      </c>
      <c r="H57" s="5">
        <f>SQRT(SUM('p-pi-9'!$C$3:C57)/COUNTIF($A$3:A57,"&lt;&gt;0"))</f>
        <v>16.163370485593202</v>
      </c>
    </row>
    <row r="58" spans="1:8">
      <c r="A58">
        <v>56</v>
      </c>
      <c r="B58">
        <v>343</v>
      </c>
      <c r="C58">
        <v>310</v>
      </c>
      <c r="D58">
        <v>350</v>
      </c>
      <c r="E58" s="4">
        <f t="shared" si="0"/>
        <v>1</v>
      </c>
      <c r="F58" s="4">
        <f t="shared" si="1"/>
        <v>33</v>
      </c>
      <c r="G58" s="4">
        <f t="shared" si="2"/>
        <v>1089</v>
      </c>
      <c r="H58" s="5">
        <f>SQRT(SUM('p-pi-9'!$C$3:C58)/COUNTIF($A$3:A58,"&lt;&gt;0"))</f>
        <v>16.190274858692177</v>
      </c>
    </row>
    <row r="59" spans="1:8">
      <c r="A59">
        <v>57</v>
      </c>
      <c r="B59">
        <v>343</v>
      </c>
      <c r="C59">
        <v>408</v>
      </c>
      <c r="D59">
        <v>348</v>
      </c>
      <c r="E59" s="4">
        <f t="shared" si="0"/>
        <v>1</v>
      </c>
      <c r="F59" s="4">
        <f t="shared" si="1"/>
        <v>65</v>
      </c>
      <c r="G59" s="4">
        <f t="shared" si="2"/>
        <v>4225</v>
      </c>
      <c r="H59" s="5">
        <f>SQRT(SUM('p-pi-9'!$C$3:C59)/COUNTIF($A$3:A59,"&lt;&gt;0"))</f>
        <v>16.2691183082033</v>
      </c>
    </row>
    <row r="60" spans="1:8">
      <c r="A60">
        <v>58</v>
      </c>
      <c r="B60">
        <v>343</v>
      </c>
      <c r="C60">
        <v>327</v>
      </c>
      <c r="D60">
        <v>313</v>
      </c>
      <c r="E60" s="4">
        <f t="shared" si="0"/>
        <v>1</v>
      </c>
      <c r="F60" s="4">
        <f t="shared" si="1"/>
        <v>16</v>
      </c>
      <c r="G60" s="4">
        <f t="shared" si="2"/>
        <v>256</v>
      </c>
      <c r="H60" s="5">
        <f>SQRT(SUM('p-pi-9'!$C$3:C60)/COUNTIF($A$3:A60,"&lt;&gt;0"))</f>
        <v>16.302104793236214</v>
      </c>
    </row>
    <row r="61" spans="1:8">
      <c r="A61">
        <v>59</v>
      </c>
      <c r="B61">
        <v>343</v>
      </c>
      <c r="C61">
        <v>258</v>
      </c>
      <c r="D61">
        <v>339</v>
      </c>
      <c r="E61" s="4">
        <f t="shared" si="0"/>
        <v>0</v>
      </c>
      <c r="F61" s="4">
        <f t="shared" si="1"/>
        <v>85</v>
      </c>
      <c r="G61" s="4">
        <f t="shared" si="2"/>
        <v>7225</v>
      </c>
      <c r="H61" s="5">
        <f>SQRT(SUM('p-pi-9'!$C$3:C61)/COUNTIF($A$3:A61,"&lt;&gt;0"))</f>
        <v>16.298071009909972</v>
      </c>
    </row>
    <row r="62" spans="1:8">
      <c r="A62">
        <v>60</v>
      </c>
      <c r="B62">
        <v>343</v>
      </c>
      <c r="C62">
        <v>412</v>
      </c>
      <c r="D62">
        <v>366</v>
      </c>
      <c r="E62" s="4">
        <f t="shared" si="0"/>
        <v>0</v>
      </c>
      <c r="F62" s="4">
        <f t="shared" si="1"/>
        <v>69</v>
      </c>
      <c r="G62" s="4">
        <f t="shared" si="2"/>
        <v>4761</v>
      </c>
      <c r="H62" s="5">
        <f>SQRT(SUM('p-pi-9'!$C$3:C62)/COUNTIF($A$3:A62,"&lt;&gt;0"))</f>
        <v>16.37274157453988</v>
      </c>
    </row>
    <row r="63" spans="1:8">
      <c r="A63">
        <v>61</v>
      </c>
      <c r="B63">
        <v>343</v>
      </c>
      <c r="C63">
        <v>331</v>
      </c>
      <c r="D63">
        <v>314</v>
      </c>
      <c r="E63" s="4">
        <f t="shared" si="0"/>
        <v>1</v>
      </c>
      <c r="F63" s="4">
        <f t="shared" si="1"/>
        <v>12</v>
      </c>
      <c r="G63" s="4">
        <f t="shared" si="2"/>
        <v>144</v>
      </c>
      <c r="H63" s="5">
        <f>SQRT(SUM('p-pi-9'!$C$3:C63)/COUNTIF($A$3:A63,"&lt;&gt;0"))</f>
        <v>16.40421777030949</v>
      </c>
    </row>
    <row r="64" spans="1:8">
      <c r="A64">
        <v>62</v>
      </c>
      <c r="B64">
        <v>343</v>
      </c>
      <c r="C64">
        <v>258</v>
      </c>
      <c r="D64">
        <v>340</v>
      </c>
      <c r="E64" s="4">
        <f t="shared" si="0"/>
        <v>0</v>
      </c>
      <c r="F64" s="4">
        <f t="shared" si="1"/>
        <v>85</v>
      </c>
      <c r="G64" s="4">
        <f t="shared" si="2"/>
        <v>7225</v>
      </c>
      <c r="H64" s="5">
        <f>SQRT(SUM('p-pi-9'!$C$3:C64)/COUNTIF($A$3:A64,"&lt;&gt;0"))</f>
        <v>16.398760771433604</v>
      </c>
    </row>
    <row r="65" spans="1:8">
      <c r="A65">
        <v>63</v>
      </c>
      <c r="B65">
        <v>343</v>
      </c>
      <c r="C65">
        <v>374</v>
      </c>
      <c r="D65">
        <v>368</v>
      </c>
      <c r="E65" s="4">
        <f t="shared" si="0"/>
        <v>1</v>
      </c>
      <c r="F65" s="4">
        <f t="shared" si="1"/>
        <v>31</v>
      </c>
      <c r="G65" s="4">
        <f t="shared" si="2"/>
        <v>961</v>
      </c>
      <c r="H65" s="5">
        <f>SQRT(SUM('p-pi-9'!$C$3:C65)/COUNTIF($A$3:A65,"&lt;&gt;0"))</f>
        <v>16.449538035680565</v>
      </c>
    </row>
    <row r="66" spans="1:8">
      <c r="A66">
        <v>64</v>
      </c>
      <c r="B66">
        <v>343</v>
      </c>
      <c r="C66">
        <v>238</v>
      </c>
      <c r="D66">
        <v>331</v>
      </c>
      <c r="E66" s="4">
        <f t="shared" si="0"/>
        <v>0</v>
      </c>
      <c r="F66" s="4">
        <f t="shared" si="1"/>
        <v>105</v>
      </c>
      <c r="G66" s="4">
        <f t="shared" si="2"/>
        <v>11025</v>
      </c>
      <c r="H66" s="5">
        <f>SQRT(SUM('p-pi-9'!$C$3:C66)/COUNTIF($A$3:A66,"&lt;&gt;0"))</f>
        <v>16.434053821257859</v>
      </c>
    </row>
    <row r="67" spans="1:8">
      <c r="A67">
        <v>65</v>
      </c>
      <c r="B67">
        <v>343</v>
      </c>
      <c r="C67">
        <v>353</v>
      </c>
      <c r="D67">
        <v>379</v>
      </c>
      <c r="E67" s="4">
        <f t="shared" si="0"/>
        <v>1</v>
      </c>
      <c r="F67" s="4">
        <f t="shared" si="1"/>
        <v>10</v>
      </c>
      <c r="G67" s="4">
        <f t="shared" si="2"/>
        <v>100</v>
      </c>
      <c r="H67" s="5">
        <f>SQRT(SUM('p-pi-9'!$C$3:C67)/COUNTIF($A$3:A67,"&lt;&gt;0"))</f>
        <v>16.472821438777455</v>
      </c>
    </row>
    <row r="68" spans="1:8">
      <c r="A68">
        <v>66</v>
      </c>
      <c r="B68">
        <v>343</v>
      </c>
      <c r="C68">
        <v>326</v>
      </c>
      <c r="D68">
        <v>344</v>
      </c>
      <c r="E68" s="4">
        <f t="shared" ref="E68:E131" si="3">IF(AND(C68&lt;=B68*1.2,C68&gt;=B68*0.8),1,0)</f>
        <v>1</v>
      </c>
      <c r="F68" s="4">
        <f t="shared" ref="F68:F131" si="4">ABS(B68-C68)</f>
        <v>17</v>
      </c>
      <c r="G68" s="4">
        <f t="shared" ref="G68:G131" si="5">POWER(F68,2)</f>
        <v>289</v>
      </c>
      <c r="H68" s="5">
        <f>SQRT(SUM('p-pi-9'!$C$3:C68)/COUNTIF($A$3:A68,"&lt;&gt;0"))</f>
        <v>16.497933754922713</v>
      </c>
    </row>
    <row r="69" spans="1:8">
      <c r="A69">
        <v>67</v>
      </c>
      <c r="B69">
        <v>343</v>
      </c>
      <c r="C69">
        <v>310</v>
      </c>
      <c r="D69">
        <v>353</v>
      </c>
      <c r="E69" s="4">
        <f t="shared" si="3"/>
        <v>1</v>
      </c>
      <c r="F69" s="4">
        <f t="shared" si="4"/>
        <v>33</v>
      </c>
      <c r="G69" s="4">
        <f t="shared" si="5"/>
        <v>1089</v>
      </c>
      <c r="H69" s="5">
        <f>SQRT(SUM('p-pi-9'!$C$3:C69)/COUNTIF($A$3:A69,"&lt;&gt;0"))</f>
        <v>16.515031597206118</v>
      </c>
    </row>
    <row r="70" spans="1:8">
      <c r="A70">
        <v>68</v>
      </c>
      <c r="B70">
        <v>343</v>
      </c>
      <c r="C70">
        <v>407</v>
      </c>
      <c r="D70">
        <v>361</v>
      </c>
      <c r="E70" s="4">
        <f t="shared" si="3"/>
        <v>1</v>
      </c>
      <c r="F70" s="4">
        <f t="shared" si="4"/>
        <v>64</v>
      </c>
      <c r="G70" s="4">
        <f t="shared" si="5"/>
        <v>4096</v>
      </c>
      <c r="H70" s="5">
        <f>SQRT(SUM('p-pi-9'!$C$3:C70)/COUNTIF($A$3:A70,"&lt;&gt;0"))</f>
        <v>16.574697229068594</v>
      </c>
    </row>
    <row r="71" spans="1:8">
      <c r="A71">
        <v>69</v>
      </c>
      <c r="B71">
        <v>343</v>
      </c>
      <c r="C71">
        <v>348</v>
      </c>
      <c r="D71">
        <v>327</v>
      </c>
      <c r="E71" s="4">
        <f t="shared" si="3"/>
        <v>1</v>
      </c>
      <c r="F71" s="4">
        <f t="shared" si="4"/>
        <v>5</v>
      </c>
      <c r="G71" s="4">
        <f t="shared" si="5"/>
        <v>25</v>
      </c>
      <c r="H71" s="5">
        <f>SQRT(SUM('p-pi-9'!$C$3:C71)/COUNTIF($A$3:A71,"&lt;&gt;0"))</f>
        <v>16.606703727580985</v>
      </c>
    </row>
    <row r="72" spans="1:8">
      <c r="A72">
        <v>70</v>
      </c>
      <c r="B72">
        <v>343</v>
      </c>
      <c r="C72">
        <v>335</v>
      </c>
      <c r="D72">
        <v>344</v>
      </c>
      <c r="E72" s="4">
        <f t="shared" si="3"/>
        <v>1</v>
      </c>
      <c r="F72" s="4">
        <f t="shared" si="4"/>
        <v>8</v>
      </c>
      <c r="G72" s="4">
        <f t="shared" si="5"/>
        <v>64</v>
      </c>
      <c r="H72" s="5">
        <f>SQRT(SUM('p-pi-9'!$C$3:C72)/COUNTIF($A$3:A72,"&lt;&gt;0"))</f>
        <v>16.632154744006304</v>
      </c>
    </row>
    <row r="73" spans="1:8">
      <c r="A73">
        <v>71</v>
      </c>
      <c r="B73">
        <v>343</v>
      </c>
      <c r="C73">
        <v>308</v>
      </c>
      <c r="D73">
        <v>349</v>
      </c>
      <c r="E73" s="4">
        <f t="shared" si="3"/>
        <v>1</v>
      </c>
      <c r="F73" s="4">
        <f t="shared" si="4"/>
        <v>35</v>
      </c>
      <c r="G73" s="4">
        <f t="shared" si="5"/>
        <v>1225</v>
      </c>
      <c r="H73" s="5">
        <f>SQRT(SUM('p-pi-9'!$C$3:C73)/COUNTIF($A$3:A73,"&lt;&gt;0"))</f>
        <v>16.645432482672575</v>
      </c>
    </row>
    <row r="74" spans="1:8">
      <c r="A74">
        <v>72</v>
      </c>
      <c r="B74">
        <v>343</v>
      </c>
      <c r="C74">
        <v>367</v>
      </c>
      <c r="D74">
        <v>359</v>
      </c>
      <c r="E74" s="4">
        <f t="shared" si="3"/>
        <v>1</v>
      </c>
      <c r="F74" s="4">
        <f t="shared" si="4"/>
        <v>24</v>
      </c>
      <c r="G74" s="4">
        <f t="shared" si="5"/>
        <v>576</v>
      </c>
      <c r="H74" s="5">
        <f>SQRT(SUM('p-pi-9'!$C$3:C74)/COUNTIF($A$3:A74,"&lt;&gt;0"))</f>
        <v>16.682908752506094</v>
      </c>
    </row>
    <row r="75" spans="1:8">
      <c r="A75">
        <v>73</v>
      </c>
      <c r="B75">
        <v>343</v>
      </c>
      <c r="C75">
        <v>324</v>
      </c>
      <c r="D75">
        <v>340</v>
      </c>
      <c r="E75" s="4">
        <f t="shared" si="3"/>
        <v>1</v>
      </c>
      <c r="F75" s="4">
        <f t="shared" si="4"/>
        <v>19</v>
      </c>
      <c r="G75" s="4">
        <f t="shared" si="5"/>
        <v>361</v>
      </c>
      <c r="H75" s="5">
        <f>SQRT(SUM('p-pi-9'!$C$3:C75)/COUNTIF($A$3:A75,"&lt;&gt;0"))</f>
        <v>16.701652776879659</v>
      </c>
    </row>
    <row r="76" spans="1:8">
      <c r="A76">
        <v>74</v>
      </c>
      <c r="B76">
        <v>343</v>
      </c>
      <c r="C76">
        <v>309</v>
      </c>
      <c r="D76">
        <v>354</v>
      </c>
      <c r="E76" s="4">
        <f t="shared" si="3"/>
        <v>1</v>
      </c>
      <c r="F76" s="4">
        <f t="shared" si="4"/>
        <v>34</v>
      </c>
      <c r="G76" s="4">
        <f t="shared" si="5"/>
        <v>1156</v>
      </c>
      <c r="H76" s="5">
        <f>SQRT(SUM('p-pi-9'!$C$3:C76)/COUNTIF($A$3:A76,"&lt;&gt;0"))</f>
        <v>16.713807206957707</v>
      </c>
    </row>
    <row r="77" spans="1:8">
      <c r="A77">
        <v>75</v>
      </c>
      <c r="B77">
        <v>343</v>
      </c>
      <c r="C77">
        <v>408</v>
      </c>
      <c r="D77">
        <v>361</v>
      </c>
      <c r="E77" s="4">
        <f t="shared" si="3"/>
        <v>1</v>
      </c>
      <c r="F77" s="4">
        <f t="shared" si="4"/>
        <v>65</v>
      </c>
      <c r="G77" s="4">
        <f t="shared" si="5"/>
        <v>4225</v>
      </c>
      <c r="H77" s="5">
        <f>SQRT(SUM('p-pi-9'!$C$3:C77)/COUNTIF($A$3:A77,"&lt;&gt;0"))</f>
        <v>16.765042996266565</v>
      </c>
    </row>
    <row r="78" spans="1:8">
      <c r="A78">
        <v>76</v>
      </c>
      <c r="B78">
        <v>343</v>
      </c>
      <c r="C78">
        <v>347</v>
      </c>
      <c r="D78">
        <v>326</v>
      </c>
      <c r="E78" s="4">
        <f t="shared" si="3"/>
        <v>1</v>
      </c>
      <c r="F78" s="4">
        <f t="shared" si="4"/>
        <v>4</v>
      </c>
      <c r="G78" s="4">
        <f t="shared" si="5"/>
        <v>16</v>
      </c>
      <c r="H78" s="5">
        <f>SQRT(SUM('p-pi-9'!$C$3:C78)/COUNTIF($A$3:A78,"&lt;&gt;0"))</f>
        <v>16.79089665641224</v>
      </c>
    </row>
    <row r="79" spans="1:8">
      <c r="A79">
        <v>77</v>
      </c>
      <c r="B79">
        <v>343</v>
      </c>
      <c r="C79">
        <v>335</v>
      </c>
      <c r="D79">
        <v>344</v>
      </c>
      <c r="E79" s="4">
        <f t="shared" si="3"/>
        <v>1</v>
      </c>
      <c r="F79" s="4">
        <f t="shared" si="4"/>
        <v>8</v>
      </c>
      <c r="G79" s="4">
        <f t="shared" si="5"/>
        <v>64</v>
      </c>
      <c r="H79" s="5">
        <f>SQRT(SUM('p-pi-9'!$C$3:C79)/COUNTIF($A$3:A79,"&lt;&gt;0"))</f>
        <v>16.811406146523751</v>
      </c>
    </row>
    <row r="80" spans="1:8">
      <c r="A80">
        <v>78</v>
      </c>
      <c r="B80">
        <v>343</v>
      </c>
      <c r="C80">
        <v>398</v>
      </c>
      <c r="D80">
        <v>349</v>
      </c>
      <c r="E80" s="4">
        <f t="shared" si="3"/>
        <v>1</v>
      </c>
      <c r="F80" s="4">
        <f t="shared" si="4"/>
        <v>55</v>
      </c>
      <c r="G80" s="4">
        <f t="shared" si="5"/>
        <v>3025</v>
      </c>
      <c r="H80" s="5">
        <f>SQRT(SUM('p-pi-9'!$C$3:C80)/COUNTIF($A$3:A80,"&lt;&gt;0"))</f>
        <v>16.855342301554249</v>
      </c>
    </row>
    <row r="81" spans="1:8">
      <c r="A81">
        <v>79</v>
      </c>
      <c r="B81">
        <v>343</v>
      </c>
      <c r="C81">
        <v>275</v>
      </c>
      <c r="D81">
        <v>325</v>
      </c>
      <c r="E81" s="4">
        <f t="shared" si="3"/>
        <v>1</v>
      </c>
      <c r="F81" s="4">
        <f t="shared" si="4"/>
        <v>68</v>
      </c>
      <c r="G81" s="4">
        <f t="shared" si="5"/>
        <v>4624</v>
      </c>
      <c r="H81" s="5">
        <f>SQRT(SUM('p-pi-9'!$C$3:C81)/COUNTIF($A$3:A81,"&lt;&gt;0"))</f>
        <v>16.851923978351905</v>
      </c>
    </row>
    <row r="82" spans="1:8">
      <c r="A82">
        <v>80</v>
      </c>
      <c r="B82">
        <v>343</v>
      </c>
      <c r="C82">
        <v>340</v>
      </c>
      <c r="D82">
        <v>368</v>
      </c>
      <c r="E82" s="4">
        <f t="shared" si="3"/>
        <v>1</v>
      </c>
      <c r="F82" s="4">
        <f t="shared" si="4"/>
        <v>3</v>
      </c>
      <c r="G82" s="4">
        <f t="shared" si="5"/>
        <v>9</v>
      </c>
      <c r="H82" s="5">
        <f>SQRT(SUM('p-pi-9'!$C$3:C82)/COUNTIF($A$3:A82,"&lt;&gt;0"))</f>
        <v>16.872685026396955</v>
      </c>
    </row>
    <row r="83" spans="1:8">
      <c r="A83">
        <v>81</v>
      </c>
      <c r="B83">
        <v>343</v>
      </c>
      <c r="C83">
        <v>292</v>
      </c>
      <c r="D83">
        <v>348</v>
      </c>
      <c r="E83" s="4">
        <f t="shared" si="3"/>
        <v>1</v>
      </c>
      <c r="F83" s="4">
        <f t="shared" si="4"/>
        <v>51</v>
      </c>
      <c r="G83" s="4">
        <f t="shared" si="5"/>
        <v>2601</v>
      </c>
      <c r="H83" s="5">
        <f>SQRT(SUM('p-pi-9'!$C$3:C83)/COUNTIF($A$3:A83,"&lt;&gt;0"))</f>
        <v>16.875360078462851</v>
      </c>
    </row>
    <row r="84" spans="1:8">
      <c r="A84">
        <v>82</v>
      </c>
      <c r="B84">
        <v>343</v>
      </c>
      <c r="C84">
        <v>372</v>
      </c>
      <c r="D84">
        <v>366</v>
      </c>
      <c r="E84" s="4">
        <f t="shared" si="3"/>
        <v>1</v>
      </c>
      <c r="F84" s="4">
        <f t="shared" si="4"/>
        <v>29</v>
      </c>
      <c r="G84" s="4">
        <f t="shared" si="5"/>
        <v>841</v>
      </c>
      <c r="H84" s="5">
        <f>SQRT(SUM('p-pi-9'!$C$3:C84)/COUNTIF($A$3:A84,"&lt;&gt;0"))</f>
        <v>16.906846643139403</v>
      </c>
    </row>
    <row r="85" spans="1:8">
      <c r="A85">
        <v>83</v>
      </c>
      <c r="B85">
        <v>343</v>
      </c>
      <c r="C85">
        <v>324</v>
      </c>
      <c r="D85">
        <v>340</v>
      </c>
      <c r="E85" s="4">
        <f t="shared" si="3"/>
        <v>1</v>
      </c>
      <c r="F85" s="4">
        <f t="shared" si="4"/>
        <v>19</v>
      </c>
      <c r="G85" s="4">
        <f t="shared" si="5"/>
        <v>361</v>
      </c>
      <c r="H85" s="5">
        <f>SQRT(SUM('p-pi-9'!$C$3:C85)/COUNTIF($A$3:A85,"&lt;&gt;0"))</f>
        <v>16.920437489003561</v>
      </c>
    </row>
    <row r="86" spans="1:8">
      <c r="A86">
        <v>84</v>
      </c>
      <c r="B86">
        <v>343</v>
      </c>
      <c r="C86">
        <v>401</v>
      </c>
      <c r="D86">
        <v>356</v>
      </c>
      <c r="E86" s="4">
        <f t="shared" si="3"/>
        <v>1</v>
      </c>
      <c r="F86" s="4">
        <f t="shared" si="4"/>
        <v>58</v>
      </c>
      <c r="G86" s="4">
        <f t="shared" si="5"/>
        <v>3364</v>
      </c>
      <c r="H86" s="5">
        <f>SQRT(SUM('p-pi-9'!$C$3:C86)/COUNTIF($A$3:A86,"&lt;&gt;0"))</f>
        <v>16.960738977611403</v>
      </c>
    </row>
    <row r="87" spans="1:8">
      <c r="A87">
        <v>85</v>
      </c>
      <c r="B87">
        <v>343</v>
      </c>
      <c r="C87">
        <v>302</v>
      </c>
      <c r="D87">
        <v>328</v>
      </c>
      <c r="E87" s="4">
        <f t="shared" si="3"/>
        <v>1</v>
      </c>
      <c r="F87" s="4">
        <f t="shared" si="4"/>
        <v>41</v>
      </c>
      <c r="G87" s="4">
        <f t="shared" si="5"/>
        <v>1681</v>
      </c>
      <c r="H87" s="5">
        <f>SQRT(SUM('p-pi-9'!$C$3:C87)/COUNTIF($A$3:A87,"&lt;&gt;0"))</f>
        <v>16.96570936087398</v>
      </c>
    </row>
    <row r="88" spans="1:8">
      <c r="A88">
        <v>86</v>
      </c>
      <c r="B88">
        <v>343</v>
      </c>
      <c r="C88">
        <v>368</v>
      </c>
      <c r="D88">
        <v>361</v>
      </c>
      <c r="E88" s="4">
        <f t="shared" si="3"/>
        <v>1</v>
      </c>
      <c r="F88" s="4">
        <f t="shared" si="4"/>
        <v>25</v>
      </c>
      <c r="G88" s="4">
        <f t="shared" si="5"/>
        <v>625</v>
      </c>
      <c r="H88" s="5">
        <f>SQRT(SUM('p-pi-9'!$C$3:C88)/COUNTIF($A$3:A88,"&lt;&gt;0"))</f>
        <v>16.993158678140599</v>
      </c>
    </row>
    <row r="89" spans="1:8">
      <c r="A89">
        <v>87</v>
      </c>
      <c r="B89">
        <v>343</v>
      </c>
      <c r="C89">
        <v>323</v>
      </c>
      <c r="D89">
        <v>339</v>
      </c>
      <c r="E89" s="4">
        <f t="shared" si="3"/>
        <v>1</v>
      </c>
      <c r="F89" s="4">
        <f t="shared" si="4"/>
        <v>20</v>
      </c>
      <c r="G89" s="4">
        <f t="shared" si="5"/>
        <v>400</v>
      </c>
      <c r="H89" s="5">
        <f>SQRT(SUM('p-pi-9'!$C$3:C89)/COUNTIF($A$3:A89,"&lt;&gt;0"))</f>
        <v>17.004732268995884</v>
      </c>
    </row>
    <row r="90" spans="1:8">
      <c r="A90">
        <v>88</v>
      </c>
      <c r="B90">
        <v>343</v>
      </c>
      <c r="C90">
        <v>309</v>
      </c>
      <c r="D90">
        <v>354</v>
      </c>
      <c r="E90" s="4">
        <f t="shared" si="3"/>
        <v>1</v>
      </c>
      <c r="F90" s="4">
        <f t="shared" si="4"/>
        <v>34</v>
      </c>
      <c r="G90" s="4">
        <f t="shared" si="5"/>
        <v>1156</v>
      </c>
      <c r="H90" s="5">
        <f>SQRT(SUM('p-pi-9'!$C$3:C90)/COUNTIF($A$3:A90,"&lt;&gt;0"))</f>
        <v>17.011359840893487</v>
      </c>
    </row>
    <row r="91" spans="1:8">
      <c r="A91">
        <v>89</v>
      </c>
      <c r="B91">
        <v>343</v>
      </c>
      <c r="C91">
        <v>367</v>
      </c>
      <c r="D91">
        <v>361</v>
      </c>
      <c r="E91" s="4">
        <f t="shared" si="3"/>
        <v>1</v>
      </c>
      <c r="F91" s="4">
        <f t="shared" si="4"/>
        <v>24</v>
      </c>
      <c r="G91" s="4">
        <f t="shared" si="5"/>
        <v>576</v>
      </c>
      <c r="H91" s="5">
        <f>SQRT(SUM('p-pi-9'!$C$3:C91)/COUNTIF($A$3:A91,"&lt;&gt;0"))</f>
        <v>17.036972353276038</v>
      </c>
    </row>
    <row r="92" spans="1:8">
      <c r="A92">
        <v>90</v>
      </c>
      <c r="B92">
        <v>343</v>
      </c>
      <c r="C92">
        <v>236</v>
      </c>
      <c r="D92">
        <v>342</v>
      </c>
      <c r="E92" s="4">
        <f t="shared" si="3"/>
        <v>0</v>
      </c>
      <c r="F92" s="4">
        <f t="shared" si="4"/>
        <v>107</v>
      </c>
      <c r="G92" s="4">
        <f t="shared" si="5"/>
        <v>11449</v>
      </c>
      <c r="H92" s="5">
        <f>SQRT(SUM('p-pi-9'!$C$3:C92)/COUNTIF($A$3:A92,"&lt;&gt;0"))</f>
        <v>17.019270124055133</v>
      </c>
    </row>
    <row r="93" spans="1:8">
      <c r="A93">
        <v>91</v>
      </c>
      <c r="B93">
        <v>343</v>
      </c>
      <c r="C93">
        <v>411</v>
      </c>
      <c r="D93">
        <v>389</v>
      </c>
      <c r="E93" s="4">
        <f t="shared" si="3"/>
        <v>1</v>
      </c>
      <c r="F93" s="4">
        <f t="shared" si="4"/>
        <v>68</v>
      </c>
      <c r="G93" s="4">
        <f t="shared" si="5"/>
        <v>4624</v>
      </c>
      <c r="H93" s="5">
        <f>SQRT(SUM('p-pi-9'!$C$3:C93)/COUNTIF($A$3:A93,"&lt;&gt;0"))</f>
        <v>17.058400012574772</v>
      </c>
    </row>
    <row r="94" spans="1:8">
      <c r="A94">
        <v>92</v>
      </c>
      <c r="B94">
        <v>343</v>
      </c>
      <c r="C94">
        <v>357</v>
      </c>
      <c r="D94">
        <v>332</v>
      </c>
      <c r="E94" s="4">
        <f t="shared" si="3"/>
        <v>1</v>
      </c>
      <c r="F94" s="4">
        <f t="shared" si="4"/>
        <v>14</v>
      </c>
      <c r="G94" s="4">
        <f t="shared" si="5"/>
        <v>196</v>
      </c>
      <c r="H94" s="5">
        <f>SQRT(SUM('p-pi-9'!$C$3:C94)/COUNTIF($A$3:A94,"&lt;&gt;0"))</f>
        <v>17.079418073784904</v>
      </c>
    </row>
    <row r="95" spans="1:8">
      <c r="A95">
        <v>93</v>
      </c>
      <c r="B95">
        <v>343</v>
      </c>
      <c r="C95">
        <v>328</v>
      </c>
      <c r="D95">
        <v>347</v>
      </c>
      <c r="E95" s="4">
        <f t="shared" si="3"/>
        <v>1</v>
      </c>
      <c r="F95" s="4">
        <f t="shared" si="4"/>
        <v>15</v>
      </c>
      <c r="G95" s="4">
        <f t="shared" si="5"/>
        <v>225</v>
      </c>
      <c r="H95" s="5">
        <f>SQRT(SUM('p-pi-9'!$C$3:C95)/COUNTIF($A$3:A95,"&lt;&gt;0"))</f>
        <v>17.090838896717401</v>
      </c>
    </row>
    <row r="96" spans="1:8">
      <c r="A96">
        <v>94</v>
      </c>
      <c r="B96">
        <v>343</v>
      </c>
      <c r="C96">
        <v>311</v>
      </c>
      <c r="D96">
        <v>356</v>
      </c>
      <c r="E96" s="4">
        <f t="shared" si="3"/>
        <v>1</v>
      </c>
      <c r="F96" s="4">
        <f t="shared" si="4"/>
        <v>32</v>
      </c>
      <c r="G96" s="4">
        <f t="shared" si="5"/>
        <v>1024</v>
      </c>
      <c r="H96" s="5">
        <f>SQRT(SUM('p-pi-9'!$C$3:C96)/COUNTIF($A$3:A96,"&lt;&gt;0"))</f>
        <v>17.096721099100421</v>
      </c>
    </row>
    <row r="97" spans="1:8">
      <c r="A97">
        <v>95</v>
      </c>
      <c r="B97">
        <v>343</v>
      </c>
      <c r="C97">
        <v>369</v>
      </c>
      <c r="D97">
        <v>364</v>
      </c>
      <c r="E97" s="4">
        <f t="shared" si="3"/>
        <v>1</v>
      </c>
      <c r="F97" s="4">
        <f t="shared" si="4"/>
        <v>26</v>
      </c>
      <c r="G97" s="4">
        <f t="shared" si="5"/>
        <v>676</v>
      </c>
      <c r="H97" s="5">
        <f>SQRT(SUM('p-pi-9'!$C$3:C97)/COUNTIF($A$3:A97,"&lt;&gt;0"))</f>
        <v>17.120317262185733</v>
      </c>
    </row>
    <row r="98" spans="1:8">
      <c r="A98">
        <v>96</v>
      </c>
      <c r="B98">
        <v>343</v>
      </c>
      <c r="C98">
        <v>315</v>
      </c>
      <c r="D98">
        <v>344</v>
      </c>
      <c r="E98" s="4">
        <f t="shared" si="3"/>
        <v>1</v>
      </c>
      <c r="F98" s="4">
        <f t="shared" si="4"/>
        <v>28</v>
      </c>
      <c r="G98" s="4">
        <f t="shared" si="5"/>
        <v>784</v>
      </c>
      <c r="H98" s="5">
        <f>SQRT(SUM('p-pi-9'!$C$3:C98)/COUNTIF($A$3:A98,"&lt;&gt;0"))</f>
        <v>17.126976771553505</v>
      </c>
    </row>
    <row r="99" spans="1:8">
      <c r="A99">
        <v>97</v>
      </c>
      <c r="B99">
        <v>343</v>
      </c>
      <c r="C99">
        <v>406</v>
      </c>
      <c r="D99">
        <v>363</v>
      </c>
      <c r="E99" s="4">
        <f t="shared" si="3"/>
        <v>1</v>
      </c>
      <c r="F99" s="4">
        <f t="shared" si="4"/>
        <v>63</v>
      </c>
      <c r="G99" s="4">
        <f t="shared" si="5"/>
        <v>3969</v>
      </c>
      <c r="H99" s="5">
        <f>SQRT(SUM('p-pi-9'!$C$3:C99)/COUNTIF($A$3:A99,"&lt;&gt;0"))</f>
        <v>17.160852116396342</v>
      </c>
    </row>
    <row r="100" spans="1:8">
      <c r="A100">
        <v>98</v>
      </c>
      <c r="B100">
        <v>343</v>
      </c>
      <c r="C100">
        <v>305</v>
      </c>
      <c r="D100">
        <v>331</v>
      </c>
      <c r="E100" s="4">
        <f t="shared" si="3"/>
        <v>1</v>
      </c>
      <c r="F100" s="4">
        <f t="shared" si="4"/>
        <v>38</v>
      </c>
      <c r="G100" s="4">
        <f t="shared" si="5"/>
        <v>1444</v>
      </c>
      <c r="H100" s="5">
        <f>SQRT(SUM('p-pi-9'!$C$3:C100)/COUNTIF($A$3:A100,"&lt;&gt;0"))</f>
        <v>17.163975087849739</v>
      </c>
    </row>
    <row r="101" spans="1:8">
      <c r="A101">
        <v>99</v>
      </c>
      <c r="B101">
        <v>343</v>
      </c>
      <c r="C101">
        <v>411</v>
      </c>
      <c r="D101">
        <v>364</v>
      </c>
      <c r="E101" s="4">
        <f t="shared" si="3"/>
        <v>1</v>
      </c>
      <c r="F101" s="4">
        <f t="shared" si="4"/>
        <v>68</v>
      </c>
      <c r="G101" s="4">
        <f t="shared" si="5"/>
        <v>4624</v>
      </c>
      <c r="H101" s="5">
        <f>SQRT(SUM('p-pi-9'!$C$3:C101)/COUNTIF($A$3:A101,"&lt;&gt;0"))</f>
        <v>17.198191119352575</v>
      </c>
    </row>
    <row r="102" spans="1:8">
      <c r="A102">
        <v>100</v>
      </c>
      <c r="B102">
        <v>343</v>
      </c>
      <c r="C102">
        <v>401</v>
      </c>
      <c r="D102">
        <v>327</v>
      </c>
      <c r="E102" s="4">
        <f t="shared" si="3"/>
        <v>1</v>
      </c>
      <c r="F102" s="4">
        <f t="shared" si="4"/>
        <v>58</v>
      </c>
      <c r="G102" s="4">
        <f t="shared" si="5"/>
        <v>3364</v>
      </c>
      <c r="H102" s="5">
        <f>SQRT(SUM('p-pi-9'!$C$3:C102)/COUNTIF($A$3:A102,"&lt;&gt;0"))</f>
        <v>17.228755033373712</v>
      </c>
    </row>
    <row r="103" spans="1:8">
      <c r="A103">
        <v>101</v>
      </c>
      <c r="B103">
        <v>343</v>
      </c>
      <c r="C103">
        <v>400</v>
      </c>
      <c r="D103">
        <v>325</v>
      </c>
      <c r="E103" s="4">
        <f t="shared" si="3"/>
        <v>1</v>
      </c>
      <c r="F103" s="4">
        <f t="shared" si="4"/>
        <v>57</v>
      </c>
      <c r="G103" s="4">
        <f t="shared" si="5"/>
        <v>3249</v>
      </c>
      <c r="H103" s="5">
        <f>SQRT(SUM('p-pi-9'!$C$3:C103)/COUNTIF($A$3:A103,"&lt;&gt;0"))</f>
        <v>17.258374348371134</v>
      </c>
    </row>
    <row r="104" spans="1:8">
      <c r="A104">
        <v>102</v>
      </c>
      <c r="B104">
        <v>343</v>
      </c>
      <c r="C104">
        <v>397</v>
      </c>
      <c r="D104">
        <v>322</v>
      </c>
      <c r="E104" s="4">
        <f t="shared" si="3"/>
        <v>1</v>
      </c>
      <c r="F104" s="4">
        <f t="shared" si="4"/>
        <v>54</v>
      </c>
      <c r="G104" s="4">
        <f t="shared" si="5"/>
        <v>2916</v>
      </c>
      <c r="H104" s="5">
        <f>SQRT(SUM('p-pi-9'!$C$3:C104)/COUNTIF($A$3:A104,"&lt;&gt;0"))</f>
        <v>17.28651293383847</v>
      </c>
    </row>
    <row r="105" spans="1:8">
      <c r="A105">
        <v>103</v>
      </c>
      <c r="B105">
        <v>343</v>
      </c>
      <c r="C105">
        <v>334</v>
      </c>
      <c r="D105">
        <v>318</v>
      </c>
      <c r="E105" s="4">
        <f t="shared" si="3"/>
        <v>1</v>
      </c>
      <c r="F105" s="4">
        <f t="shared" si="4"/>
        <v>9</v>
      </c>
      <c r="G105" s="4">
        <f t="shared" si="5"/>
        <v>81</v>
      </c>
      <c r="H105" s="5">
        <f>SQRT(SUM('p-pi-9'!$C$3:C105)/COUNTIF($A$3:A105,"&lt;&gt;0"))</f>
        <v>17.296388309230608</v>
      </c>
    </row>
    <row r="106" spans="1:8">
      <c r="A106">
        <v>104</v>
      </c>
      <c r="B106">
        <v>343</v>
      </c>
      <c r="C106">
        <v>346</v>
      </c>
      <c r="D106">
        <v>338</v>
      </c>
      <c r="E106" s="4">
        <f t="shared" si="3"/>
        <v>1</v>
      </c>
      <c r="F106" s="4">
        <f t="shared" si="4"/>
        <v>3</v>
      </c>
      <c r="G106" s="4">
        <f t="shared" si="5"/>
        <v>9</v>
      </c>
      <c r="H106" s="5">
        <f>SQRT(SUM('p-pi-9'!$C$3:C106)/COUNTIF($A$3:A106,"&lt;&gt;0"))</f>
        <v>17.309401624995147</v>
      </c>
    </row>
    <row r="107" spans="1:8">
      <c r="A107">
        <v>105</v>
      </c>
      <c r="B107">
        <v>343</v>
      </c>
      <c r="C107">
        <v>321</v>
      </c>
      <c r="D107">
        <v>334</v>
      </c>
      <c r="E107" s="4">
        <f t="shared" si="3"/>
        <v>1</v>
      </c>
      <c r="F107" s="4">
        <f t="shared" si="4"/>
        <v>22</v>
      </c>
      <c r="G107" s="4">
        <f t="shared" si="5"/>
        <v>484</v>
      </c>
      <c r="H107" s="5">
        <f>SQRT(SUM('p-pi-9'!$C$3:C107)/COUNTIF($A$3:A107,"&lt;&gt;0"))</f>
        <v>17.315283642465914</v>
      </c>
    </row>
    <row r="108" spans="1:8">
      <c r="A108">
        <v>106</v>
      </c>
      <c r="B108">
        <v>343</v>
      </c>
      <c r="C108">
        <v>359</v>
      </c>
      <c r="D108">
        <v>343</v>
      </c>
      <c r="E108" s="4">
        <f t="shared" si="3"/>
        <v>1</v>
      </c>
      <c r="F108" s="4">
        <f t="shared" si="4"/>
        <v>16</v>
      </c>
      <c r="G108" s="4">
        <f t="shared" si="5"/>
        <v>256</v>
      </c>
      <c r="H108" s="5">
        <f>SQRT(SUM('p-pi-9'!$C$3:C108)/COUNTIF($A$3:A108,"&lt;&gt;0"))</f>
        <v>17.331398053549115</v>
      </c>
    </row>
    <row r="109" spans="1:8">
      <c r="A109">
        <v>107</v>
      </c>
      <c r="B109">
        <v>343</v>
      </c>
      <c r="C109">
        <v>318</v>
      </c>
      <c r="D109">
        <v>331</v>
      </c>
      <c r="E109" s="4">
        <f t="shared" si="3"/>
        <v>1</v>
      </c>
      <c r="F109" s="4">
        <f t="shared" si="4"/>
        <v>25</v>
      </c>
      <c r="G109" s="4">
        <f t="shared" si="5"/>
        <v>625</v>
      </c>
      <c r="H109" s="5">
        <f>SQRT(SUM('p-pi-9'!$C$3:C109)/COUNTIF($A$3:A109,"&lt;&gt;0"))</f>
        <v>17.336148824775542</v>
      </c>
    </row>
    <row r="110" spans="1:8">
      <c r="A110">
        <v>108</v>
      </c>
      <c r="B110">
        <v>343</v>
      </c>
      <c r="C110">
        <v>324</v>
      </c>
      <c r="D110">
        <v>345</v>
      </c>
      <c r="E110" s="4">
        <f t="shared" si="3"/>
        <v>1</v>
      </c>
      <c r="F110" s="4">
        <f t="shared" si="4"/>
        <v>19</v>
      </c>
      <c r="G110" s="4">
        <f t="shared" si="5"/>
        <v>361</v>
      </c>
      <c r="H110" s="5">
        <f>SQRT(SUM('p-pi-9'!$C$3:C110)/COUNTIF($A$3:A110,"&lt;&gt;0"))</f>
        <v>17.342412152271645</v>
      </c>
    </row>
    <row r="111" spans="1:8">
      <c r="A111">
        <v>109</v>
      </c>
      <c r="B111">
        <v>343</v>
      </c>
      <c r="C111">
        <v>355</v>
      </c>
      <c r="D111">
        <v>344</v>
      </c>
      <c r="E111" s="4">
        <f t="shared" si="3"/>
        <v>1</v>
      </c>
      <c r="F111" s="4">
        <f t="shared" si="4"/>
        <v>12</v>
      </c>
      <c r="G111" s="4">
        <f t="shared" si="5"/>
        <v>144</v>
      </c>
      <c r="H111" s="5">
        <f>SQRT(SUM('p-pi-9'!$C$3:C111)/COUNTIF($A$3:A111,"&lt;&gt;0"))</f>
        <v>17.356753173734567</v>
      </c>
    </row>
    <row r="112" spans="1:8">
      <c r="A112">
        <v>110</v>
      </c>
      <c r="B112">
        <v>343</v>
      </c>
      <c r="C112">
        <v>320</v>
      </c>
      <c r="D112">
        <v>334</v>
      </c>
      <c r="E112" s="4">
        <f t="shared" si="3"/>
        <v>1</v>
      </c>
      <c r="F112" s="4">
        <f t="shared" si="4"/>
        <v>23</v>
      </c>
      <c r="G112" s="4">
        <f t="shared" si="5"/>
        <v>529</v>
      </c>
      <c r="H112" s="5">
        <f>SQRT(SUM('p-pi-9'!$C$3:C112)/COUNTIF($A$3:A112,"&lt;&gt;0"))</f>
        <v>17.361661001392484</v>
      </c>
    </row>
    <row r="113" spans="1:8">
      <c r="A113">
        <v>111</v>
      </c>
      <c r="B113">
        <v>343</v>
      </c>
      <c r="C113">
        <v>403</v>
      </c>
      <c r="D113">
        <v>346</v>
      </c>
      <c r="E113" s="4">
        <f t="shared" si="3"/>
        <v>1</v>
      </c>
      <c r="F113" s="4">
        <f t="shared" si="4"/>
        <v>60</v>
      </c>
      <c r="G113" s="4">
        <f t="shared" si="5"/>
        <v>3600</v>
      </c>
      <c r="H113" s="5">
        <f>SQRT(SUM('p-pi-9'!$C$3:C113)/COUNTIF($A$3:A113,"&lt;&gt;0"))</f>
        <v>17.387994201239611</v>
      </c>
    </row>
    <row r="114" spans="1:8">
      <c r="A114">
        <v>112</v>
      </c>
      <c r="B114">
        <v>343</v>
      </c>
      <c r="C114">
        <v>319</v>
      </c>
      <c r="D114">
        <v>317</v>
      </c>
      <c r="E114" s="4">
        <f t="shared" si="3"/>
        <v>1</v>
      </c>
      <c r="F114" s="4">
        <f t="shared" si="4"/>
        <v>24</v>
      </c>
      <c r="G114" s="4">
        <f t="shared" si="5"/>
        <v>576</v>
      </c>
      <c r="H114" s="5">
        <f>SQRT(SUM('p-pi-9'!$C$3:C114)/COUNTIF($A$3:A114,"&lt;&gt;0"))</f>
        <v>17.392270450650525</v>
      </c>
    </row>
    <row r="115" spans="1:8">
      <c r="A115">
        <v>113</v>
      </c>
      <c r="B115">
        <v>343</v>
      </c>
      <c r="C115">
        <v>386</v>
      </c>
      <c r="D115">
        <v>344</v>
      </c>
      <c r="E115" s="4">
        <f t="shared" si="3"/>
        <v>1</v>
      </c>
      <c r="F115" s="4">
        <f t="shared" si="4"/>
        <v>43</v>
      </c>
      <c r="G115" s="4">
        <f t="shared" si="5"/>
        <v>1849</v>
      </c>
      <c r="H115" s="5">
        <f>SQRT(SUM('p-pi-9'!$C$3:C115)/COUNTIF($A$3:A115,"&lt;&gt;0"))</f>
        <v>17.413503050666606</v>
      </c>
    </row>
    <row r="116" spans="1:8">
      <c r="A116">
        <v>114</v>
      </c>
      <c r="B116">
        <v>343</v>
      </c>
      <c r="C116">
        <v>360</v>
      </c>
      <c r="D116">
        <v>320</v>
      </c>
      <c r="E116" s="4">
        <f t="shared" si="3"/>
        <v>1</v>
      </c>
      <c r="F116" s="4">
        <f t="shared" si="4"/>
        <v>17</v>
      </c>
      <c r="G116" s="4">
        <f t="shared" si="5"/>
        <v>289</v>
      </c>
      <c r="H116" s="5">
        <f>SQRT(SUM('p-pi-9'!$C$3:C116)/COUNTIF($A$3:A116,"&lt;&gt;0"))</f>
        <v>17.427795906982574</v>
      </c>
    </row>
    <row r="117" spans="1:8">
      <c r="A117">
        <v>115</v>
      </c>
      <c r="B117">
        <v>343</v>
      </c>
      <c r="C117">
        <v>256</v>
      </c>
      <c r="D117">
        <v>327</v>
      </c>
      <c r="E117" s="4">
        <f t="shared" si="3"/>
        <v>0</v>
      </c>
      <c r="F117" s="4">
        <f t="shared" si="4"/>
        <v>87</v>
      </c>
      <c r="G117" s="4">
        <f t="shared" si="5"/>
        <v>7569</v>
      </c>
      <c r="H117" s="5">
        <f>SQRT(SUM('p-pi-9'!$C$3:C117)/COUNTIF($A$3:A117,"&lt;&gt;0"))</f>
        <v>17.415884803197937</v>
      </c>
    </row>
    <row r="118" spans="1:8">
      <c r="A118">
        <v>116</v>
      </c>
      <c r="B118">
        <v>343</v>
      </c>
      <c r="C118">
        <v>392</v>
      </c>
      <c r="D118">
        <v>365</v>
      </c>
      <c r="E118" s="4">
        <f t="shared" si="3"/>
        <v>1</v>
      </c>
      <c r="F118" s="4">
        <f t="shared" si="4"/>
        <v>49</v>
      </c>
      <c r="G118" s="4">
        <f t="shared" si="5"/>
        <v>2401</v>
      </c>
      <c r="H118" s="5">
        <f>SQRT(SUM('p-pi-9'!$C$3:C118)/COUNTIF($A$3:A118,"&lt;&gt;0"))</f>
        <v>17.437820569294104</v>
      </c>
    </row>
    <row r="119" spans="1:8">
      <c r="A119">
        <v>117</v>
      </c>
      <c r="B119">
        <v>343</v>
      </c>
      <c r="C119">
        <v>356</v>
      </c>
      <c r="D119">
        <v>320</v>
      </c>
      <c r="E119" s="4">
        <f t="shared" si="3"/>
        <v>1</v>
      </c>
      <c r="F119" s="4">
        <f t="shared" si="4"/>
        <v>13</v>
      </c>
      <c r="G119" s="4">
        <f t="shared" si="5"/>
        <v>169</v>
      </c>
      <c r="H119" s="5">
        <f>SQRT(SUM('p-pi-9'!$C$3:C119)/COUNTIF($A$3:A119,"&lt;&gt;0"))</f>
        <v>17.450540608283958</v>
      </c>
    </row>
    <row r="120" spans="1:8">
      <c r="A120">
        <v>118</v>
      </c>
      <c r="B120">
        <v>343</v>
      </c>
      <c r="C120">
        <v>324</v>
      </c>
      <c r="D120">
        <v>330</v>
      </c>
      <c r="E120" s="4">
        <f t="shared" si="3"/>
        <v>1</v>
      </c>
      <c r="F120" s="4">
        <f t="shared" si="4"/>
        <v>19</v>
      </c>
      <c r="G120" s="4">
        <f t="shared" si="5"/>
        <v>361</v>
      </c>
      <c r="H120" s="5">
        <f>SQRT(SUM('p-pi-9'!$C$3:C120)/COUNTIF($A$3:A120,"&lt;&gt;0"))</f>
        <v>17.455269710834209</v>
      </c>
    </row>
    <row r="121" spans="1:8">
      <c r="A121">
        <v>119</v>
      </c>
      <c r="B121">
        <v>343</v>
      </c>
      <c r="C121">
        <v>322</v>
      </c>
      <c r="D121">
        <v>341</v>
      </c>
      <c r="E121" s="4">
        <f t="shared" si="3"/>
        <v>1</v>
      </c>
      <c r="F121" s="4">
        <f t="shared" si="4"/>
        <v>21</v>
      </c>
      <c r="G121" s="4">
        <f t="shared" si="5"/>
        <v>441</v>
      </c>
      <c r="H121" s="5">
        <f>SQRT(SUM('p-pi-9'!$C$3:C121)/COUNTIF($A$3:A121,"&lt;&gt;0"))</f>
        <v>17.45943678281488</v>
      </c>
    </row>
    <row r="122" spans="1:8">
      <c r="A122">
        <v>120</v>
      </c>
      <c r="B122">
        <v>343</v>
      </c>
      <c r="C122">
        <v>394</v>
      </c>
      <c r="D122">
        <v>343</v>
      </c>
      <c r="E122" s="4">
        <f t="shared" si="3"/>
        <v>1</v>
      </c>
      <c r="F122" s="4">
        <f t="shared" si="4"/>
        <v>51</v>
      </c>
      <c r="G122" s="4">
        <f t="shared" si="5"/>
        <v>2601</v>
      </c>
      <c r="H122" s="5">
        <f>SQRT(SUM('p-pi-9'!$C$3:C122)/COUNTIF($A$3:A122,"&lt;&gt;0"))</f>
        <v>17.480703647164777</v>
      </c>
    </row>
    <row r="123" spans="1:8">
      <c r="A123">
        <v>121</v>
      </c>
      <c r="B123">
        <v>343</v>
      </c>
      <c r="C123">
        <v>299</v>
      </c>
      <c r="D123">
        <v>318</v>
      </c>
      <c r="E123" s="4">
        <f t="shared" si="3"/>
        <v>1</v>
      </c>
      <c r="F123" s="4">
        <f t="shared" si="4"/>
        <v>44</v>
      </c>
      <c r="G123" s="4">
        <f t="shared" si="5"/>
        <v>1936</v>
      </c>
      <c r="H123" s="5">
        <f>SQRT(SUM('p-pi-9'!$C$3:C123)/COUNTIF($A$3:A123,"&lt;&gt;0"))</f>
        <v>17.479149325897552</v>
      </c>
    </row>
    <row r="124" spans="1:8">
      <c r="A124">
        <v>122</v>
      </c>
      <c r="B124">
        <v>343</v>
      </c>
      <c r="C124">
        <v>303</v>
      </c>
      <c r="D124">
        <v>349</v>
      </c>
      <c r="E124" s="4">
        <f t="shared" si="3"/>
        <v>1</v>
      </c>
      <c r="F124" s="4">
        <f t="shared" si="4"/>
        <v>40</v>
      </c>
      <c r="G124" s="4">
        <f t="shared" si="5"/>
        <v>1600</v>
      </c>
      <c r="H124" s="5">
        <f>SQRT(SUM('p-pi-9'!$C$3:C124)/COUNTIF($A$3:A124,"&lt;&gt;0"))</f>
        <v>17.478558292948534</v>
      </c>
    </row>
    <row r="125" spans="1:8">
      <c r="A125">
        <v>123</v>
      </c>
      <c r="B125">
        <v>343</v>
      </c>
      <c r="C125">
        <v>400</v>
      </c>
      <c r="D125">
        <v>351</v>
      </c>
      <c r="E125" s="4">
        <f t="shared" si="3"/>
        <v>1</v>
      </c>
      <c r="F125" s="4">
        <f t="shared" si="4"/>
        <v>57</v>
      </c>
      <c r="G125" s="4">
        <f t="shared" si="5"/>
        <v>3249</v>
      </c>
      <c r="H125" s="5">
        <f>SQRT(SUM('p-pi-9'!$C$3:C125)/COUNTIF($A$3:A125,"&lt;&gt;0"))</f>
        <v>17.500522640279257</v>
      </c>
    </row>
    <row r="126" spans="1:8">
      <c r="A126">
        <v>124</v>
      </c>
      <c r="B126">
        <v>343</v>
      </c>
      <c r="C126">
        <v>354</v>
      </c>
      <c r="D126">
        <v>318</v>
      </c>
      <c r="E126" s="4">
        <f t="shared" si="3"/>
        <v>1</v>
      </c>
      <c r="F126" s="4">
        <f t="shared" si="4"/>
        <v>11</v>
      </c>
      <c r="G126" s="4">
        <f t="shared" si="5"/>
        <v>121</v>
      </c>
      <c r="H126" s="5">
        <f>SQRT(SUM('p-pi-9'!$C$3:C126)/COUNTIF($A$3:A126,"&lt;&gt;0"))</f>
        <v>17.511516947610552</v>
      </c>
    </row>
    <row r="127" spans="1:8">
      <c r="A127">
        <v>125</v>
      </c>
      <c r="B127">
        <v>343</v>
      </c>
      <c r="C127">
        <v>258</v>
      </c>
      <c r="D127">
        <v>331</v>
      </c>
      <c r="E127" s="4">
        <f t="shared" si="3"/>
        <v>0</v>
      </c>
      <c r="F127" s="4">
        <f t="shared" si="4"/>
        <v>85</v>
      </c>
      <c r="G127" s="4">
        <f t="shared" si="5"/>
        <v>7225</v>
      </c>
      <c r="H127" s="5">
        <f>SQRT(SUM('p-pi-9'!$C$3:C127)/COUNTIF($A$3:A127,"&lt;&gt;0"))</f>
        <v>17.500399995428676</v>
      </c>
    </row>
    <row r="128" spans="1:8">
      <c r="A128">
        <v>126</v>
      </c>
      <c r="B128">
        <v>343</v>
      </c>
      <c r="C128">
        <v>392</v>
      </c>
      <c r="D128">
        <v>366</v>
      </c>
      <c r="E128" s="4">
        <f t="shared" si="3"/>
        <v>1</v>
      </c>
      <c r="F128" s="4">
        <f t="shared" si="4"/>
        <v>49</v>
      </c>
      <c r="G128" s="4">
        <f t="shared" si="5"/>
        <v>2401</v>
      </c>
      <c r="H128" s="5">
        <f>SQRT(SUM('p-pi-9'!$C$3:C128)/COUNTIF($A$3:A128,"&lt;&gt;0"))</f>
        <v>17.519830034690532</v>
      </c>
    </row>
    <row r="129" spans="1:8">
      <c r="A129">
        <v>127</v>
      </c>
      <c r="B129">
        <v>343</v>
      </c>
      <c r="C129">
        <v>357</v>
      </c>
      <c r="D129">
        <v>322</v>
      </c>
      <c r="E129" s="4">
        <f t="shared" si="3"/>
        <v>1</v>
      </c>
      <c r="F129" s="4">
        <f t="shared" si="4"/>
        <v>14</v>
      </c>
      <c r="G129" s="4">
        <f t="shared" si="5"/>
        <v>196</v>
      </c>
      <c r="H129" s="5">
        <f>SQRT(SUM('p-pi-9'!$C$3:C129)/COUNTIF($A$3:A129,"&lt;&gt;0"))</f>
        <v>17.531074772448076</v>
      </c>
    </row>
    <row r="130" spans="1:8">
      <c r="A130">
        <v>128</v>
      </c>
      <c r="B130">
        <v>343</v>
      </c>
      <c r="C130">
        <v>324</v>
      </c>
      <c r="D130">
        <v>331</v>
      </c>
      <c r="E130" s="4">
        <f t="shared" si="3"/>
        <v>1</v>
      </c>
      <c r="F130" s="4">
        <f t="shared" si="4"/>
        <v>19</v>
      </c>
      <c r="G130" s="4">
        <f t="shared" si="5"/>
        <v>361</v>
      </c>
      <c r="H130" s="5">
        <f>SQRT(SUM('p-pi-9'!$C$3:C130)/COUNTIF($A$3:A130,"&lt;&gt;0"))</f>
        <v>17.534786853566256</v>
      </c>
    </row>
    <row r="131" spans="1:8">
      <c r="A131">
        <v>129</v>
      </c>
      <c r="B131">
        <v>343</v>
      </c>
      <c r="C131">
        <v>380</v>
      </c>
      <c r="D131">
        <v>343</v>
      </c>
      <c r="E131" s="4">
        <f t="shared" si="3"/>
        <v>1</v>
      </c>
      <c r="F131" s="4">
        <f t="shared" si="4"/>
        <v>37</v>
      </c>
      <c r="G131" s="4">
        <f t="shared" si="5"/>
        <v>1369</v>
      </c>
      <c r="H131" s="5">
        <f>SQRT(SUM('p-pi-9'!$C$3:C131)/COUNTIF($A$3:A131,"&lt;&gt;0"))</f>
        <v>17.550812167872401</v>
      </c>
    </row>
    <row r="132" spans="1:8">
      <c r="A132">
        <v>130</v>
      </c>
      <c r="B132">
        <v>343</v>
      </c>
      <c r="C132">
        <v>347</v>
      </c>
      <c r="D132">
        <v>323</v>
      </c>
      <c r="E132" s="4">
        <f t="shared" ref="E132:E152" si="6">IF(AND(C132&lt;=B132*1.2,C132&gt;=B132*0.8),1,0)</f>
        <v>1</v>
      </c>
      <c r="F132" s="4">
        <f t="shared" ref="F132:F152" si="7">ABS(B132-C132)</f>
        <v>4</v>
      </c>
      <c r="G132" s="4">
        <f t="shared" ref="G132:G152" si="8">POWER(F132,2)</f>
        <v>16</v>
      </c>
      <c r="H132" s="5">
        <f>SQRT(SUM('p-pi-9'!$C$3:C132)/COUNTIF($A$3:A132,"&lt;&gt;0"))</f>
        <v>17.55934990911592</v>
      </c>
    </row>
    <row r="133" spans="1:8">
      <c r="A133">
        <v>131</v>
      </c>
      <c r="B133">
        <v>343</v>
      </c>
      <c r="C133">
        <v>351</v>
      </c>
      <c r="D133">
        <v>333</v>
      </c>
      <c r="E133" s="4">
        <f t="shared" si="6"/>
        <v>1</v>
      </c>
      <c r="F133" s="4">
        <f t="shared" si="7"/>
        <v>8</v>
      </c>
      <c r="G133" s="4">
        <f t="shared" si="8"/>
        <v>64</v>
      </c>
      <c r="H133" s="5">
        <f>SQRT(SUM('p-pi-9'!$C$3:C133)/COUNTIF($A$3:A133,"&lt;&gt;0"))</f>
        <v>17.568622272381472</v>
      </c>
    </row>
    <row r="134" spans="1:8">
      <c r="A134">
        <v>132</v>
      </c>
      <c r="B134">
        <v>343</v>
      </c>
      <c r="C134">
        <v>371</v>
      </c>
      <c r="D134">
        <v>331</v>
      </c>
      <c r="E134" s="4">
        <f t="shared" si="6"/>
        <v>1</v>
      </c>
      <c r="F134" s="4">
        <f t="shared" si="7"/>
        <v>28</v>
      </c>
      <c r="G134" s="4">
        <f t="shared" si="8"/>
        <v>784</v>
      </c>
      <c r="H134" s="5">
        <f>SQRT(SUM('p-pi-9'!$C$3:C134)/COUNTIF($A$3:A134,"&lt;&gt;0"))</f>
        <v>17.582058692849021</v>
      </c>
    </row>
    <row r="135" spans="1:8">
      <c r="A135">
        <v>133</v>
      </c>
      <c r="B135">
        <v>343</v>
      </c>
      <c r="C135">
        <v>324</v>
      </c>
      <c r="D135">
        <v>323</v>
      </c>
      <c r="E135" s="4">
        <f t="shared" si="6"/>
        <v>1</v>
      </c>
      <c r="F135" s="4">
        <f t="shared" si="7"/>
        <v>19</v>
      </c>
      <c r="G135" s="4">
        <f t="shared" si="8"/>
        <v>361</v>
      </c>
      <c r="H135" s="5">
        <f>SQRT(SUM('p-pi-9'!$C$3:C135)/COUNTIF($A$3:A135,"&lt;&gt;0"))</f>
        <v>17.585238170231285</v>
      </c>
    </row>
    <row r="136" spans="1:8">
      <c r="A136">
        <v>134</v>
      </c>
      <c r="B136">
        <v>343</v>
      </c>
      <c r="C136">
        <v>398</v>
      </c>
      <c r="D136">
        <v>338</v>
      </c>
      <c r="E136" s="4">
        <f t="shared" si="6"/>
        <v>1</v>
      </c>
      <c r="F136" s="4">
        <f t="shared" si="7"/>
        <v>55</v>
      </c>
      <c r="G136" s="4">
        <f t="shared" si="8"/>
        <v>3025</v>
      </c>
      <c r="H136" s="5">
        <f>SQRT(SUM('p-pi-9'!$C$3:C136)/COUNTIF($A$3:A136,"&lt;&gt;0"))</f>
        <v>17.604061607328774</v>
      </c>
    </row>
    <row r="137" spans="1:8">
      <c r="A137">
        <v>135</v>
      </c>
      <c r="B137">
        <v>343</v>
      </c>
      <c r="C137">
        <v>352</v>
      </c>
      <c r="D137">
        <v>312</v>
      </c>
      <c r="E137" s="4">
        <f t="shared" si="6"/>
        <v>1</v>
      </c>
      <c r="F137" s="4">
        <f t="shared" si="7"/>
        <v>9</v>
      </c>
      <c r="G137" s="4">
        <f t="shared" si="8"/>
        <v>81</v>
      </c>
      <c r="H137" s="5">
        <f>SQRT(SUM('p-pi-9'!$C$3:C137)/COUNTIF($A$3:A137,"&lt;&gt;0"))</f>
        <v>17.612916136029686</v>
      </c>
    </row>
    <row r="138" spans="1:8">
      <c r="A138">
        <v>136</v>
      </c>
      <c r="B138">
        <v>343</v>
      </c>
      <c r="C138">
        <v>362</v>
      </c>
      <c r="D138">
        <v>325</v>
      </c>
      <c r="E138" s="4">
        <f t="shared" si="6"/>
        <v>1</v>
      </c>
      <c r="F138" s="4">
        <f t="shared" si="7"/>
        <v>19</v>
      </c>
      <c r="G138" s="4">
        <f t="shared" si="8"/>
        <v>361</v>
      </c>
      <c r="H138" s="5">
        <f>SQRT(SUM('p-pi-9'!$C$3:C138)/COUNTIF($A$3:A138,"&lt;&gt;0"))</f>
        <v>17.623722314973477</v>
      </c>
    </row>
    <row r="139" spans="1:8">
      <c r="A139">
        <v>137</v>
      </c>
      <c r="B139">
        <v>343</v>
      </c>
      <c r="C139">
        <v>361</v>
      </c>
      <c r="D139">
        <v>321</v>
      </c>
      <c r="E139" s="4">
        <f t="shared" si="6"/>
        <v>1</v>
      </c>
      <c r="F139" s="4">
        <f t="shared" si="7"/>
        <v>18</v>
      </c>
      <c r="G139" s="4">
        <f t="shared" si="8"/>
        <v>324</v>
      </c>
      <c r="H139" s="5">
        <f>SQRT(SUM('p-pi-9'!$C$3:C139)/COUNTIF($A$3:A139,"&lt;&gt;0"))</f>
        <v>17.634157299106612</v>
      </c>
    </row>
    <row r="140" spans="1:8">
      <c r="A140">
        <v>138</v>
      </c>
      <c r="B140">
        <v>343</v>
      </c>
      <c r="C140">
        <v>340</v>
      </c>
      <c r="D140">
        <v>320</v>
      </c>
      <c r="E140" s="4">
        <f t="shared" si="6"/>
        <v>1</v>
      </c>
      <c r="F140" s="4">
        <f t="shared" si="7"/>
        <v>3</v>
      </c>
      <c r="G140" s="4">
        <f t="shared" si="8"/>
        <v>9</v>
      </c>
      <c r="H140" s="5">
        <f>SQRT(SUM('p-pi-9'!$C$3:C140)/COUNTIF($A$3:A140,"&lt;&gt;0"))</f>
        <v>17.640122251375647</v>
      </c>
    </row>
    <row r="141" spans="1:8">
      <c r="A141">
        <v>139</v>
      </c>
      <c r="B141">
        <v>343</v>
      </c>
      <c r="C141">
        <v>324</v>
      </c>
      <c r="D141">
        <v>326</v>
      </c>
      <c r="E141" s="4">
        <f t="shared" si="6"/>
        <v>1</v>
      </c>
      <c r="F141" s="4">
        <f t="shared" si="7"/>
        <v>19</v>
      </c>
      <c r="G141" s="4">
        <f t="shared" si="8"/>
        <v>361</v>
      </c>
      <c r="H141" s="5">
        <f>SQRT(SUM('p-pi-9'!$C$3:C141)/COUNTIF($A$3:A141,"&lt;&gt;0"))</f>
        <v>17.642737515770044</v>
      </c>
    </row>
    <row r="142" spans="1:8">
      <c r="A142">
        <v>140</v>
      </c>
      <c r="B142">
        <v>343</v>
      </c>
      <c r="C142">
        <v>370</v>
      </c>
      <c r="D142">
        <v>332</v>
      </c>
      <c r="E142" s="4">
        <f t="shared" si="6"/>
        <v>1</v>
      </c>
      <c r="F142" s="4">
        <f t="shared" si="7"/>
        <v>27</v>
      </c>
      <c r="G142" s="4">
        <f t="shared" si="8"/>
        <v>729</v>
      </c>
      <c r="H142" s="5">
        <f>SQRT(SUM('p-pi-9'!$C$3:C142)/COUNTIF($A$3:A142,"&lt;&gt;0"))</f>
        <v>17.654623028705945</v>
      </c>
    </row>
    <row r="143" spans="1:8">
      <c r="A143">
        <v>141</v>
      </c>
      <c r="B143">
        <v>343</v>
      </c>
      <c r="C143">
        <v>356</v>
      </c>
      <c r="D143">
        <v>316</v>
      </c>
      <c r="E143" s="4">
        <f t="shared" si="6"/>
        <v>1</v>
      </c>
      <c r="F143" s="4">
        <f t="shared" si="7"/>
        <v>13</v>
      </c>
      <c r="G143" s="4">
        <f t="shared" si="8"/>
        <v>169</v>
      </c>
      <c r="H143" s="5">
        <f>SQRT(SUM('p-pi-9'!$C$3:C143)/COUNTIF($A$3:A143,"&lt;&gt;0"))</f>
        <v>17.663521732655695</v>
      </c>
    </row>
    <row r="144" spans="1:8">
      <c r="A144">
        <v>142</v>
      </c>
      <c r="B144">
        <v>343</v>
      </c>
      <c r="C144">
        <v>380</v>
      </c>
      <c r="D144">
        <v>320</v>
      </c>
      <c r="E144" s="4">
        <f t="shared" si="6"/>
        <v>1</v>
      </c>
      <c r="F144" s="4">
        <f t="shared" si="7"/>
        <v>37</v>
      </c>
      <c r="G144" s="4">
        <f t="shared" si="8"/>
        <v>1369</v>
      </c>
      <c r="H144" s="5">
        <f>SQRT(SUM('p-pi-9'!$C$3:C144)/COUNTIF($A$3:A144,"&lt;&gt;0"))</f>
        <v>17.677071964537468</v>
      </c>
    </row>
    <row r="145" spans="1:8">
      <c r="A145">
        <v>143</v>
      </c>
      <c r="B145">
        <v>343</v>
      </c>
      <c r="C145">
        <v>332</v>
      </c>
      <c r="D145">
        <v>310</v>
      </c>
      <c r="E145" s="4">
        <f t="shared" si="6"/>
        <v>1</v>
      </c>
      <c r="F145" s="4">
        <f t="shared" si="7"/>
        <v>11</v>
      </c>
      <c r="G145" s="4">
        <f t="shared" si="8"/>
        <v>121</v>
      </c>
      <c r="H145" s="5">
        <f>SQRT(SUM('p-pi-9'!$C$3:C145)/COUNTIF($A$3:A145,"&lt;&gt;0"))</f>
        <v>17.680932798226021</v>
      </c>
    </row>
    <row r="146" spans="1:8">
      <c r="A146">
        <v>144</v>
      </c>
      <c r="B146">
        <v>343</v>
      </c>
      <c r="C146">
        <v>385</v>
      </c>
      <c r="D146">
        <v>325</v>
      </c>
      <c r="E146" s="4">
        <f t="shared" si="6"/>
        <v>1</v>
      </c>
      <c r="F146" s="4">
        <f t="shared" si="7"/>
        <v>42</v>
      </c>
      <c r="G146" s="4">
        <f t="shared" si="8"/>
        <v>1764</v>
      </c>
      <c r="H146" s="5">
        <f>SQRT(SUM('p-pi-9'!$C$3:C146)/COUNTIF($A$3:A146,"&lt;&gt;0"))</f>
        <v>17.695142145672509</v>
      </c>
    </row>
    <row r="147" spans="1:8">
      <c r="A147">
        <v>145</v>
      </c>
      <c r="B147">
        <v>343</v>
      </c>
      <c r="C147">
        <v>309</v>
      </c>
      <c r="D147">
        <v>306</v>
      </c>
      <c r="E147" s="4">
        <f t="shared" si="6"/>
        <v>1</v>
      </c>
      <c r="F147" s="4">
        <f t="shared" si="7"/>
        <v>34</v>
      </c>
      <c r="G147" s="4">
        <f t="shared" si="8"/>
        <v>1156</v>
      </c>
      <c r="H147" s="5">
        <f>SQRT(SUM('p-pi-9'!$C$3:C147)/COUNTIF($A$3:A147,"&lt;&gt;0"))</f>
        <v>17.694339636516922</v>
      </c>
    </row>
    <row r="148" spans="1:8">
      <c r="A148">
        <v>146</v>
      </c>
      <c r="B148">
        <v>343</v>
      </c>
      <c r="C148">
        <v>366</v>
      </c>
      <c r="D148">
        <v>331</v>
      </c>
      <c r="E148" s="4">
        <f t="shared" si="6"/>
        <v>1</v>
      </c>
      <c r="F148" s="4">
        <f t="shared" si="7"/>
        <v>23</v>
      </c>
      <c r="G148" s="4">
        <f t="shared" si="8"/>
        <v>529</v>
      </c>
      <c r="H148" s="5">
        <f>SQRT(SUM('p-pi-9'!$C$3:C148)/COUNTIF($A$3:A148,"&lt;&gt;0"))</f>
        <v>17.70457722721784</v>
      </c>
    </row>
    <row r="149" spans="1:8">
      <c r="A149">
        <v>147</v>
      </c>
      <c r="B149">
        <v>343</v>
      </c>
      <c r="C149">
        <v>335</v>
      </c>
      <c r="D149">
        <v>312</v>
      </c>
      <c r="E149" s="4">
        <f t="shared" si="6"/>
        <v>1</v>
      </c>
      <c r="F149" s="4">
        <f t="shared" si="7"/>
        <v>8</v>
      </c>
      <c r="G149" s="4">
        <f t="shared" si="8"/>
        <v>64</v>
      </c>
      <c r="H149" s="5">
        <f>SQRT(SUM('p-pi-9'!$C$3:C149)/COUNTIF($A$3:A149,"&lt;&gt;0"))</f>
        <v>17.708716482449603</v>
      </c>
    </row>
    <row r="150" spans="1:8">
      <c r="A150">
        <v>148</v>
      </c>
      <c r="B150">
        <v>343</v>
      </c>
      <c r="C150">
        <v>320</v>
      </c>
      <c r="D150">
        <v>322</v>
      </c>
      <c r="E150" s="4">
        <f t="shared" si="6"/>
        <v>1</v>
      </c>
      <c r="F150" s="4">
        <f t="shared" si="7"/>
        <v>23</v>
      </c>
      <c r="G150" s="4">
        <f t="shared" si="8"/>
        <v>529</v>
      </c>
      <c r="H150" s="5">
        <f>SQRT(SUM('p-pi-9'!$C$3:C150)/COUNTIF($A$3:A150,"&lt;&gt;0"))</f>
        <v>17.709937659175761</v>
      </c>
    </row>
    <row r="151" spans="1:8">
      <c r="A151">
        <v>149</v>
      </c>
      <c r="B151">
        <v>343</v>
      </c>
      <c r="C151">
        <v>326</v>
      </c>
      <c r="D151">
        <v>328</v>
      </c>
      <c r="E151" s="4">
        <f t="shared" si="6"/>
        <v>1</v>
      </c>
      <c r="F151" s="4">
        <f t="shared" si="7"/>
        <v>17</v>
      </c>
      <c r="G151" s="4">
        <f t="shared" si="8"/>
        <v>289</v>
      </c>
      <c r="H151" s="5">
        <f>SQRT(SUM('p-pi-9'!$C$3:C151)/COUNTIF($A$3:A151,"&lt;&gt;0"))</f>
        <v>17.712279136654466</v>
      </c>
    </row>
    <row r="152" spans="1:8">
      <c r="A152">
        <v>150</v>
      </c>
      <c r="B152">
        <v>343</v>
      </c>
      <c r="C152">
        <v>368</v>
      </c>
      <c r="D152">
        <v>328</v>
      </c>
      <c r="E152" s="4">
        <f t="shared" si="6"/>
        <v>1</v>
      </c>
      <c r="F152" s="4">
        <f t="shared" si="7"/>
        <v>25</v>
      </c>
      <c r="G152" s="4">
        <f t="shared" si="8"/>
        <v>625</v>
      </c>
      <c r="H152" s="5">
        <f>SQRT(SUM('p-pi-9'!$C$3:C152)/COUNTIF($A$3:A152,"&lt;&gt;0"))</f>
        <v>17.722490419426574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J14" sqref="J14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13" t="s">
        <v>6</v>
      </c>
      <c r="C2" s="13" t="s">
        <v>8</v>
      </c>
      <c r="D2" s="12" t="s">
        <v>14</v>
      </c>
      <c r="E2" s="43"/>
      <c r="F2" s="43"/>
      <c r="G2" s="43"/>
      <c r="H2" s="43"/>
    </row>
    <row r="3" spans="1:8">
      <c r="A3">
        <v>1</v>
      </c>
      <c r="B3">
        <v>452</v>
      </c>
      <c r="C3">
        <v>181</v>
      </c>
      <c r="D3">
        <v>452</v>
      </c>
      <c r="E3" s="4">
        <f>IF(AND(C3&lt;=B3*1.2,C3&gt;=B3*0.8),1,0)</f>
        <v>0</v>
      </c>
      <c r="F3" s="4">
        <f>ABS(B3-C3)</f>
        <v>271</v>
      </c>
      <c r="G3" s="4">
        <f>POWER(F3,2)</f>
        <v>73441</v>
      </c>
      <c r="H3" s="5">
        <f>SQRT(SUM('p-pi-12'!$C$3:C3)/COUNTIF($A$3:A3,"&lt;&gt;0"))</f>
        <v>13.45362404707371</v>
      </c>
    </row>
    <row r="4" spans="1:8">
      <c r="A4">
        <v>2</v>
      </c>
      <c r="B4">
        <v>452</v>
      </c>
      <c r="C4">
        <v>171</v>
      </c>
      <c r="D4">
        <v>101</v>
      </c>
      <c r="E4" s="4">
        <f t="shared" ref="E4:E67" si="0">IF(AND(C4&lt;=B4*1.2,C4&gt;=B4*0.8),1,0)</f>
        <v>0</v>
      </c>
      <c r="F4" s="4">
        <f t="shared" ref="F4:F67" si="1">ABS(B4-C4)</f>
        <v>281</v>
      </c>
      <c r="G4" s="4">
        <f t="shared" ref="G4:G67" si="2">POWER(F4,2)</f>
        <v>78961</v>
      </c>
      <c r="H4" s="5">
        <f>SQRT(SUM('p-pi-12'!$C$3:C4)/COUNTIF($A$3:A4,"&lt;&gt;0"))</f>
        <v>13.266499161421599</v>
      </c>
    </row>
    <row r="5" spans="1:8">
      <c r="A5">
        <v>3</v>
      </c>
      <c r="B5">
        <v>452</v>
      </c>
      <c r="C5">
        <v>140</v>
      </c>
      <c r="D5">
        <v>125</v>
      </c>
      <c r="E5" s="4">
        <f t="shared" si="0"/>
        <v>0</v>
      </c>
      <c r="F5" s="4">
        <f t="shared" si="1"/>
        <v>312</v>
      </c>
      <c r="G5" s="4">
        <f t="shared" si="2"/>
        <v>97344</v>
      </c>
      <c r="H5" s="5">
        <f>SQRT(SUM('p-pi-12'!$C$3:C5)/COUNTIF($A$3:A5,"&lt;&gt;0"))</f>
        <v>12.806248474865697</v>
      </c>
    </row>
    <row r="6" spans="1:8">
      <c r="A6">
        <v>4</v>
      </c>
      <c r="B6">
        <v>452</v>
      </c>
      <c r="C6">
        <v>151</v>
      </c>
      <c r="D6">
        <v>158</v>
      </c>
      <c r="E6" s="4">
        <f t="shared" si="0"/>
        <v>0</v>
      </c>
      <c r="F6" s="4">
        <f t="shared" si="1"/>
        <v>301</v>
      </c>
      <c r="G6" s="4">
        <f t="shared" si="2"/>
        <v>90601</v>
      </c>
      <c r="H6" s="5">
        <f>SQRT(SUM('p-pi-12'!$C$3:C6)/COUNTIF($A$3:A6,"&lt;&gt;0"))</f>
        <v>12.678722333105966</v>
      </c>
    </row>
    <row r="7" spans="1:8">
      <c r="A7">
        <v>5</v>
      </c>
      <c r="B7">
        <v>452</v>
      </c>
      <c r="C7">
        <v>173</v>
      </c>
      <c r="D7">
        <v>177</v>
      </c>
      <c r="E7" s="4">
        <f t="shared" si="0"/>
        <v>0</v>
      </c>
      <c r="F7" s="4">
        <f t="shared" si="1"/>
        <v>279</v>
      </c>
      <c r="G7" s="4">
        <f t="shared" si="2"/>
        <v>77841</v>
      </c>
      <c r="H7" s="5">
        <f>SQRT(SUM('p-pi-12'!$C$3:C7)/COUNTIF($A$3:A7,"&lt;&gt;0"))</f>
        <v>12.774975538137049</v>
      </c>
    </row>
    <row r="8" spans="1:8">
      <c r="A8">
        <v>6</v>
      </c>
      <c r="B8">
        <v>452</v>
      </c>
      <c r="C8">
        <v>226</v>
      </c>
      <c r="D8">
        <v>191</v>
      </c>
      <c r="E8" s="4">
        <f t="shared" si="0"/>
        <v>0</v>
      </c>
      <c r="F8" s="4">
        <f t="shared" si="1"/>
        <v>226</v>
      </c>
      <c r="G8" s="4">
        <f t="shared" si="2"/>
        <v>51076</v>
      </c>
      <c r="H8" s="5">
        <f>SQRT(SUM('p-pi-12'!$C$3:C8)/COUNTIF($A$3:A8,"&lt;&gt;0"))</f>
        <v>13.178264933847197</v>
      </c>
    </row>
    <row r="9" spans="1:8">
      <c r="A9">
        <v>7</v>
      </c>
      <c r="B9">
        <v>452</v>
      </c>
      <c r="C9">
        <v>191</v>
      </c>
      <c r="D9">
        <v>192</v>
      </c>
      <c r="E9" s="4">
        <f t="shared" si="0"/>
        <v>0</v>
      </c>
      <c r="F9" s="4">
        <f t="shared" si="1"/>
        <v>261</v>
      </c>
      <c r="G9" s="4">
        <f t="shared" si="2"/>
        <v>68121</v>
      </c>
      <c r="H9" s="5">
        <f>SQRT(SUM('p-pi-12'!$C$3:C9)/COUNTIF($A$3:A9,"&lt;&gt;0"))</f>
        <v>13.271882200458876</v>
      </c>
    </row>
    <row r="10" spans="1:8">
      <c r="A10">
        <v>8</v>
      </c>
      <c r="B10">
        <v>452</v>
      </c>
      <c r="C10">
        <v>216</v>
      </c>
      <c r="D10">
        <v>222</v>
      </c>
      <c r="E10" s="4">
        <f t="shared" si="0"/>
        <v>0</v>
      </c>
      <c r="F10" s="4">
        <f t="shared" si="1"/>
        <v>236</v>
      </c>
      <c r="G10" s="4">
        <f t="shared" si="2"/>
        <v>55696</v>
      </c>
      <c r="H10" s="5">
        <f>SQRT(SUM('p-pi-12'!$C$3:C10)/COUNTIF($A$3:A10,"&lt;&gt;0"))</f>
        <v>13.45826883369477</v>
      </c>
    </row>
    <row r="11" spans="1:8">
      <c r="A11">
        <v>9</v>
      </c>
      <c r="B11">
        <v>452</v>
      </c>
      <c r="C11">
        <v>250</v>
      </c>
      <c r="D11">
        <v>233</v>
      </c>
      <c r="E11" s="4">
        <f t="shared" si="0"/>
        <v>0</v>
      </c>
      <c r="F11" s="4">
        <f t="shared" si="1"/>
        <v>202</v>
      </c>
      <c r="G11" s="4">
        <f t="shared" si="2"/>
        <v>40804</v>
      </c>
      <c r="H11" s="5">
        <f>SQRT(SUM('p-pi-12'!$C$3:C11)/COUNTIF($A$3:A11,"&lt;&gt;0"))</f>
        <v>13.739642563683299</v>
      </c>
    </row>
    <row r="12" spans="1:8">
      <c r="A12">
        <v>10</v>
      </c>
      <c r="B12">
        <v>452</v>
      </c>
      <c r="C12">
        <v>236</v>
      </c>
      <c r="D12">
        <v>237</v>
      </c>
      <c r="E12" s="4">
        <f t="shared" si="0"/>
        <v>0</v>
      </c>
      <c r="F12" s="4">
        <f t="shared" si="1"/>
        <v>216</v>
      </c>
      <c r="G12" s="4">
        <f t="shared" si="2"/>
        <v>46656</v>
      </c>
      <c r="H12" s="5">
        <f>SQRT(SUM('p-pi-12'!$C$3:C12)/COUNTIF($A$3:A12,"&lt;&gt;0"))</f>
        <v>13.910427743243556</v>
      </c>
    </row>
    <row r="13" spans="1:8">
      <c r="A13">
        <v>11</v>
      </c>
      <c r="B13">
        <v>452</v>
      </c>
      <c r="C13">
        <v>242</v>
      </c>
      <c r="D13">
        <v>258</v>
      </c>
      <c r="E13" s="4">
        <f t="shared" si="0"/>
        <v>0</v>
      </c>
      <c r="F13" s="4">
        <f t="shared" si="1"/>
        <v>210</v>
      </c>
      <c r="G13" s="4">
        <f t="shared" si="2"/>
        <v>44100</v>
      </c>
      <c r="H13" s="5">
        <f>SQRT(SUM('p-pi-12'!$C$3:C13)/COUNTIF($A$3:A13,"&lt;&gt;0"))</f>
        <v>14.068016594711953</v>
      </c>
    </row>
    <row r="14" spans="1:8">
      <c r="A14">
        <v>12</v>
      </c>
      <c r="B14">
        <v>452</v>
      </c>
      <c r="C14">
        <v>254</v>
      </c>
      <c r="D14">
        <v>272</v>
      </c>
      <c r="E14" s="4">
        <f t="shared" si="0"/>
        <v>0</v>
      </c>
      <c r="F14" s="4">
        <f t="shared" si="1"/>
        <v>198</v>
      </c>
      <c r="G14" s="4">
        <f t="shared" si="2"/>
        <v>39204</v>
      </c>
      <c r="H14" s="5">
        <f>SQRT(SUM('p-pi-12'!$C$3:C14)/COUNTIF($A$3:A14,"&lt;&gt;0"))</f>
        <v>14.233177204452046</v>
      </c>
    </row>
    <row r="15" spans="1:8">
      <c r="A15">
        <v>13</v>
      </c>
      <c r="B15">
        <v>452</v>
      </c>
      <c r="C15">
        <v>209</v>
      </c>
      <c r="D15">
        <v>283</v>
      </c>
      <c r="E15" s="4">
        <f t="shared" si="0"/>
        <v>0</v>
      </c>
      <c r="F15" s="4">
        <f t="shared" si="1"/>
        <v>243</v>
      </c>
      <c r="G15" s="4">
        <f t="shared" si="2"/>
        <v>59049</v>
      </c>
      <c r="H15" s="5">
        <f>SQRT(SUM('p-pi-12'!$C$3:C15)/COUNTIF($A$3:A15,"&lt;&gt;0"))</f>
        <v>14.250506063888505</v>
      </c>
    </row>
    <row r="16" spans="1:8">
      <c r="A16">
        <v>14</v>
      </c>
      <c r="B16">
        <v>452</v>
      </c>
      <c r="C16">
        <v>345</v>
      </c>
      <c r="D16">
        <v>314</v>
      </c>
      <c r="E16" s="4">
        <f t="shared" si="0"/>
        <v>0</v>
      </c>
      <c r="F16" s="4">
        <f t="shared" si="1"/>
        <v>107</v>
      </c>
      <c r="G16" s="4">
        <f t="shared" si="2"/>
        <v>11449</v>
      </c>
      <c r="H16" s="5">
        <f>SQRT(SUM('p-pi-12'!$C$3:C16)/COUNTIF($A$3:A16,"&lt;&gt;0"))</f>
        <v>14.601858981454578</v>
      </c>
    </row>
    <row r="17" spans="1:8">
      <c r="A17">
        <v>15</v>
      </c>
      <c r="B17">
        <v>452</v>
      </c>
      <c r="C17">
        <v>252</v>
      </c>
      <c r="D17">
        <v>282</v>
      </c>
      <c r="E17" s="4">
        <f t="shared" si="0"/>
        <v>0</v>
      </c>
      <c r="F17" s="4">
        <f t="shared" si="1"/>
        <v>200</v>
      </c>
      <c r="G17" s="4">
        <f t="shared" si="2"/>
        <v>40000</v>
      </c>
      <c r="H17" s="5">
        <f>SQRT(SUM('p-pi-12'!$C$3:C17)/COUNTIF($A$3:A17,"&lt;&gt;0"))</f>
        <v>14.690132742763083</v>
      </c>
    </row>
    <row r="18" spans="1:8">
      <c r="A18">
        <v>16</v>
      </c>
      <c r="B18">
        <v>452</v>
      </c>
      <c r="C18">
        <v>291</v>
      </c>
      <c r="D18">
        <v>325</v>
      </c>
      <c r="E18" s="4">
        <f t="shared" si="0"/>
        <v>0</v>
      </c>
      <c r="F18" s="4">
        <f t="shared" si="1"/>
        <v>161</v>
      </c>
      <c r="G18" s="4">
        <f t="shared" si="2"/>
        <v>25921</v>
      </c>
      <c r="H18" s="5">
        <f>SQRT(SUM('p-pi-12'!$C$3:C18)/COUNTIF($A$3:A18,"&lt;&gt;0"))</f>
        <v>14.849242404917497</v>
      </c>
    </row>
    <row r="19" spans="1:8">
      <c r="A19">
        <v>17</v>
      </c>
      <c r="B19">
        <v>452</v>
      </c>
      <c r="C19">
        <v>315</v>
      </c>
      <c r="D19">
        <v>325</v>
      </c>
      <c r="E19" s="4">
        <f t="shared" si="0"/>
        <v>0</v>
      </c>
      <c r="F19" s="4">
        <f t="shared" si="1"/>
        <v>137</v>
      </c>
      <c r="G19" s="4">
        <f t="shared" si="2"/>
        <v>18769</v>
      </c>
      <c r="H19" s="5">
        <f>SQRT(SUM('p-pi-12'!$C$3:C19)/COUNTIF($A$3:A19,"&lt;&gt;0"))</f>
        <v>15.03525269256928</v>
      </c>
    </row>
    <row r="20" spans="1:8">
      <c r="A20">
        <v>18</v>
      </c>
      <c r="B20">
        <v>452</v>
      </c>
      <c r="C20">
        <v>407</v>
      </c>
      <c r="D20">
        <v>328</v>
      </c>
      <c r="E20" s="4">
        <f t="shared" si="0"/>
        <v>1</v>
      </c>
      <c r="F20" s="4">
        <f t="shared" si="1"/>
        <v>45</v>
      </c>
      <c r="G20" s="4">
        <f t="shared" si="2"/>
        <v>2025</v>
      </c>
      <c r="H20" s="5">
        <f>SQRT(SUM('p-pi-12'!$C$3:C20)/COUNTIF($A$3:A20,"&lt;&gt;0"))</f>
        <v>15.36590742882148</v>
      </c>
    </row>
    <row r="21" spans="1:8">
      <c r="A21">
        <v>19</v>
      </c>
      <c r="B21">
        <v>452</v>
      </c>
      <c r="C21">
        <v>328</v>
      </c>
      <c r="D21">
        <v>304</v>
      </c>
      <c r="E21" s="4">
        <f t="shared" si="0"/>
        <v>0</v>
      </c>
      <c r="F21" s="4">
        <f t="shared" si="1"/>
        <v>124</v>
      </c>
      <c r="G21" s="4">
        <f t="shared" si="2"/>
        <v>15376</v>
      </c>
      <c r="H21" s="5">
        <f>SQRT(SUM('p-pi-12'!$C$3:C21)/COUNTIF($A$3:A21,"&lt;&gt;0"))</f>
        <v>15.522479454682896</v>
      </c>
    </row>
    <row r="22" spans="1:8">
      <c r="A22">
        <v>20</v>
      </c>
      <c r="B22">
        <v>452</v>
      </c>
      <c r="C22">
        <v>343</v>
      </c>
      <c r="D22">
        <v>337</v>
      </c>
      <c r="E22" s="4">
        <f t="shared" si="0"/>
        <v>0</v>
      </c>
      <c r="F22" s="4">
        <f t="shared" si="1"/>
        <v>109</v>
      </c>
      <c r="G22" s="4">
        <f t="shared" si="2"/>
        <v>11881</v>
      </c>
      <c r="H22" s="5">
        <f>SQRT(SUM('p-pi-12'!$C$3:C22)/COUNTIF($A$3:A22,"&lt;&gt;0"))</f>
        <v>15.685981002156034</v>
      </c>
    </row>
    <row r="23" spans="1:8">
      <c r="A23">
        <v>21</v>
      </c>
      <c r="B23">
        <v>452</v>
      </c>
      <c r="C23">
        <v>323</v>
      </c>
      <c r="D23">
        <v>341</v>
      </c>
      <c r="E23" s="4">
        <f t="shared" si="0"/>
        <v>0</v>
      </c>
      <c r="F23" s="4">
        <f t="shared" si="1"/>
        <v>129</v>
      </c>
      <c r="G23" s="4">
        <f t="shared" si="2"/>
        <v>16641</v>
      </c>
      <c r="H23" s="5">
        <f>SQRT(SUM('p-pi-12'!$C$3:C23)/COUNTIF($A$3:A23,"&lt;&gt;0"))</f>
        <v>15.802350638885525</v>
      </c>
    </row>
    <row r="24" spans="1:8">
      <c r="A24">
        <v>22</v>
      </c>
      <c r="B24">
        <v>452</v>
      </c>
      <c r="C24">
        <v>293</v>
      </c>
      <c r="D24">
        <v>356</v>
      </c>
      <c r="E24" s="4">
        <f t="shared" si="0"/>
        <v>0</v>
      </c>
      <c r="F24" s="4">
        <f t="shared" si="1"/>
        <v>159</v>
      </c>
      <c r="G24" s="4">
        <f t="shared" si="2"/>
        <v>25281</v>
      </c>
      <c r="H24" s="5">
        <f>SQRT(SUM('p-pi-12'!$C$3:C24)/COUNTIF($A$3:A24,"&lt;&gt;0"))</f>
        <v>15.864482915677339</v>
      </c>
    </row>
    <row r="25" spans="1:8">
      <c r="A25">
        <v>23</v>
      </c>
      <c r="B25">
        <v>452</v>
      </c>
      <c r="C25">
        <v>397</v>
      </c>
      <c r="D25">
        <v>377</v>
      </c>
      <c r="E25" s="4">
        <f t="shared" si="0"/>
        <v>1</v>
      </c>
      <c r="F25" s="4">
        <f t="shared" si="1"/>
        <v>55</v>
      </c>
      <c r="G25" s="4">
        <f t="shared" si="2"/>
        <v>3025</v>
      </c>
      <c r="H25" s="5">
        <f>SQRT(SUM('p-pi-12'!$C$3:C25)/COUNTIF($A$3:A25,"&lt;&gt;0"))</f>
        <v>16.06237840420901</v>
      </c>
    </row>
    <row r="26" spans="1:8">
      <c r="A26">
        <v>24</v>
      </c>
      <c r="B26">
        <v>452</v>
      </c>
      <c r="C26">
        <v>400</v>
      </c>
      <c r="D26">
        <v>350</v>
      </c>
      <c r="E26" s="4">
        <f t="shared" si="0"/>
        <v>1</v>
      </c>
      <c r="F26" s="4">
        <f t="shared" si="1"/>
        <v>52</v>
      </c>
      <c r="G26" s="4">
        <f t="shared" si="2"/>
        <v>2704</v>
      </c>
      <c r="H26" s="5">
        <f>SQRT(SUM('p-pi-12'!$C$3:C26)/COUNTIF($A$3:A26,"&lt;&gt;0"))</f>
        <v>16.245512200810005</v>
      </c>
    </row>
    <row r="27" spans="1:8">
      <c r="A27">
        <v>25</v>
      </c>
      <c r="B27">
        <v>452</v>
      </c>
      <c r="C27">
        <v>311</v>
      </c>
      <c r="D27">
        <v>353</v>
      </c>
      <c r="E27" s="4">
        <f t="shared" si="0"/>
        <v>0</v>
      </c>
      <c r="F27" s="4">
        <f t="shared" si="1"/>
        <v>141</v>
      </c>
      <c r="G27" s="4">
        <f t="shared" si="2"/>
        <v>19881</v>
      </c>
      <c r="H27" s="5">
        <f>SQRT(SUM('p-pi-12'!$C$3:C27)/COUNTIF($A$3:A27,"&lt;&gt;0"))</f>
        <v>16.303373883954205</v>
      </c>
    </row>
    <row r="28" spans="1:8">
      <c r="A28">
        <v>26</v>
      </c>
      <c r="B28">
        <v>452</v>
      </c>
      <c r="C28">
        <v>392</v>
      </c>
      <c r="D28">
        <v>390</v>
      </c>
      <c r="E28" s="4">
        <f t="shared" si="0"/>
        <v>1</v>
      </c>
      <c r="F28" s="4">
        <f t="shared" si="1"/>
        <v>60</v>
      </c>
      <c r="G28" s="4">
        <f t="shared" si="2"/>
        <v>3600</v>
      </c>
      <c r="H28" s="5">
        <f>SQRT(SUM('p-pi-12'!$C$3:C28)/COUNTIF($A$3:A28,"&lt;&gt;0"))</f>
        <v>16.451560599342731</v>
      </c>
    </row>
    <row r="29" spans="1:8">
      <c r="A29">
        <v>27</v>
      </c>
      <c r="B29">
        <v>452</v>
      </c>
      <c r="C29">
        <v>416</v>
      </c>
      <c r="D29">
        <v>370</v>
      </c>
      <c r="E29" s="4">
        <f t="shared" si="0"/>
        <v>1</v>
      </c>
      <c r="F29" s="4">
        <f t="shared" si="1"/>
        <v>36</v>
      </c>
      <c r="G29" s="4">
        <f t="shared" si="2"/>
        <v>1296</v>
      </c>
      <c r="H29" s="5">
        <f>SQRT(SUM('p-pi-12'!$C$3:C29)/COUNTIF($A$3:A29,"&lt;&gt;0"))</f>
        <v>16.614362372268069</v>
      </c>
    </row>
    <row r="30" spans="1:8">
      <c r="A30">
        <v>28</v>
      </c>
      <c r="B30">
        <v>452</v>
      </c>
      <c r="C30">
        <v>399</v>
      </c>
      <c r="D30">
        <v>366</v>
      </c>
      <c r="E30" s="4">
        <f t="shared" si="0"/>
        <v>1</v>
      </c>
      <c r="F30" s="4">
        <f t="shared" si="1"/>
        <v>53</v>
      </c>
      <c r="G30" s="4">
        <f t="shared" si="2"/>
        <v>2809</v>
      </c>
      <c r="H30" s="5">
        <f>SQRT(SUM('p-pi-12'!$C$3:C30)/COUNTIF($A$3:A30,"&lt;&gt;0"))</f>
        <v>16.746001654979359</v>
      </c>
    </row>
    <row r="31" spans="1:8">
      <c r="A31">
        <v>29</v>
      </c>
      <c r="B31">
        <v>452</v>
      </c>
      <c r="C31">
        <v>385</v>
      </c>
      <c r="D31">
        <v>375</v>
      </c>
      <c r="E31" s="4">
        <f t="shared" si="0"/>
        <v>1</v>
      </c>
      <c r="F31" s="4">
        <f t="shared" si="1"/>
        <v>67</v>
      </c>
      <c r="G31" s="4">
        <f t="shared" si="2"/>
        <v>4489</v>
      </c>
      <c r="H31" s="5">
        <f>SQRT(SUM('p-pi-12'!$C$3:C31)/COUNTIF($A$3:A31,"&lt;&gt;0"))</f>
        <v>16.85332260293562</v>
      </c>
    </row>
    <row r="32" spans="1:8">
      <c r="A32">
        <v>30</v>
      </c>
      <c r="B32">
        <v>452</v>
      </c>
      <c r="C32">
        <v>387</v>
      </c>
      <c r="D32">
        <v>384</v>
      </c>
      <c r="E32" s="4">
        <f t="shared" si="0"/>
        <v>1</v>
      </c>
      <c r="F32" s="4">
        <f t="shared" si="1"/>
        <v>65</v>
      </c>
      <c r="G32" s="4">
        <f t="shared" si="2"/>
        <v>4225</v>
      </c>
      <c r="H32" s="5">
        <f>SQRT(SUM('p-pi-12'!$C$3:C32)/COUNTIF($A$3:A32,"&lt;&gt;0"))</f>
        <v>16.954841982945954</v>
      </c>
    </row>
    <row r="33" spans="1:8">
      <c r="A33">
        <v>31</v>
      </c>
      <c r="B33">
        <v>452</v>
      </c>
      <c r="C33">
        <v>312</v>
      </c>
      <c r="D33">
        <v>388</v>
      </c>
      <c r="E33" s="4">
        <f t="shared" si="0"/>
        <v>0</v>
      </c>
      <c r="F33" s="4">
        <f t="shared" si="1"/>
        <v>140</v>
      </c>
      <c r="G33" s="4">
        <f t="shared" si="2"/>
        <v>19600</v>
      </c>
      <c r="H33" s="5">
        <f>SQRT(SUM('p-pi-12'!$C$3:C33)/COUNTIF($A$3:A33,"&lt;&gt;0"))</f>
        <v>16.978164344714333</v>
      </c>
    </row>
    <row r="34" spans="1:8">
      <c r="A34">
        <v>32</v>
      </c>
      <c r="B34">
        <v>452</v>
      </c>
      <c r="C34">
        <v>306</v>
      </c>
      <c r="D34">
        <v>421</v>
      </c>
      <c r="E34" s="4">
        <f t="shared" si="0"/>
        <v>0</v>
      </c>
      <c r="F34" s="4">
        <f t="shared" si="1"/>
        <v>146</v>
      </c>
      <c r="G34" s="4">
        <f t="shared" si="2"/>
        <v>21316</v>
      </c>
      <c r="H34" s="5">
        <f>SQRT(SUM('p-pi-12'!$C$3:C34)/COUNTIF($A$3:A34,"&lt;&gt;0"))</f>
        <v>16.99448439935734</v>
      </c>
    </row>
    <row r="35" spans="1:8">
      <c r="A35">
        <v>33</v>
      </c>
      <c r="B35">
        <v>452</v>
      </c>
      <c r="C35">
        <v>317</v>
      </c>
      <c r="D35">
        <v>434</v>
      </c>
      <c r="E35" s="4">
        <f t="shared" si="0"/>
        <v>0</v>
      </c>
      <c r="F35" s="4">
        <f t="shared" si="1"/>
        <v>135</v>
      </c>
      <c r="G35" s="4">
        <f t="shared" si="2"/>
        <v>18225</v>
      </c>
      <c r="H35" s="5">
        <f>SQRT(SUM('p-pi-12'!$C$3:C35)/COUNTIF($A$3:A35,"&lt;&gt;0"))</f>
        <v>17.019596548292991</v>
      </c>
    </row>
    <row r="36" spans="1:8">
      <c r="A36">
        <v>34</v>
      </c>
      <c r="B36">
        <v>452</v>
      </c>
      <c r="C36">
        <v>384</v>
      </c>
      <c r="D36">
        <v>441</v>
      </c>
      <c r="E36" s="4">
        <f t="shared" si="0"/>
        <v>1</v>
      </c>
      <c r="F36" s="4">
        <f t="shared" si="1"/>
        <v>68</v>
      </c>
      <c r="G36" s="4">
        <f t="shared" si="2"/>
        <v>4624</v>
      </c>
      <c r="H36" s="5">
        <f>SQRT(SUM('p-pi-12'!$C$3:C36)/COUNTIF($A$3:A36,"&lt;&gt;0"))</f>
        <v>17.100911568410272</v>
      </c>
    </row>
    <row r="37" spans="1:8">
      <c r="A37">
        <v>35</v>
      </c>
      <c r="B37">
        <v>452</v>
      </c>
      <c r="C37">
        <v>298</v>
      </c>
      <c r="D37">
        <v>426</v>
      </c>
      <c r="E37" s="4">
        <f t="shared" si="0"/>
        <v>0</v>
      </c>
      <c r="F37" s="4">
        <f t="shared" si="1"/>
        <v>154</v>
      </c>
      <c r="G37" s="4">
        <f t="shared" si="2"/>
        <v>23716</v>
      </c>
      <c r="H37" s="5">
        <f>SQRT(SUM('p-pi-12'!$C$3:C37)/COUNTIF($A$3:A37,"&lt;&gt;0"))</f>
        <v>17.105554653386719</v>
      </c>
    </row>
    <row r="38" spans="1:8">
      <c r="A38">
        <v>36</v>
      </c>
      <c r="B38">
        <v>452</v>
      </c>
      <c r="C38">
        <v>397</v>
      </c>
      <c r="D38">
        <v>463</v>
      </c>
      <c r="E38" s="4">
        <f t="shared" si="0"/>
        <v>1</v>
      </c>
      <c r="F38" s="4">
        <f t="shared" si="1"/>
        <v>55</v>
      </c>
      <c r="G38" s="4">
        <f t="shared" si="2"/>
        <v>3025</v>
      </c>
      <c r="H38" s="5">
        <f>SQRT(SUM('p-pi-12'!$C$3:C38)/COUNTIF($A$3:A38,"&lt;&gt;0"))</f>
        <v>17.190113437671084</v>
      </c>
    </row>
    <row r="39" spans="1:8">
      <c r="A39">
        <v>37</v>
      </c>
      <c r="B39">
        <v>452</v>
      </c>
      <c r="C39">
        <v>402</v>
      </c>
      <c r="D39">
        <v>437</v>
      </c>
      <c r="E39" s="4">
        <f t="shared" si="0"/>
        <v>1</v>
      </c>
      <c r="F39" s="4">
        <f t="shared" si="1"/>
        <v>50</v>
      </c>
      <c r="G39" s="4">
        <f t="shared" si="2"/>
        <v>2500</v>
      </c>
      <c r="H39" s="5">
        <f>SQRT(SUM('p-pi-12'!$C$3:C39)/COUNTIF($A$3:A39,"&lt;&gt;0"))</f>
        <v>17.273632460440346</v>
      </c>
    </row>
    <row r="40" spans="1:8">
      <c r="A40">
        <v>38</v>
      </c>
      <c r="B40">
        <v>452</v>
      </c>
      <c r="C40">
        <v>404</v>
      </c>
      <c r="D40">
        <v>440</v>
      </c>
      <c r="E40" s="4">
        <f t="shared" si="0"/>
        <v>1</v>
      </c>
      <c r="F40" s="4">
        <f t="shared" si="1"/>
        <v>48</v>
      </c>
      <c r="G40" s="4">
        <f t="shared" si="2"/>
        <v>2304</v>
      </c>
      <c r="H40" s="5">
        <f>SQRT(SUM('p-pi-12'!$C$3:C40)/COUNTIF($A$3:A40,"&lt;&gt;0"))</f>
        <v>17.353901426965699</v>
      </c>
    </row>
    <row r="41" spans="1:8">
      <c r="A41">
        <v>39</v>
      </c>
      <c r="B41">
        <v>452</v>
      </c>
      <c r="C41">
        <v>405</v>
      </c>
      <c r="D41">
        <v>443</v>
      </c>
      <c r="E41" s="4">
        <f t="shared" si="0"/>
        <v>1</v>
      </c>
      <c r="F41" s="4">
        <f t="shared" si="1"/>
        <v>47</v>
      </c>
      <c r="G41" s="4">
        <f t="shared" si="2"/>
        <v>2209</v>
      </c>
      <c r="H41" s="5">
        <f>SQRT(SUM('p-pi-12'!$C$3:C41)/COUNTIF($A$3:A41,"&lt;&gt;0"))</f>
        <v>17.430447866320385</v>
      </c>
    </row>
    <row r="42" spans="1:8">
      <c r="A42">
        <v>40</v>
      </c>
      <c r="B42">
        <v>452</v>
      </c>
      <c r="C42">
        <v>387</v>
      </c>
      <c r="D42">
        <v>446</v>
      </c>
      <c r="E42" s="4">
        <f t="shared" si="0"/>
        <v>1</v>
      </c>
      <c r="F42" s="4">
        <f t="shared" si="1"/>
        <v>65</v>
      </c>
      <c r="G42" s="4">
        <f t="shared" si="2"/>
        <v>4225</v>
      </c>
      <c r="H42" s="5">
        <f>SQRT(SUM('p-pi-12'!$C$3:C42)/COUNTIF($A$3:A42,"&lt;&gt;0"))</f>
        <v>17.489997141223323</v>
      </c>
    </row>
    <row r="43" spans="1:8">
      <c r="A43">
        <v>41</v>
      </c>
      <c r="B43">
        <v>452</v>
      </c>
      <c r="C43">
        <v>413</v>
      </c>
      <c r="D43">
        <v>456</v>
      </c>
      <c r="E43" s="4">
        <f t="shared" si="0"/>
        <v>1</v>
      </c>
      <c r="F43" s="4">
        <f t="shared" si="1"/>
        <v>39</v>
      </c>
      <c r="G43" s="4">
        <f t="shared" si="2"/>
        <v>1521</v>
      </c>
      <c r="H43" s="5">
        <f>SQRT(SUM('p-pi-12'!$C$3:C43)/COUNTIF($A$3:A43,"&lt;&gt;0"))</f>
        <v>17.564515225930695</v>
      </c>
    </row>
    <row r="44" spans="1:8">
      <c r="A44">
        <v>42</v>
      </c>
      <c r="B44">
        <v>452</v>
      </c>
      <c r="C44">
        <v>390</v>
      </c>
      <c r="D44">
        <v>451</v>
      </c>
      <c r="E44" s="4">
        <f t="shared" si="0"/>
        <v>1</v>
      </c>
      <c r="F44" s="4">
        <f t="shared" si="1"/>
        <v>62</v>
      </c>
      <c r="G44" s="4">
        <f t="shared" si="2"/>
        <v>3844</v>
      </c>
      <c r="H44" s="5">
        <f>SQRT(SUM('p-pi-12'!$C$3:C44)/COUNTIF($A$3:A44,"&lt;&gt;0"))</f>
        <v>17.619658934053774</v>
      </c>
    </row>
    <row r="45" spans="1:8">
      <c r="A45">
        <v>43</v>
      </c>
      <c r="B45">
        <v>452</v>
      </c>
      <c r="C45">
        <v>410</v>
      </c>
      <c r="D45">
        <v>463</v>
      </c>
      <c r="E45" s="4">
        <f t="shared" si="0"/>
        <v>1</v>
      </c>
      <c r="F45" s="4">
        <f t="shared" si="1"/>
        <v>42</v>
      </c>
      <c r="G45" s="4">
        <f t="shared" si="2"/>
        <v>1764</v>
      </c>
      <c r="H45" s="5">
        <f>SQRT(SUM('p-pi-12'!$C$3:C45)/COUNTIF($A$3:A45,"&lt;&gt;0"))</f>
        <v>17.685232310050811</v>
      </c>
    </row>
    <row r="46" spans="1:8">
      <c r="A46">
        <v>44</v>
      </c>
      <c r="B46">
        <v>452</v>
      </c>
      <c r="C46">
        <v>396</v>
      </c>
      <c r="D46">
        <v>460</v>
      </c>
      <c r="E46" s="4">
        <f t="shared" si="0"/>
        <v>1</v>
      </c>
      <c r="F46" s="4">
        <f t="shared" si="1"/>
        <v>56</v>
      </c>
      <c r="G46" s="4">
        <f t="shared" si="2"/>
        <v>3136</v>
      </c>
      <c r="H46" s="5">
        <f>SQRT(SUM('p-pi-12'!$C$3:C46)/COUNTIF($A$3:A46,"&lt;&gt;0"))</f>
        <v>17.738632723778093</v>
      </c>
    </row>
    <row r="47" spans="1:8">
      <c r="A47">
        <v>45</v>
      </c>
      <c r="B47">
        <v>452</v>
      </c>
      <c r="C47">
        <v>494</v>
      </c>
      <c r="D47">
        <v>468</v>
      </c>
      <c r="E47" s="4">
        <f t="shared" si="0"/>
        <v>1</v>
      </c>
      <c r="F47" s="4">
        <f t="shared" si="1"/>
        <v>42</v>
      </c>
      <c r="G47" s="4">
        <f t="shared" si="2"/>
        <v>1764</v>
      </c>
      <c r="H47" s="5">
        <f>SQRT(SUM('p-pi-12'!$C$3:C47)/COUNTIF($A$3:A47,"&lt;&gt;0"))</f>
        <v>17.850614679737067</v>
      </c>
    </row>
    <row r="48" spans="1:8">
      <c r="A48">
        <v>46</v>
      </c>
      <c r="B48">
        <v>452</v>
      </c>
      <c r="C48">
        <v>442</v>
      </c>
      <c r="D48">
        <v>436</v>
      </c>
      <c r="E48" s="4">
        <f t="shared" si="0"/>
        <v>1</v>
      </c>
      <c r="F48" s="4">
        <f t="shared" si="1"/>
        <v>10</v>
      </c>
      <c r="G48" s="4">
        <f t="shared" si="2"/>
        <v>100</v>
      </c>
      <c r="H48" s="5">
        <f>SQRT(SUM('p-pi-12'!$C$3:C48)/COUNTIF($A$3:A48,"&lt;&gt;0"))</f>
        <v>17.925570756785451</v>
      </c>
    </row>
    <row r="49" spans="1:8">
      <c r="A49">
        <v>47</v>
      </c>
      <c r="B49">
        <v>452</v>
      </c>
      <c r="C49">
        <v>512</v>
      </c>
      <c r="D49">
        <v>452</v>
      </c>
      <c r="E49" s="4">
        <f t="shared" si="0"/>
        <v>1</v>
      </c>
      <c r="F49" s="4">
        <f t="shared" si="1"/>
        <v>60</v>
      </c>
      <c r="G49" s="4">
        <f t="shared" si="2"/>
        <v>3600</v>
      </c>
      <c r="H49" s="5">
        <f>SQRT(SUM('p-pi-12'!$C$3:C49)/COUNTIF($A$3:A49,"&lt;&gt;0"))</f>
        <v>18.038375168606631</v>
      </c>
    </row>
    <row r="50" spans="1:8">
      <c r="A50">
        <v>48</v>
      </c>
      <c r="B50">
        <v>452</v>
      </c>
      <c r="C50">
        <v>432</v>
      </c>
      <c r="D50">
        <v>427</v>
      </c>
      <c r="E50" s="4">
        <f t="shared" si="0"/>
        <v>1</v>
      </c>
      <c r="F50" s="4">
        <f t="shared" si="1"/>
        <v>20</v>
      </c>
      <c r="G50" s="4">
        <f t="shared" si="2"/>
        <v>400</v>
      </c>
      <c r="H50" s="5">
        <f>SQRT(SUM('p-pi-12'!$C$3:C50)/COUNTIF($A$3:A50,"&lt;&gt;0"))</f>
        <v>18.099838857477895</v>
      </c>
    </row>
    <row r="51" spans="1:8">
      <c r="A51">
        <v>49</v>
      </c>
      <c r="B51">
        <v>452</v>
      </c>
      <c r="C51">
        <v>492</v>
      </c>
      <c r="D51">
        <v>452</v>
      </c>
      <c r="E51" s="4">
        <f t="shared" si="0"/>
        <v>1</v>
      </c>
      <c r="F51" s="4">
        <f t="shared" si="1"/>
        <v>40</v>
      </c>
      <c r="G51" s="4">
        <f t="shared" si="2"/>
        <v>1600</v>
      </c>
      <c r="H51" s="5">
        <f>SQRT(SUM('p-pi-12'!$C$3:C51)/COUNTIF($A$3:A51,"&lt;&gt;0"))</f>
        <v>18.192283629975357</v>
      </c>
    </row>
    <row r="52" spans="1:8">
      <c r="A52">
        <v>50</v>
      </c>
      <c r="B52">
        <v>452</v>
      </c>
      <c r="C52">
        <v>451</v>
      </c>
      <c r="D52">
        <v>431</v>
      </c>
      <c r="E52" s="4">
        <f t="shared" si="0"/>
        <v>1</v>
      </c>
      <c r="F52" s="4">
        <f t="shared" si="1"/>
        <v>1</v>
      </c>
      <c r="G52" s="4">
        <f t="shared" si="2"/>
        <v>1</v>
      </c>
      <c r="H52" s="5">
        <f>SQRT(SUM('p-pi-12'!$C$3:C52)/COUNTIF($A$3:A52,"&lt;&gt;0"))</f>
        <v>18.258148865643527</v>
      </c>
    </row>
    <row r="53" spans="1:8">
      <c r="A53">
        <v>51</v>
      </c>
      <c r="B53">
        <v>452</v>
      </c>
      <c r="C53">
        <v>483</v>
      </c>
      <c r="D53">
        <v>443</v>
      </c>
      <c r="E53" s="4">
        <f t="shared" si="0"/>
        <v>1</v>
      </c>
      <c r="F53" s="4">
        <f t="shared" si="1"/>
        <v>31</v>
      </c>
      <c r="G53" s="4">
        <f t="shared" si="2"/>
        <v>961</v>
      </c>
      <c r="H53" s="5">
        <f>SQRT(SUM('p-pi-12'!$C$3:C53)/COUNTIF($A$3:A53,"&lt;&gt;0"))</f>
        <v>18.338323741472632</v>
      </c>
    </row>
    <row r="54" spans="1:8">
      <c r="A54">
        <v>52</v>
      </c>
      <c r="B54">
        <v>452</v>
      </c>
      <c r="C54">
        <v>471</v>
      </c>
      <c r="D54">
        <v>431</v>
      </c>
      <c r="E54" s="4">
        <f t="shared" si="0"/>
        <v>1</v>
      </c>
      <c r="F54" s="4">
        <f t="shared" si="1"/>
        <v>19</v>
      </c>
      <c r="G54" s="4">
        <f t="shared" si="2"/>
        <v>361</v>
      </c>
      <c r="H54" s="5">
        <f>SQRT(SUM('p-pi-12'!$C$3:C54)/COUNTIF($A$3:A54,"&lt;&gt;0"))</f>
        <v>18.408818956810222</v>
      </c>
    </row>
    <row r="55" spans="1:8">
      <c r="A55">
        <v>53</v>
      </c>
      <c r="B55">
        <v>452</v>
      </c>
      <c r="C55">
        <v>454</v>
      </c>
      <c r="D55">
        <v>434</v>
      </c>
      <c r="E55" s="4">
        <f t="shared" si="0"/>
        <v>1</v>
      </c>
      <c r="F55" s="4">
        <f t="shared" si="1"/>
        <v>2</v>
      </c>
      <c r="G55" s="4">
        <f t="shared" si="2"/>
        <v>4</v>
      </c>
      <c r="H55" s="5">
        <f>SQRT(SUM('p-pi-12'!$C$3:C55)/COUNTIF($A$3:A55,"&lt;&gt;0"))</f>
        <v>18.467717882120272</v>
      </c>
    </row>
    <row r="56" spans="1:8">
      <c r="A56">
        <v>54</v>
      </c>
      <c r="B56">
        <v>452</v>
      </c>
      <c r="C56">
        <v>458</v>
      </c>
      <c r="D56">
        <v>439</v>
      </c>
      <c r="E56" s="4">
        <f t="shared" si="0"/>
        <v>1</v>
      </c>
      <c r="F56" s="4">
        <f t="shared" si="1"/>
        <v>6</v>
      </c>
      <c r="G56" s="4">
        <f t="shared" si="2"/>
        <v>36</v>
      </c>
      <c r="H56" s="5">
        <f>SQRT(SUM('p-pi-12'!$C$3:C56)/COUNTIF($A$3:A56,"&lt;&gt;0"))</f>
        <v>18.526257642120338</v>
      </c>
    </row>
    <row r="57" spans="1:8">
      <c r="A57">
        <v>55</v>
      </c>
      <c r="B57">
        <v>452</v>
      </c>
      <c r="C57">
        <v>497</v>
      </c>
      <c r="D57">
        <v>437</v>
      </c>
      <c r="E57" s="4">
        <f t="shared" si="0"/>
        <v>1</v>
      </c>
      <c r="F57" s="4">
        <f t="shared" si="1"/>
        <v>45</v>
      </c>
      <c r="G57" s="4">
        <f t="shared" si="2"/>
        <v>2025</v>
      </c>
      <c r="H57" s="5">
        <f>SQRT(SUM('p-pi-12'!$C$3:C57)/COUNTIF($A$3:A57,"&lt;&gt;0"))</f>
        <v>18.601563961618439</v>
      </c>
    </row>
    <row r="58" spans="1:8">
      <c r="A58">
        <v>56</v>
      </c>
      <c r="B58">
        <v>452</v>
      </c>
      <c r="C58">
        <v>442</v>
      </c>
      <c r="D58">
        <v>422</v>
      </c>
      <c r="E58" s="4">
        <f t="shared" si="0"/>
        <v>1</v>
      </c>
      <c r="F58" s="4">
        <f t="shared" si="1"/>
        <v>10</v>
      </c>
      <c r="G58" s="4">
        <f t="shared" si="2"/>
        <v>100</v>
      </c>
      <c r="H58" s="5">
        <f>SQRT(SUM('p-pi-12'!$C$3:C58)/COUNTIF($A$3:A58,"&lt;&gt;0"))</f>
        <v>18.647577399146058</v>
      </c>
    </row>
    <row r="59" spans="1:8">
      <c r="A59">
        <v>57</v>
      </c>
      <c r="B59">
        <v>452</v>
      </c>
      <c r="C59">
        <v>435</v>
      </c>
      <c r="D59">
        <v>439</v>
      </c>
      <c r="E59" s="4">
        <f t="shared" si="0"/>
        <v>1</v>
      </c>
      <c r="F59" s="4">
        <f t="shared" si="1"/>
        <v>17</v>
      </c>
      <c r="G59" s="4">
        <f t="shared" si="2"/>
        <v>289</v>
      </c>
      <c r="H59" s="5">
        <f>SQRT(SUM('p-pi-12'!$C$3:C59)/COUNTIF($A$3:A59,"&lt;&gt;0"))</f>
        <v>18.688583624628613</v>
      </c>
    </row>
    <row r="60" spans="1:8">
      <c r="A60">
        <v>58</v>
      </c>
      <c r="B60">
        <v>452</v>
      </c>
      <c r="C60">
        <v>441</v>
      </c>
      <c r="D60">
        <v>442</v>
      </c>
      <c r="E60" s="4">
        <f t="shared" si="0"/>
        <v>1</v>
      </c>
      <c r="F60" s="4">
        <f t="shared" si="1"/>
        <v>11</v>
      </c>
      <c r="G60" s="4">
        <f t="shared" si="2"/>
        <v>121</v>
      </c>
      <c r="H60" s="5">
        <f>SQRT(SUM('p-pi-12'!$C$3:C60)/COUNTIF($A$3:A60,"&lt;&gt;0"))</f>
        <v>18.730852292039646</v>
      </c>
    </row>
    <row r="61" spans="1:8">
      <c r="A61">
        <v>59</v>
      </c>
      <c r="B61">
        <v>452</v>
      </c>
      <c r="C61">
        <v>501</v>
      </c>
      <c r="D61">
        <v>441</v>
      </c>
      <c r="E61" s="4">
        <f t="shared" si="0"/>
        <v>1</v>
      </c>
      <c r="F61" s="4">
        <f t="shared" si="1"/>
        <v>49</v>
      </c>
      <c r="G61" s="4">
        <f t="shared" si="2"/>
        <v>2401</v>
      </c>
      <c r="H61" s="5">
        <f>SQRT(SUM('p-pi-12'!$C$3:C61)/COUNTIF($A$3:A61,"&lt;&gt;0"))</f>
        <v>18.798665657659711</v>
      </c>
    </row>
    <row r="62" spans="1:8">
      <c r="A62">
        <v>60</v>
      </c>
      <c r="B62">
        <v>452</v>
      </c>
      <c r="C62">
        <v>444</v>
      </c>
      <c r="D62">
        <v>420</v>
      </c>
      <c r="E62" s="4">
        <f t="shared" si="0"/>
        <v>1</v>
      </c>
      <c r="F62" s="4">
        <f t="shared" si="1"/>
        <v>8</v>
      </c>
      <c r="G62" s="4">
        <f t="shared" si="2"/>
        <v>64</v>
      </c>
      <c r="H62" s="5">
        <f>SQRT(SUM('p-pi-12'!$C$3:C62)/COUNTIF($A$3:A62,"&lt;&gt;0"))</f>
        <v>18.838789770046269</v>
      </c>
    </row>
    <row r="63" spans="1:8">
      <c r="A63">
        <v>61</v>
      </c>
      <c r="B63">
        <v>452</v>
      </c>
      <c r="C63">
        <v>517</v>
      </c>
      <c r="D63">
        <v>437</v>
      </c>
      <c r="E63" s="4">
        <f t="shared" si="0"/>
        <v>1</v>
      </c>
      <c r="F63" s="4">
        <f t="shared" si="1"/>
        <v>65</v>
      </c>
      <c r="G63" s="4">
        <f t="shared" si="2"/>
        <v>4225</v>
      </c>
      <c r="H63" s="5">
        <f>SQRT(SUM('p-pi-12'!$C$3:C63)/COUNTIF($A$3:A63,"&lt;&gt;0"))</f>
        <v>18.909187635886962</v>
      </c>
    </row>
    <row r="64" spans="1:8">
      <c r="A64">
        <v>62</v>
      </c>
      <c r="B64">
        <v>452</v>
      </c>
      <c r="C64">
        <v>451</v>
      </c>
      <c r="D64">
        <v>411</v>
      </c>
      <c r="E64" s="4">
        <f t="shared" si="0"/>
        <v>1</v>
      </c>
      <c r="F64" s="4">
        <f t="shared" si="1"/>
        <v>1</v>
      </c>
      <c r="G64" s="4">
        <f t="shared" si="2"/>
        <v>1</v>
      </c>
      <c r="H64" s="5">
        <f>SQRT(SUM('p-pi-12'!$C$3:C64)/COUNTIF($A$3:A64,"&lt;&gt;0"))</f>
        <v>18.948997760542174</v>
      </c>
    </row>
    <row r="65" spans="1:8">
      <c r="A65">
        <v>63</v>
      </c>
      <c r="B65">
        <v>452</v>
      </c>
      <c r="C65">
        <v>471</v>
      </c>
      <c r="D65">
        <v>431</v>
      </c>
      <c r="E65" s="4">
        <f t="shared" si="0"/>
        <v>1</v>
      </c>
      <c r="F65" s="4">
        <f t="shared" si="1"/>
        <v>19</v>
      </c>
      <c r="G65" s="4">
        <f t="shared" si="2"/>
        <v>361</v>
      </c>
      <c r="H65" s="5">
        <f>SQRT(SUM('p-pi-12'!$C$3:C65)/COUNTIF($A$3:A65,"&lt;&gt;0"))</f>
        <v>18.99582243129446</v>
      </c>
    </row>
    <row r="66" spans="1:8">
      <c r="A66">
        <v>64</v>
      </c>
      <c r="B66">
        <v>452</v>
      </c>
      <c r="C66">
        <v>483</v>
      </c>
      <c r="D66">
        <v>423</v>
      </c>
      <c r="E66" s="4">
        <f t="shared" si="0"/>
        <v>1</v>
      </c>
      <c r="F66" s="4">
        <f t="shared" si="1"/>
        <v>31</v>
      </c>
      <c r="G66" s="4">
        <f t="shared" si="2"/>
        <v>961</v>
      </c>
      <c r="H66" s="5">
        <f>SQRT(SUM('p-pi-12'!$C$3:C66)/COUNTIF($A$3:A66,"&lt;&gt;0"))</f>
        <v>19.045996954740911</v>
      </c>
    </row>
    <row r="67" spans="1:8">
      <c r="A67">
        <v>65</v>
      </c>
      <c r="B67">
        <v>452</v>
      </c>
      <c r="C67">
        <v>457</v>
      </c>
      <c r="D67">
        <v>417</v>
      </c>
      <c r="E67" s="4">
        <f t="shared" si="0"/>
        <v>1</v>
      </c>
      <c r="F67" s="4">
        <f t="shared" si="1"/>
        <v>5</v>
      </c>
      <c r="G67" s="4">
        <f t="shared" si="2"/>
        <v>25</v>
      </c>
      <c r="H67" s="5">
        <f>SQRT(SUM('p-pi-12'!$C$3:C67)/COUNTIF($A$3:A67,"&lt;&gt;0"))</f>
        <v>19.0840247327444</v>
      </c>
    </row>
    <row r="68" spans="1:8">
      <c r="A68">
        <v>66</v>
      </c>
      <c r="B68">
        <v>452</v>
      </c>
      <c r="C68">
        <v>463</v>
      </c>
      <c r="D68">
        <v>425</v>
      </c>
      <c r="E68" s="4">
        <f t="shared" ref="E68:E131" si="3">IF(AND(C68&lt;=B68*1.2,C68&gt;=B68*0.8),1,0)</f>
        <v>1</v>
      </c>
      <c r="F68" s="4">
        <f t="shared" ref="F68:F131" si="4">ABS(B68-C68)</f>
        <v>11</v>
      </c>
      <c r="G68" s="4">
        <f t="shared" ref="G68:G131" si="5">POWER(F68,2)</f>
        <v>121</v>
      </c>
      <c r="H68" s="5">
        <f>SQRT(SUM('p-pi-12'!$C$3:C68)/COUNTIF($A$3:A68,"&lt;&gt;0"))</f>
        <v>19.123205005881459</v>
      </c>
    </row>
    <row r="69" spans="1:8">
      <c r="A69">
        <v>67</v>
      </c>
      <c r="B69">
        <v>452</v>
      </c>
      <c r="C69">
        <v>442</v>
      </c>
      <c r="D69">
        <v>422</v>
      </c>
      <c r="E69" s="4">
        <f t="shared" si="3"/>
        <v>1</v>
      </c>
      <c r="F69" s="4">
        <f t="shared" si="4"/>
        <v>10</v>
      </c>
      <c r="G69" s="4">
        <f t="shared" si="5"/>
        <v>100</v>
      </c>
      <c r="H69" s="5">
        <f>SQRT(SUM('p-pi-12'!$C$3:C69)/COUNTIF($A$3:A69,"&lt;&gt;0"))</f>
        <v>19.152958541581047</v>
      </c>
    </row>
    <row r="70" spans="1:8">
      <c r="A70">
        <v>68</v>
      </c>
      <c r="B70">
        <v>452</v>
      </c>
      <c r="C70">
        <v>509</v>
      </c>
      <c r="D70">
        <v>429</v>
      </c>
      <c r="E70" s="4">
        <f t="shared" si="3"/>
        <v>1</v>
      </c>
      <c r="F70" s="4">
        <f t="shared" si="4"/>
        <v>57</v>
      </c>
      <c r="G70" s="4">
        <f t="shared" si="5"/>
        <v>3249</v>
      </c>
      <c r="H70" s="5">
        <f>SQRT(SUM('p-pi-12'!$C$3:C70)/COUNTIF($A$3:A70,"&lt;&gt;0"))</f>
        <v>19.207458722804411</v>
      </c>
    </row>
    <row r="71" spans="1:8">
      <c r="A71">
        <v>69</v>
      </c>
      <c r="B71">
        <v>452</v>
      </c>
      <c r="C71">
        <v>445</v>
      </c>
      <c r="D71">
        <v>405</v>
      </c>
      <c r="E71" s="4">
        <f t="shared" si="3"/>
        <v>1</v>
      </c>
      <c r="F71" s="4">
        <f t="shared" si="4"/>
        <v>7</v>
      </c>
      <c r="G71" s="4">
        <f t="shared" si="5"/>
        <v>49</v>
      </c>
      <c r="H71" s="5">
        <f>SQRT(SUM('p-pi-12'!$C$3:C71)/COUNTIF($A$3:A71,"&lt;&gt;0"))</f>
        <v>19.236137489299828</v>
      </c>
    </row>
    <row r="72" spans="1:8">
      <c r="A72">
        <v>70</v>
      </c>
      <c r="B72">
        <v>452</v>
      </c>
      <c r="C72">
        <v>420</v>
      </c>
      <c r="D72">
        <v>424</v>
      </c>
      <c r="E72" s="4">
        <f t="shared" si="3"/>
        <v>1</v>
      </c>
      <c r="F72" s="4">
        <f t="shared" si="4"/>
        <v>32</v>
      </c>
      <c r="G72" s="4">
        <f t="shared" si="5"/>
        <v>1024</v>
      </c>
      <c r="H72" s="5">
        <f>SQRT(SUM('p-pi-12'!$C$3:C72)/COUNTIF($A$3:A72,"&lt;&gt;0"))</f>
        <v>19.254684031239183</v>
      </c>
    </row>
    <row r="73" spans="1:8">
      <c r="A73">
        <v>71</v>
      </c>
      <c r="B73">
        <v>452</v>
      </c>
      <c r="C73">
        <v>474</v>
      </c>
      <c r="D73">
        <v>434</v>
      </c>
      <c r="E73" s="4">
        <f t="shared" si="3"/>
        <v>1</v>
      </c>
      <c r="F73" s="4">
        <f t="shared" si="4"/>
        <v>22</v>
      </c>
      <c r="G73" s="4">
        <f t="shared" si="5"/>
        <v>484</v>
      </c>
      <c r="H73" s="5">
        <f>SQRT(SUM('p-pi-12'!$C$3:C73)/COUNTIF($A$3:A73,"&lt;&gt;0"))</f>
        <v>19.292412578487728</v>
      </c>
    </row>
    <row r="74" spans="1:8">
      <c r="A74">
        <v>72</v>
      </c>
      <c r="B74">
        <v>452</v>
      </c>
      <c r="C74">
        <v>436</v>
      </c>
      <c r="D74">
        <v>416</v>
      </c>
      <c r="E74" s="4">
        <f t="shared" si="3"/>
        <v>1</v>
      </c>
      <c r="F74" s="4">
        <f t="shared" si="4"/>
        <v>16</v>
      </c>
      <c r="G74" s="4">
        <f t="shared" si="5"/>
        <v>256</v>
      </c>
      <c r="H74" s="5">
        <f>SQRT(SUM('p-pi-12'!$C$3:C74)/COUNTIF($A$3:A74,"&lt;&gt;0"))</f>
        <v>19.315365213563354</v>
      </c>
    </row>
    <row r="75" spans="1:8">
      <c r="A75">
        <v>73</v>
      </c>
      <c r="B75">
        <v>452</v>
      </c>
      <c r="C75">
        <v>489</v>
      </c>
      <c r="D75">
        <v>429</v>
      </c>
      <c r="E75" s="4">
        <f t="shared" si="3"/>
        <v>1</v>
      </c>
      <c r="F75" s="4">
        <f t="shared" si="4"/>
        <v>37</v>
      </c>
      <c r="G75" s="4">
        <f t="shared" si="5"/>
        <v>1369</v>
      </c>
      <c r="H75" s="5">
        <f>SQRT(SUM('p-pi-12'!$C$3:C75)/COUNTIF($A$3:A75,"&lt;&gt;0"))</f>
        <v>19.356426139055536</v>
      </c>
    </row>
    <row r="76" spans="1:8">
      <c r="A76">
        <v>74</v>
      </c>
      <c r="B76">
        <v>452</v>
      </c>
      <c r="C76">
        <v>413</v>
      </c>
      <c r="D76">
        <v>410</v>
      </c>
      <c r="E76" s="4">
        <f t="shared" si="3"/>
        <v>1</v>
      </c>
      <c r="F76" s="4">
        <f t="shared" si="4"/>
        <v>39</v>
      </c>
      <c r="G76" s="4">
        <f t="shared" si="5"/>
        <v>1521</v>
      </c>
      <c r="H76" s="5">
        <f>SQRT(SUM('p-pi-12'!$C$3:C76)/COUNTIF($A$3:A76,"&lt;&gt;0"))</f>
        <v>19.369800958946097</v>
      </c>
    </row>
    <row r="77" spans="1:8">
      <c r="A77">
        <v>75</v>
      </c>
      <c r="B77">
        <v>452</v>
      </c>
      <c r="C77">
        <v>450</v>
      </c>
      <c r="D77">
        <v>436</v>
      </c>
      <c r="E77" s="4">
        <f t="shared" si="3"/>
        <v>1</v>
      </c>
      <c r="F77" s="4">
        <f t="shared" si="4"/>
        <v>2</v>
      </c>
      <c r="G77" s="4">
        <f t="shared" si="5"/>
        <v>4</v>
      </c>
      <c r="H77" s="5">
        <f>SQRT(SUM('p-pi-12'!$C$3:C77)/COUNTIF($A$3:A77,"&lt;&gt;0"))</f>
        <v>19.395532131567482</v>
      </c>
    </row>
    <row r="78" spans="1:8">
      <c r="A78">
        <v>76</v>
      </c>
      <c r="B78">
        <v>452</v>
      </c>
      <c r="C78">
        <v>465</v>
      </c>
      <c r="D78">
        <v>425</v>
      </c>
      <c r="E78" s="4">
        <f t="shared" si="3"/>
        <v>1</v>
      </c>
      <c r="F78" s="4">
        <f t="shared" si="4"/>
        <v>13</v>
      </c>
      <c r="G78" s="4">
        <f t="shared" si="5"/>
        <v>169</v>
      </c>
      <c r="H78" s="5">
        <f>SQRT(SUM('p-pi-12'!$C$3:C78)/COUNTIF($A$3:A78,"&lt;&gt;0"))</f>
        <v>19.425634176466279</v>
      </c>
    </row>
    <row r="79" spans="1:8">
      <c r="A79">
        <v>77</v>
      </c>
      <c r="B79">
        <v>452</v>
      </c>
      <c r="C79">
        <v>499</v>
      </c>
      <c r="D79">
        <v>419</v>
      </c>
      <c r="E79" s="4">
        <f t="shared" si="3"/>
        <v>1</v>
      </c>
      <c r="F79" s="4">
        <f t="shared" si="4"/>
        <v>47</v>
      </c>
      <c r="G79" s="4">
        <f t="shared" si="5"/>
        <v>2209</v>
      </c>
      <c r="H79" s="5">
        <f>SQRT(SUM('p-pi-12'!$C$3:C79)/COUNTIF($A$3:A79,"&lt;&gt;0"))</f>
        <v>19.466254517370949</v>
      </c>
    </row>
    <row r="80" spans="1:8">
      <c r="A80">
        <v>78</v>
      </c>
      <c r="B80">
        <v>452</v>
      </c>
      <c r="C80">
        <v>428</v>
      </c>
      <c r="D80">
        <v>406</v>
      </c>
      <c r="E80" s="4">
        <f t="shared" si="3"/>
        <v>1</v>
      </c>
      <c r="F80" s="4">
        <f t="shared" si="4"/>
        <v>24</v>
      </c>
      <c r="G80" s="4">
        <f t="shared" si="5"/>
        <v>576</v>
      </c>
      <c r="H80" s="5">
        <f>SQRT(SUM('p-pi-12'!$C$3:C80)/COUNTIF($A$3:A80,"&lt;&gt;0"))</f>
        <v>19.48240494816034</v>
      </c>
    </row>
    <row r="81" spans="1:8">
      <c r="A81">
        <v>79</v>
      </c>
      <c r="B81">
        <v>452</v>
      </c>
      <c r="C81">
        <v>469</v>
      </c>
      <c r="D81">
        <v>429</v>
      </c>
      <c r="E81" s="4">
        <f t="shared" si="3"/>
        <v>1</v>
      </c>
      <c r="F81" s="4">
        <f t="shared" si="4"/>
        <v>17</v>
      </c>
      <c r="G81" s="4">
        <f t="shared" si="5"/>
        <v>289</v>
      </c>
      <c r="H81" s="5">
        <f>SQRT(SUM('p-pi-12'!$C$3:C81)/COUNTIF($A$3:A81,"&lt;&gt;0"))</f>
        <v>19.511437736149674</v>
      </c>
    </row>
    <row r="82" spans="1:8">
      <c r="A82">
        <v>80</v>
      </c>
      <c r="B82">
        <v>452</v>
      </c>
      <c r="C82">
        <v>475</v>
      </c>
      <c r="D82">
        <v>415</v>
      </c>
      <c r="E82" s="4">
        <f t="shared" si="3"/>
        <v>1</v>
      </c>
      <c r="F82" s="4">
        <f t="shared" si="4"/>
        <v>23</v>
      </c>
      <c r="G82" s="4">
        <f t="shared" si="5"/>
        <v>529</v>
      </c>
      <c r="H82" s="5">
        <f>SQRT(SUM('p-pi-12'!$C$3:C82)/COUNTIF($A$3:A82,"&lt;&gt;0"))</f>
        <v>19.541622245862804</v>
      </c>
    </row>
    <row r="83" spans="1:8">
      <c r="A83">
        <v>81</v>
      </c>
      <c r="B83">
        <v>452</v>
      </c>
      <c r="C83">
        <v>472</v>
      </c>
      <c r="D83">
        <v>412</v>
      </c>
      <c r="E83" s="4">
        <f t="shared" si="3"/>
        <v>1</v>
      </c>
      <c r="F83" s="4">
        <f t="shared" si="4"/>
        <v>20</v>
      </c>
      <c r="G83" s="4">
        <f t="shared" si="5"/>
        <v>400</v>
      </c>
      <c r="H83" s="5">
        <f>SQRT(SUM('p-pi-12'!$C$3:C83)/COUNTIF($A$3:A83,"&lt;&gt;0"))</f>
        <v>19.570070370874696</v>
      </c>
    </row>
    <row r="84" spans="1:8">
      <c r="A84">
        <v>82</v>
      </c>
      <c r="B84">
        <v>452</v>
      </c>
      <c r="C84">
        <v>451</v>
      </c>
      <c r="D84">
        <v>411</v>
      </c>
      <c r="E84" s="4">
        <f t="shared" si="3"/>
        <v>1</v>
      </c>
      <c r="F84" s="4">
        <f t="shared" si="4"/>
        <v>1</v>
      </c>
      <c r="G84" s="4">
        <f t="shared" si="5"/>
        <v>1</v>
      </c>
      <c r="H84" s="5">
        <f>SQRT(SUM('p-pi-12'!$C$3:C84)/COUNTIF($A$3:A84,"&lt;&gt;0"))</f>
        <v>19.591249913436656</v>
      </c>
    </row>
    <row r="85" spans="1:8">
      <c r="A85">
        <v>83</v>
      </c>
      <c r="B85">
        <v>452</v>
      </c>
      <c r="C85">
        <v>415</v>
      </c>
      <c r="D85">
        <v>417</v>
      </c>
      <c r="E85" s="4">
        <f t="shared" si="3"/>
        <v>1</v>
      </c>
      <c r="F85" s="4">
        <f t="shared" si="4"/>
        <v>37</v>
      </c>
      <c r="G85" s="4">
        <f t="shared" si="5"/>
        <v>1369</v>
      </c>
      <c r="H85" s="5">
        <f>SQRT(SUM('p-pi-12'!$C$3:C85)/COUNTIF($A$3:A85,"&lt;&gt;0"))</f>
        <v>19.60083597922133</v>
      </c>
    </row>
    <row r="86" spans="1:8">
      <c r="A86">
        <v>84</v>
      </c>
      <c r="B86">
        <v>452</v>
      </c>
      <c r="C86">
        <v>511</v>
      </c>
      <c r="D86">
        <v>431</v>
      </c>
      <c r="E86" s="4">
        <f t="shared" si="3"/>
        <v>1</v>
      </c>
      <c r="F86" s="4">
        <f t="shared" si="4"/>
        <v>59</v>
      </c>
      <c r="G86" s="4">
        <f t="shared" si="5"/>
        <v>3481</v>
      </c>
      <c r="H86" s="5">
        <f>SQRT(SUM('p-pi-12'!$C$3:C86)/COUNTIF($A$3:A86,"&lt;&gt;0"))</f>
        <v>19.639307038497588</v>
      </c>
    </row>
    <row r="87" spans="1:8">
      <c r="A87">
        <v>85</v>
      </c>
      <c r="B87">
        <v>452</v>
      </c>
      <c r="C87">
        <v>458</v>
      </c>
      <c r="D87">
        <v>398</v>
      </c>
      <c r="E87" s="4">
        <f t="shared" si="3"/>
        <v>1</v>
      </c>
      <c r="F87" s="4">
        <f t="shared" si="4"/>
        <v>6</v>
      </c>
      <c r="G87" s="4">
        <f t="shared" si="5"/>
        <v>36</v>
      </c>
      <c r="H87" s="5">
        <f>SQRT(SUM('p-pi-12'!$C$3:C87)/COUNTIF($A$3:A87,"&lt;&gt;0"))</f>
        <v>19.660949650931681</v>
      </c>
    </row>
    <row r="88" spans="1:8">
      <c r="A88">
        <v>86</v>
      </c>
      <c r="B88">
        <v>452</v>
      </c>
      <c r="C88">
        <v>473</v>
      </c>
      <c r="D88">
        <v>413</v>
      </c>
      <c r="E88" s="4">
        <f t="shared" si="3"/>
        <v>1</v>
      </c>
      <c r="F88" s="4">
        <f t="shared" si="4"/>
        <v>21</v>
      </c>
      <c r="G88" s="4">
        <f t="shared" si="5"/>
        <v>441</v>
      </c>
      <c r="H88" s="5">
        <f>SQRT(SUM('p-pi-12'!$C$3:C88)/COUNTIF($A$3:A88,"&lt;&gt;0"))</f>
        <v>19.686496375304664</v>
      </c>
    </row>
    <row r="89" spans="1:8">
      <c r="A89">
        <v>87</v>
      </c>
      <c r="B89">
        <v>452</v>
      </c>
      <c r="C89">
        <v>447</v>
      </c>
      <c r="D89">
        <v>407</v>
      </c>
      <c r="E89" s="4">
        <f t="shared" si="3"/>
        <v>1</v>
      </c>
      <c r="F89" s="4">
        <f t="shared" si="4"/>
        <v>5</v>
      </c>
      <c r="G89" s="4">
        <f t="shared" si="5"/>
        <v>25</v>
      </c>
      <c r="H89" s="5">
        <f>SQRT(SUM('p-pi-12'!$C$3:C89)/COUNTIF($A$3:A89,"&lt;&gt;0"))</f>
        <v>19.70384173988273</v>
      </c>
    </row>
    <row r="90" spans="1:8">
      <c r="A90">
        <v>88</v>
      </c>
      <c r="B90">
        <v>452</v>
      </c>
      <c r="C90">
        <v>455</v>
      </c>
      <c r="D90">
        <v>415</v>
      </c>
      <c r="E90" s="4">
        <f t="shared" si="3"/>
        <v>1</v>
      </c>
      <c r="F90" s="4">
        <f t="shared" si="4"/>
        <v>3</v>
      </c>
      <c r="G90" s="4">
        <f t="shared" si="5"/>
        <v>9</v>
      </c>
      <c r="H90" s="5">
        <f>SQRT(SUM('p-pi-12'!$C$3:C90)/COUNTIF($A$3:A90,"&lt;&gt;0"))</f>
        <v>19.723082923316021</v>
      </c>
    </row>
    <row r="91" spans="1:8">
      <c r="A91">
        <v>89</v>
      </c>
      <c r="B91">
        <v>452</v>
      </c>
      <c r="C91">
        <v>433</v>
      </c>
      <c r="D91">
        <v>413</v>
      </c>
      <c r="E91" s="4">
        <f t="shared" si="3"/>
        <v>1</v>
      </c>
      <c r="F91" s="4">
        <f t="shared" si="4"/>
        <v>19</v>
      </c>
      <c r="G91" s="4">
        <f t="shared" si="5"/>
        <v>361</v>
      </c>
      <c r="H91" s="5">
        <f>SQRT(SUM('p-pi-12'!$C$3:C91)/COUNTIF($A$3:A91,"&lt;&gt;0"))</f>
        <v>19.735612025535765</v>
      </c>
    </row>
    <row r="92" spans="1:8">
      <c r="A92">
        <v>90</v>
      </c>
      <c r="B92">
        <v>452</v>
      </c>
      <c r="C92">
        <v>461</v>
      </c>
      <c r="D92">
        <v>421</v>
      </c>
      <c r="E92" s="4">
        <f t="shared" si="3"/>
        <v>1</v>
      </c>
      <c r="F92" s="4">
        <f t="shared" si="4"/>
        <v>9</v>
      </c>
      <c r="G92" s="4">
        <f t="shared" si="5"/>
        <v>81</v>
      </c>
      <c r="H92" s="5">
        <f>SQRT(SUM('p-pi-12'!$C$3:C92)/COUNTIF($A$3:A92,"&lt;&gt;0"))</f>
        <v>19.755730532908391</v>
      </c>
    </row>
    <row r="93" spans="1:8">
      <c r="A93">
        <v>91</v>
      </c>
      <c r="B93">
        <v>452</v>
      </c>
      <c r="C93">
        <v>492</v>
      </c>
      <c r="D93">
        <v>412</v>
      </c>
      <c r="E93" s="4">
        <f t="shared" si="3"/>
        <v>1</v>
      </c>
      <c r="F93" s="4">
        <f t="shared" si="4"/>
        <v>40</v>
      </c>
      <c r="G93" s="4">
        <f t="shared" si="5"/>
        <v>1600</v>
      </c>
      <c r="H93" s="5">
        <f>SQRT(SUM('p-pi-12'!$C$3:C93)/COUNTIF($A$3:A93,"&lt;&gt;0"))</f>
        <v>19.783998418080039</v>
      </c>
    </row>
    <row r="94" spans="1:8">
      <c r="A94">
        <v>92</v>
      </c>
      <c r="B94">
        <v>452</v>
      </c>
      <c r="C94">
        <v>439</v>
      </c>
      <c r="D94">
        <v>399</v>
      </c>
      <c r="E94" s="4">
        <f t="shared" si="3"/>
        <v>1</v>
      </c>
      <c r="F94" s="4">
        <f t="shared" si="4"/>
        <v>13</v>
      </c>
      <c r="G94" s="4">
        <f t="shared" si="5"/>
        <v>169</v>
      </c>
      <c r="H94" s="5">
        <f>SQRT(SUM('p-pi-12'!$C$3:C94)/COUNTIF($A$3:A94,"&lt;&gt;0"))</f>
        <v>19.797068294156038</v>
      </c>
    </row>
    <row r="95" spans="1:8">
      <c r="A95">
        <v>93</v>
      </c>
      <c r="B95">
        <v>452</v>
      </c>
      <c r="C95">
        <v>476</v>
      </c>
      <c r="D95">
        <v>416</v>
      </c>
      <c r="E95" s="4">
        <f t="shared" si="3"/>
        <v>1</v>
      </c>
      <c r="F95" s="4">
        <f t="shared" si="4"/>
        <v>24</v>
      </c>
      <c r="G95" s="4">
        <f t="shared" si="5"/>
        <v>576</v>
      </c>
      <c r="H95" s="5">
        <f>SQRT(SUM('p-pi-12'!$C$3:C95)/COUNTIF($A$3:A95,"&lt;&gt;0"))</f>
        <v>19.819887915658033</v>
      </c>
    </row>
    <row r="96" spans="1:8">
      <c r="A96">
        <v>94</v>
      </c>
      <c r="B96">
        <v>452</v>
      </c>
      <c r="C96">
        <v>483</v>
      </c>
      <c r="D96">
        <v>403</v>
      </c>
      <c r="E96" s="4">
        <f t="shared" si="3"/>
        <v>1</v>
      </c>
      <c r="F96" s="4">
        <f t="shared" si="4"/>
        <v>31</v>
      </c>
      <c r="G96" s="4">
        <f t="shared" si="5"/>
        <v>961</v>
      </c>
      <c r="H96" s="5">
        <f>SQRT(SUM('p-pi-12'!$C$3:C96)/COUNTIF($A$3:A96,"&lt;&gt;0"))</f>
        <v>19.844073020490352</v>
      </c>
    </row>
    <row r="97" spans="1:8">
      <c r="A97">
        <v>95</v>
      </c>
      <c r="B97">
        <v>452</v>
      </c>
      <c r="C97">
        <v>439</v>
      </c>
      <c r="D97">
        <v>399</v>
      </c>
      <c r="E97" s="4">
        <f t="shared" si="3"/>
        <v>1</v>
      </c>
      <c r="F97" s="4">
        <f t="shared" si="4"/>
        <v>13</v>
      </c>
      <c r="G97" s="4">
        <f t="shared" si="5"/>
        <v>169</v>
      </c>
      <c r="H97" s="5">
        <f>SQRT(SUM('p-pi-12'!$C$3:C97)/COUNTIF($A$3:A97,"&lt;&gt;0"))</f>
        <v>19.856060986377354</v>
      </c>
    </row>
    <row r="98" spans="1:8">
      <c r="A98">
        <v>96</v>
      </c>
      <c r="B98">
        <v>452</v>
      </c>
      <c r="C98">
        <v>473</v>
      </c>
      <c r="D98">
        <v>413</v>
      </c>
      <c r="E98" s="4">
        <f t="shared" si="3"/>
        <v>1</v>
      </c>
      <c r="F98" s="4">
        <f t="shared" si="4"/>
        <v>21</v>
      </c>
      <c r="G98" s="4">
        <f t="shared" si="5"/>
        <v>441</v>
      </c>
      <c r="H98" s="5">
        <f>SQRT(SUM('p-pi-12'!$C$3:C98)/COUNTIF($A$3:A98,"&lt;&gt;0"))</f>
        <v>19.876703281312356</v>
      </c>
    </row>
    <row r="99" spans="1:8">
      <c r="A99">
        <v>97</v>
      </c>
      <c r="B99">
        <v>452</v>
      </c>
      <c r="C99">
        <v>423</v>
      </c>
      <c r="D99">
        <v>401</v>
      </c>
      <c r="E99" s="4">
        <f t="shared" si="3"/>
        <v>1</v>
      </c>
      <c r="F99" s="4">
        <f t="shared" si="4"/>
        <v>29</v>
      </c>
      <c r="G99" s="4">
        <f t="shared" si="5"/>
        <v>841</v>
      </c>
      <c r="H99" s="5">
        <f>SQRT(SUM('p-pi-12'!$C$3:C99)/COUNTIF($A$3:A99,"&lt;&gt;0"))</f>
        <v>19.88394161177855</v>
      </c>
    </row>
    <row r="100" spans="1:8">
      <c r="A100">
        <v>98</v>
      </c>
      <c r="B100">
        <v>452</v>
      </c>
      <c r="C100">
        <v>478</v>
      </c>
      <c r="D100">
        <v>418</v>
      </c>
      <c r="E100" s="4">
        <f t="shared" si="3"/>
        <v>1</v>
      </c>
      <c r="F100" s="4">
        <f t="shared" si="4"/>
        <v>26</v>
      </c>
      <c r="G100" s="4">
        <f t="shared" si="5"/>
        <v>676</v>
      </c>
      <c r="H100" s="5">
        <f>SQRT(SUM('p-pi-12'!$C$3:C100)/COUNTIF($A$3:A100,"&lt;&gt;0"))</f>
        <v>19.905132145109857</v>
      </c>
    </row>
    <row r="101" spans="1:8">
      <c r="A101">
        <v>99</v>
      </c>
      <c r="B101">
        <v>452</v>
      </c>
      <c r="C101">
        <v>440</v>
      </c>
      <c r="D101">
        <v>400</v>
      </c>
      <c r="E101" s="4">
        <f t="shared" si="3"/>
        <v>1</v>
      </c>
      <c r="F101" s="4">
        <f t="shared" si="4"/>
        <v>12</v>
      </c>
      <c r="G101" s="4">
        <f t="shared" si="5"/>
        <v>144</v>
      </c>
      <c r="H101" s="5">
        <f>SQRT(SUM('p-pi-12'!$C$3:C101)/COUNTIF($A$3:A101,"&lt;&gt;0"))</f>
        <v>19.916238742708565</v>
      </c>
    </row>
    <row r="102" spans="1:8">
      <c r="A102">
        <v>100</v>
      </c>
      <c r="B102">
        <v>452</v>
      </c>
      <c r="C102">
        <v>429</v>
      </c>
      <c r="D102">
        <v>412</v>
      </c>
      <c r="E102" s="4">
        <f t="shared" si="3"/>
        <v>1</v>
      </c>
      <c r="F102" s="4">
        <f t="shared" si="4"/>
        <v>23</v>
      </c>
      <c r="G102" s="4">
        <f t="shared" si="5"/>
        <v>529</v>
      </c>
      <c r="H102" s="5">
        <f>SQRT(SUM('p-pi-12'!$C$3:C102)/COUNTIF($A$3:A102,"&lt;&gt;0"))</f>
        <v>19.924356953236909</v>
      </c>
    </row>
    <row r="103" spans="1:8">
      <c r="A103">
        <v>101</v>
      </c>
      <c r="B103">
        <v>452</v>
      </c>
      <c r="C103">
        <v>497</v>
      </c>
      <c r="D103">
        <v>417</v>
      </c>
      <c r="E103" s="4">
        <f t="shared" si="3"/>
        <v>1</v>
      </c>
      <c r="F103" s="4">
        <f t="shared" si="4"/>
        <v>45</v>
      </c>
      <c r="G103" s="4">
        <f t="shared" si="5"/>
        <v>2025</v>
      </c>
      <c r="H103" s="5">
        <f>SQRT(SUM('p-pi-12'!$C$3:C103)/COUNTIF($A$3:A103,"&lt;&gt;0"))</f>
        <v>19.949192891686195</v>
      </c>
    </row>
    <row r="104" spans="1:8">
      <c r="A104">
        <v>102</v>
      </c>
      <c r="B104">
        <v>452</v>
      </c>
      <c r="C104">
        <v>454</v>
      </c>
      <c r="D104">
        <v>394</v>
      </c>
      <c r="E104" s="4">
        <f t="shared" si="3"/>
        <v>1</v>
      </c>
      <c r="F104" s="4">
        <f t="shared" si="4"/>
        <v>2</v>
      </c>
      <c r="G104" s="4">
        <f t="shared" si="5"/>
        <v>4</v>
      </c>
      <c r="H104" s="5">
        <f>SQRT(SUM('p-pi-12'!$C$3:C104)/COUNTIF($A$3:A104,"&lt;&gt;0"))</f>
        <v>19.962955889425224</v>
      </c>
    </row>
    <row r="105" spans="1:8">
      <c r="A105">
        <v>103</v>
      </c>
      <c r="B105">
        <v>452</v>
      </c>
      <c r="C105">
        <v>426</v>
      </c>
      <c r="D105">
        <v>406</v>
      </c>
      <c r="E105" s="4">
        <f t="shared" si="3"/>
        <v>1</v>
      </c>
      <c r="F105" s="4">
        <f t="shared" si="4"/>
        <v>26</v>
      </c>
      <c r="G105" s="4">
        <f t="shared" si="5"/>
        <v>676</v>
      </c>
      <c r="H105" s="5">
        <f>SQRT(SUM('p-pi-12'!$C$3:C105)/COUNTIF($A$3:A105,"&lt;&gt;0"))</f>
        <v>19.969637146603098</v>
      </c>
    </row>
    <row r="106" spans="1:8">
      <c r="A106">
        <v>104</v>
      </c>
      <c r="B106">
        <v>452</v>
      </c>
      <c r="C106">
        <v>453</v>
      </c>
      <c r="D106">
        <v>417</v>
      </c>
      <c r="E106" s="4">
        <f t="shared" si="3"/>
        <v>1</v>
      </c>
      <c r="F106" s="4">
        <f t="shared" si="4"/>
        <v>1</v>
      </c>
      <c r="G106" s="4">
        <f t="shared" si="5"/>
        <v>1</v>
      </c>
      <c r="H106" s="5">
        <f>SQRT(SUM('p-pi-12'!$C$3:C106)/COUNTIF($A$3:A106,"&lt;&gt;0"))</f>
        <v>19.98268481229918</v>
      </c>
    </row>
    <row r="107" spans="1:8">
      <c r="A107">
        <v>105</v>
      </c>
      <c r="B107">
        <v>452</v>
      </c>
      <c r="C107">
        <v>468</v>
      </c>
      <c r="D107">
        <v>408</v>
      </c>
      <c r="E107" s="4">
        <f t="shared" si="3"/>
        <v>1</v>
      </c>
      <c r="F107" s="4">
        <f t="shared" si="4"/>
        <v>16</v>
      </c>
      <c r="G107" s="4">
        <f t="shared" si="5"/>
        <v>256</v>
      </c>
      <c r="H107" s="5">
        <f>SQRT(SUM('p-pi-12'!$C$3:C107)/COUNTIF($A$3:A107,"&lt;&gt;0"))</f>
        <v>19.999047596370801</v>
      </c>
    </row>
    <row r="108" spans="1:8">
      <c r="A108">
        <v>106</v>
      </c>
      <c r="B108">
        <v>452</v>
      </c>
      <c r="C108">
        <v>463</v>
      </c>
      <c r="D108">
        <v>403</v>
      </c>
      <c r="E108" s="4">
        <f t="shared" si="3"/>
        <v>1</v>
      </c>
      <c r="F108" s="4">
        <f t="shared" si="4"/>
        <v>11</v>
      </c>
      <c r="G108" s="4">
        <f t="shared" si="5"/>
        <v>121</v>
      </c>
      <c r="H108" s="5">
        <f>SQRT(SUM('p-pi-12'!$C$3:C108)/COUNTIF($A$3:A108,"&lt;&gt;0"))</f>
        <v>20.013910256958408</v>
      </c>
    </row>
    <row r="109" spans="1:8">
      <c r="A109">
        <v>107</v>
      </c>
      <c r="B109">
        <v>452</v>
      </c>
      <c r="C109">
        <v>483</v>
      </c>
      <c r="D109">
        <v>403</v>
      </c>
      <c r="E109" s="4">
        <f t="shared" si="3"/>
        <v>1</v>
      </c>
      <c r="F109" s="4">
        <f t="shared" si="4"/>
        <v>31</v>
      </c>
      <c r="G109" s="4">
        <f t="shared" si="5"/>
        <v>961</v>
      </c>
      <c r="H109" s="5">
        <f>SQRT(SUM('p-pi-12'!$C$3:C109)/COUNTIF($A$3:A109,"&lt;&gt;0"))</f>
        <v>20.033150096870397</v>
      </c>
    </row>
    <row r="110" spans="1:8">
      <c r="A110">
        <v>108</v>
      </c>
      <c r="B110">
        <v>452</v>
      </c>
      <c r="C110">
        <v>455</v>
      </c>
      <c r="D110">
        <v>395</v>
      </c>
      <c r="E110" s="4">
        <f t="shared" si="3"/>
        <v>1</v>
      </c>
      <c r="F110" s="4">
        <f t="shared" si="4"/>
        <v>3</v>
      </c>
      <c r="G110" s="4">
        <f t="shared" si="5"/>
        <v>9</v>
      </c>
      <c r="H110" s="5">
        <f>SQRT(SUM('p-pi-12'!$C$3:C110)/COUNTIF($A$3:A110,"&lt;&gt;0"))</f>
        <v>20.045549981830732</v>
      </c>
    </row>
    <row r="111" spans="1:8">
      <c r="A111">
        <v>109</v>
      </c>
      <c r="B111">
        <v>452</v>
      </c>
      <c r="C111">
        <v>463</v>
      </c>
      <c r="D111">
        <v>403</v>
      </c>
      <c r="E111" s="4">
        <f t="shared" si="3"/>
        <v>1</v>
      </c>
      <c r="F111" s="4">
        <f t="shared" si="4"/>
        <v>11</v>
      </c>
      <c r="G111" s="4">
        <f t="shared" si="5"/>
        <v>121</v>
      </c>
      <c r="H111" s="5">
        <f>SQRT(SUM('p-pi-12'!$C$3:C111)/COUNTIF($A$3:A111,"&lt;&gt;0"))</f>
        <v>20.059544389165907</v>
      </c>
    </row>
    <row r="112" spans="1:8">
      <c r="A112">
        <v>110</v>
      </c>
      <c r="B112">
        <v>452</v>
      </c>
      <c r="C112">
        <v>420</v>
      </c>
      <c r="D112">
        <v>400</v>
      </c>
      <c r="E112" s="4">
        <f t="shared" si="3"/>
        <v>1</v>
      </c>
      <c r="F112" s="4">
        <f t="shared" si="4"/>
        <v>32</v>
      </c>
      <c r="G112" s="4">
        <f t="shared" si="5"/>
        <v>1024</v>
      </c>
      <c r="H112" s="5">
        <f>SQRT(SUM('p-pi-12'!$C$3:C112)/COUNTIF($A$3:A112,"&lt;&gt;0"))</f>
        <v>20.06353544481766</v>
      </c>
    </row>
    <row r="113" spans="1:8">
      <c r="A113">
        <v>111</v>
      </c>
      <c r="B113">
        <v>452</v>
      </c>
      <c r="C113">
        <v>432</v>
      </c>
      <c r="D113">
        <v>415</v>
      </c>
      <c r="E113" s="4">
        <f t="shared" si="3"/>
        <v>1</v>
      </c>
      <c r="F113" s="4">
        <f t="shared" si="4"/>
        <v>20</v>
      </c>
      <c r="G113" s="4">
        <f t="shared" si="5"/>
        <v>400</v>
      </c>
      <c r="H113" s="5">
        <f>SQRT(SUM('p-pi-12'!$C$3:C113)/COUNTIF($A$3:A113,"&lt;&gt;0"))</f>
        <v>20.070147254337993</v>
      </c>
    </row>
    <row r="114" spans="1:8">
      <c r="A114">
        <v>112</v>
      </c>
      <c r="B114">
        <v>452</v>
      </c>
      <c r="C114">
        <v>473</v>
      </c>
      <c r="D114">
        <v>413</v>
      </c>
      <c r="E114" s="4">
        <f t="shared" si="3"/>
        <v>1</v>
      </c>
      <c r="F114" s="4">
        <f t="shared" si="4"/>
        <v>21</v>
      </c>
      <c r="G114" s="4">
        <f t="shared" si="5"/>
        <v>441</v>
      </c>
      <c r="H114" s="5">
        <f>SQRT(SUM('p-pi-12'!$C$3:C114)/COUNTIF($A$3:A114,"&lt;&gt;0"))</f>
        <v>20.085753657754545</v>
      </c>
    </row>
    <row r="115" spans="1:8">
      <c r="A115">
        <v>113</v>
      </c>
      <c r="B115">
        <v>452</v>
      </c>
      <c r="C115">
        <v>459</v>
      </c>
      <c r="D115">
        <v>399</v>
      </c>
      <c r="E115" s="4">
        <f t="shared" si="3"/>
        <v>1</v>
      </c>
      <c r="F115" s="4">
        <f t="shared" si="4"/>
        <v>7</v>
      </c>
      <c r="G115" s="4">
        <f t="shared" si="5"/>
        <v>49</v>
      </c>
      <c r="H115" s="5">
        <f>SQRT(SUM('p-pi-12'!$C$3:C115)/COUNTIF($A$3:A115,"&lt;&gt;0"))</f>
        <v>20.097990037310272</v>
      </c>
    </row>
    <row r="116" spans="1:8">
      <c r="A116">
        <v>114</v>
      </c>
      <c r="B116">
        <v>452</v>
      </c>
      <c r="C116">
        <v>423</v>
      </c>
      <c r="D116">
        <v>403</v>
      </c>
      <c r="E116" s="4">
        <f t="shared" si="3"/>
        <v>1</v>
      </c>
      <c r="F116" s="4">
        <f t="shared" si="4"/>
        <v>29</v>
      </c>
      <c r="G116" s="4">
        <f t="shared" si="5"/>
        <v>841</v>
      </c>
      <c r="H116" s="5">
        <f>SQRT(SUM('p-pi-12'!$C$3:C116)/COUNTIF($A$3:A116,"&lt;&gt;0"))</f>
        <v>20.10215140794811</v>
      </c>
    </row>
    <row r="117" spans="1:8">
      <c r="A117">
        <v>115</v>
      </c>
      <c r="B117">
        <v>452</v>
      </c>
      <c r="C117">
        <v>433</v>
      </c>
      <c r="D117">
        <v>416</v>
      </c>
      <c r="E117" s="4">
        <f t="shared" si="3"/>
        <v>1</v>
      </c>
      <c r="F117" s="4">
        <f t="shared" si="4"/>
        <v>19</v>
      </c>
      <c r="G117" s="4">
        <f t="shared" si="5"/>
        <v>361</v>
      </c>
      <c r="H117" s="5">
        <f>SQRT(SUM('p-pi-12'!$C$3:C117)/COUNTIF($A$3:A117,"&lt;&gt;0"))</f>
        <v>20.108401877995092</v>
      </c>
    </row>
    <row r="118" spans="1:8">
      <c r="A118">
        <v>116</v>
      </c>
      <c r="B118">
        <v>452</v>
      </c>
      <c r="C118">
        <v>497</v>
      </c>
      <c r="D118">
        <v>414</v>
      </c>
      <c r="E118" s="4">
        <f t="shared" si="3"/>
        <v>1</v>
      </c>
      <c r="F118" s="4">
        <f t="shared" si="4"/>
        <v>45</v>
      </c>
      <c r="G118" s="4">
        <f t="shared" si="5"/>
        <v>2025</v>
      </c>
      <c r="H118" s="5">
        <f>SQRT(SUM('p-pi-12'!$C$3:C118)/COUNTIF($A$3:A118,"&lt;&gt;0"))</f>
        <v>20.128252575028412</v>
      </c>
    </row>
    <row r="119" spans="1:8">
      <c r="A119">
        <v>117</v>
      </c>
      <c r="B119">
        <v>452</v>
      </c>
      <c r="C119">
        <v>452</v>
      </c>
      <c r="D119">
        <v>392</v>
      </c>
      <c r="E119" s="4">
        <f t="shared" si="3"/>
        <v>1</v>
      </c>
      <c r="F119" s="4">
        <f t="shared" si="4"/>
        <v>0</v>
      </c>
      <c r="G119" s="4">
        <f t="shared" si="5"/>
        <v>0</v>
      </c>
      <c r="H119" s="5">
        <f>SQRT(SUM('p-pi-12'!$C$3:C119)/COUNTIF($A$3:A119,"&lt;&gt;0"))</f>
        <v>20.138197748234784</v>
      </c>
    </row>
    <row r="120" spans="1:8">
      <c r="A120">
        <v>118</v>
      </c>
      <c r="B120">
        <v>452</v>
      </c>
      <c r="C120">
        <v>425</v>
      </c>
      <c r="D120">
        <v>405</v>
      </c>
      <c r="E120" s="4">
        <f t="shared" si="3"/>
        <v>1</v>
      </c>
      <c r="F120" s="4">
        <f t="shared" si="4"/>
        <v>27</v>
      </c>
      <c r="G120" s="4">
        <f t="shared" si="5"/>
        <v>729</v>
      </c>
      <c r="H120" s="5">
        <f>SQRT(SUM('p-pi-12'!$C$3:C120)/COUNTIF($A$3:A120,"&lt;&gt;0"))</f>
        <v>20.14229044589467</v>
      </c>
    </row>
    <row r="121" spans="1:8">
      <c r="A121">
        <v>119</v>
      </c>
      <c r="B121">
        <v>452</v>
      </c>
      <c r="C121">
        <v>475</v>
      </c>
      <c r="D121">
        <v>415</v>
      </c>
      <c r="E121" s="4">
        <f t="shared" si="3"/>
        <v>1</v>
      </c>
      <c r="F121" s="4">
        <f t="shared" si="4"/>
        <v>23</v>
      </c>
      <c r="G121" s="4">
        <f t="shared" si="5"/>
        <v>529</v>
      </c>
      <c r="H121" s="5">
        <f>SQRT(SUM('p-pi-12'!$C$3:C121)/COUNTIF($A$3:A121,"&lt;&gt;0"))</f>
        <v>20.156738765163844</v>
      </c>
    </row>
    <row r="122" spans="1:8">
      <c r="A122">
        <v>120</v>
      </c>
      <c r="B122">
        <v>452</v>
      </c>
      <c r="C122">
        <v>442</v>
      </c>
      <c r="D122">
        <v>399</v>
      </c>
      <c r="E122" s="4">
        <f t="shared" si="3"/>
        <v>1</v>
      </c>
      <c r="F122" s="4">
        <f t="shared" si="4"/>
        <v>10</v>
      </c>
      <c r="G122" s="4">
        <f t="shared" si="5"/>
        <v>100</v>
      </c>
      <c r="H122" s="5">
        <f>SQRT(SUM('p-pi-12'!$C$3:C122)/COUNTIF($A$3:A122,"&lt;&gt;0"))</f>
        <v>20.16411829628726</v>
      </c>
    </row>
    <row r="123" spans="1:8">
      <c r="A123">
        <v>121</v>
      </c>
      <c r="B123">
        <v>452</v>
      </c>
      <c r="C123">
        <v>427</v>
      </c>
      <c r="D123">
        <v>409</v>
      </c>
      <c r="E123" s="4">
        <f t="shared" si="3"/>
        <v>1</v>
      </c>
      <c r="F123" s="4">
        <f t="shared" si="4"/>
        <v>25</v>
      </c>
      <c r="G123" s="4">
        <f t="shared" si="5"/>
        <v>625</v>
      </c>
      <c r="H123" s="5">
        <f>SQRT(SUM('p-pi-12'!$C$3:C123)/COUNTIF($A$3:A123,"&lt;&gt;0"))</f>
        <v>20.168300141026076</v>
      </c>
    </row>
    <row r="124" spans="1:8">
      <c r="A124">
        <v>122</v>
      </c>
      <c r="B124">
        <v>452</v>
      </c>
      <c r="C124">
        <v>476</v>
      </c>
      <c r="D124">
        <v>416</v>
      </c>
      <c r="E124" s="4">
        <f t="shared" si="3"/>
        <v>1</v>
      </c>
      <c r="F124" s="4">
        <f t="shared" si="4"/>
        <v>24</v>
      </c>
      <c r="G124" s="4">
        <f t="shared" si="5"/>
        <v>576</v>
      </c>
      <c r="H124" s="5">
        <f>SQRT(SUM('p-pi-12'!$C$3:C124)/COUNTIF($A$3:A124,"&lt;&gt;0"))</f>
        <v>20.18236529380189</v>
      </c>
    </row>
    <row r="125" spans="1:8">
      <c r="A125">
        <v>123</v>
      </c>
      <c r="B125">
        <v>452</v>
      </c>
      <c r="C125">
        <v>402</v>
      </c>
      <c r="D125">
        <v>399</v>
      </c>
      <c r="E125" s="4">
        <f t="shared" si="3"/>
        <v>1</v>
      </c>
      <c r="F125" s="4">
        <f t="shared" si="4"/>
        <v>50</v>
      </c>
      <c r="G125" s="4">
        <f t="shared" si="5"/>
        <v>2500</v>
      </c>
      <c r="H125" s="5">
        <f>SQRT(SUM('p-pi-12'!$C$3:C125)/COUNTIF($A$3:A125,"&lt;&gt;0"))</f>
        <v>20.181292150046499</v>
      </c>
    </row>
    <row r="126" spans="1:8">
      <c r="A126">
        <v>124</v>
      </c>
      <c r="B126">
        <v>452</v>
      </c>
      <c r="C126">
        <v>465</v>
      </c>
      <c r="D126">
        <v>425</v>
      </c>
      <c r="E126" s="4">
        <f t="shared" si="3"/>
        <v>1</v>
      </c>
      <c r="F126" s="4">
        <f t="shared" si="4"/>
        <v>13</v>
      </c>
      <c r="G126" s="4">
        <f t="shared" si="5"/>
        <v>169</v>
      </c>
      <c r="H126" s="5">
        <f>SQRT(SUM('p-pi-12'!$C$3:C126)/COUNTIF($A$3:A126,"&lt;&gt;0"))</f>
        <v>20.192820506308671</v>
      </c>
    </row>
    <row r="127" spans="1:8">
      <c r="A127">
        <v>125</v>
      </c>
      <c r="B127">
        <v>452</v>
      </c>
      <c r="C127">
        <v>449</v>
      </c>
      <c r="D127">
        <v>405</v>
      </c>
      <c r="E127" s="4">
        <f t="shared" si="3"/>
        <v>1</v>
      </c>
      <c r="F127" s="4">
        <f t="shared" si="4"/>
        <v>3</v>
      </c>
      <c r="G127" s="4">
        <f t="shared" si="5"/>
        <v>9</v>
      </c>
      <c r="H127" s="5">
        <f>SQRT(SUM('p-pi-12'!$C$3:C127)/COUNTIF($A$3:A127,"&lt;&gt;0"))</f>
        <v>20.200990074746336</v>
      </c>
    </row>
    <row r="128" spans="1:8">
      <c r="A128">
        <v>126</v>
      </c>
      <c r="B128">
        <v>452</v>
      </c>
      <c r="C128">
        <v>470</v>
      </c>
      <c r="D128">
        <v>410</v>
      </c>
      <c r="E128" s="4">
        <f t="shared" si="3"/>
        <v>1</v>
      </c>
      <c r="F128" s="4">
        <f t="shared" si="4"/>
        <v>18</v>
      </c>
      <c r="G128" s="4">
        <f t="shared" si="5"/>
        <v>324</v>
      </c>
      <c r="H128" s="5">
        <f>SQRT(SUM('p-pi-12'!$C$3:C128)/COUNTIF($A$3:A128,"&lt;&gt;0"))</f>
        <v>20.213149892370279</v>
      </c>
    </row>
    <row r="129" spans="1:8">
      <c r="A129">
        <v>127</v>
      </c>
      <c r="B129">
        <v>452</v>
      </c>
      <c r="C129">
        <v>424</v>
      </c>
      <c r="D129">
        <v>403</v>
      </c>
      <c r="E129" s="4">
        <f t="shared" si="3"/>
        <v>1</v>
      </c>
      <c r="F129" s="4">
        <f t="shared" si="4"/>
        <v>28</v>
      </c>
      <c r="G129" s="4">
        <f t="shared" si="5"/>
        <v>784</v>
      </c>
      <c r="H129" s="5">
        <f>SQRT(SUM('p-pi-12'!$C$3:C129)/COUNTIF($A$3:A129,"&lt;&gt;0"))</f>
        <v>20.216154762610689</v>
      </c>
    </row>
    <row r="130" spans="1:8">
      <c r="A130">
        <v>128</v>
      </c>
      <c r="B130">
        <v>452</v>
      </c>
      <c r="C130">
        <v>478</v>
      </c>
      <c r="D130">
        <v>418</v>
      </c>
      <c r="E130" s="4">
        <f t="shared" si="3"/>
        <v>1</v>
      </c>
      <c r="F130" s="4">
        <f t="shared" si="4"/>
        <v>26</v>
      </c>
      <c r="G130" s="4">
        <f t="shared" si="5"/>
        <v>676</v>
      </c>
      <c r="H130" s="5">
        <f>SQRT(SUM('p-pi-12'!$C$3:C130)/COUNTIF($A$3:A130,"&lt;&gt;0"))</f>
        <v>20.229542135204149</v>
      </c>
    </row>
    <row r="131" spans="1:8">
      <c r="A131">
        <v>129</v>
      </c>
      <c r="B131">
        <v>452</v>
      </c>
      <c r="C131">
        <v>423</v>
      </c>
      <c r="D131">
        <v>400</v>
      </c>
      <c r="E131" s="4">
        <f t="shared" si="3"/>
        <v>1</v>
      </c>
      <c r="F131" s="4">
        <f t="shared" si="4"/>
        <v>29</v>
      </c>
      <c r="G131" s="4">
        <f t="shared" si="5"/>
        <v>841</v>
      </c>
      <c r="H131" s="5">
        <f>SQRT(SUM('p-pi-12'!$C$3:C131)/COUNTIF($A$3:A131,"&lt;&gt;0"))</f>
        <v>20.232179449365255</v>
      </c>
    </row>
    <row r="132" spans="1:8">
      <c r="A132">
        <v>130</v>
      </c>
      <c r="B132">
        <v>452</v>
      </c>
      <c r="C132">
        <v>479</v>
      </c>
      <c r="D132">
        <v>419</v>
      </c>
      <c r="E132" s="4">
        <f t="shared" ref="E132:E152" si="6">IF(AND(C132&lt;=B132*1.2,C132&gt;=B132*0.8),1,0)</f>
        <v>1</v>
      </c>
      <c r="F132" s="4">
        <f t="shared" ref="F132:F152" si="7">ABS(B132-C132)</f>
        <v>27</v>
      </c>
      <c r="G132" s="4">
        <f t="shared" ref="G132:G152" si="8">POWER(F132,2)</f>
        <v>729</v>
      </c>
      <c r="H132" s="5">
        <f>SQRT(SUM('p-pi-12'!$C$3:C132)/COUNTIF($A$3:A132,"&lt;&gt;0"))</f>
        <v>20.245417335212505</v>
      </c>
    </row>
    <row r="133" spans="1:8">
      <c r="A133">
        <v>131</v>
      </c>
      <c r="B133">
        <v>452</v>
      </c>
      <c r="C133">
        <v>480</v>
      </c>
      <c r="D133">
        <v>400</v>
      </c>
      <c r="E133" s="4">
        <f t="shared" si="6"/>
        <v>1</v>
      </c>
      <c r="F133" s="4">
        <f t="shared" si="7"/>
        <v>28</v>
      </c>
      <c r="G133" s="4">
        <f t="shared" si="8"/>
        <v>784</v>
      </c>
      <c r="H133" s="5">
        <f>SQRT(SUM('p-pi-12'!$C$3:C133)/COUNTIF($A$3:A133,"&lt;&gt;0"))</f>
        <v>20.258633066928727</v>
      </c>
    </row>
    <row r="134" spans="1:8">
      <c r="A134">
        <v>132</v>
      </c>
      <c r="B134">
        <v>452</v>
      </c>
      <c r="C134">
        <v>458</v>
      </c>
      <c r="D134">
        <v>398</v>
      </c>
      <c r="E134" s="4">
        <f t="shared" si="6"/>
        <v>1</v>
      </c>
      <c r="F134" s="4">
        <f t="shared" si="7"/>
        <v>6</v>
      </c>
      <c r="G134" s="4">
        <f t="shared" si="8"/>
        <v>36</v>
      </c>
      <c r="H134" s="5">
        <f>SQRT(SUM('p-pi-12'!$C$3:C134)/COUNTIF($A$3:A134,"&lt;&gt;0"))</f>
        <v>20.267528889154871</v>
      </c>
    </row>
    <row r="135" spans="1:8">
      <c r="A135">
        <v>133</v>
      </c>
      <c r="B135">
        <v>452</v>
      </c>
      <c r="C135">
        <v>464</v>
      </c>
      <c r="D135">
        <v>404</v>
      </c>
      <c r="E135" s="4">
        <f t="shared" si="6"/>
        <v>1</v>
      </c>
      <c r="F135" s="4">
        <f t="shared" si="7"/>
        <v>12</v>
      </c>
      <c r="G135" s="4">
        <f t="shared" si="8"/>
        <v>144</v>
      </c>
      <c r="H135" s="5">
        <f>SQRT(SUM('p-pi-12'!$C$3:C135)/COUNTIF($A$3:A135,"&lt;&gt;0"))</f>
        <v>20.277399545573566</v>
      </c>
    </row>
    <row r="136" spans="1:8">
      <c r="A136">
        <v>134</v>
      </c>
      <c r="B136">
        <v>452</v>
      </c>
      <c r="C136">
        <v>461</v>
      </c>
      <c r="D136">
        <v>401</v>
      </c>
      <c r="E136" s="4">
        <f t="shared" si="6"/>
        <v>1</v>
      </c>
      <c r="F136" s="4">
        <f t="shared" si="7"/>
        <v>9</v>
      </c>
      <c r="G136" s="4">
        <f t="shared" si="8"/>
        <v>81</v>
      </c>
      <c r="H136" s="5">
        <f>SQRT(SUM('p-pi-12'!$C$3:C136)/COUNTIF($A$3:A136,"&lt;&gt;0"))</f>
        <v>20.286566395509197</v>
      </c>
    </row>
    <row r="137" spans="1:8">
      <c r="A137">
        <v>135</v>
      </c>
      <c r="B137">
        <v>452</v>
      </c>
      <c r="C137">
        <v>481</v>
      </c>
      <c r="D137">
        <v>401</v>
      </c>
      <c r="E137" s="4">
        <f t="shared" si="6"/>
        <v>1</v>
      </c>
      <c r="F137" s="4">
        <f t="shared" si="7"/>
        <v>29</v>
      </c>
      <c r="G137" s="4">
        <f t="shared" si="8"/>
        <v>841</v>
      </c>
      <c r="H137" s="5">
        <f>SQRT(SUM('p-pi-12'!$C$3:C137)/COUNTIF($A$3:A137,"&lt;&gt;0"))</f>
        <v>20.299242824776968</v>
      </c>
    </row>
    <row r="138" spans="1:8">
      <c r="A138">
        <v>136</v>
      </c>
      <c r="B138">
        <v>452</v>
      </c>
      <c r="C138">
        <v>433</v>
      </c>
      <c r="D138">
        <v>393</v>
      </c>
      <c r="E138" s="4">
        <f t="shared" si="6"/>
        <v>1</v>
      </c>
      <c r="F138" s="4">
        <f t="shared" si="7"/>
        <v>19</v>
      </c>
      <c r="G138" s="4">
        <f t="shared" si="8"/>
        <v>361</v>
      </c>
      <c r="H138" s="5">
        <f>SQRT(SUM('p-pi-12'!$C$3:C138)/COUNTIF($A$3:A138,"&lt;&gt;0"))</f>
        <v>20.303035125175686</v>
      </c>
    </row>
    <row r="139" spans="1:8">
      <c r="A139">
        <v>137</v>
      </c>
      <c r="B139">
        <v>452</v>
      </c>
      <c r="C139">
        <v>429</v>
      </c>
      <c r="D139">
        <v>409</v>
      </c>
      <c r="E139" s="4">
        <f t="shared" si="6"/>
        <v>1</v>
      </c>
      <c r="F139" s="4">
        <f t="shared" si="7"/>
        <v>23</v>
      </c>
      <c r="G139" s="4">
        <f t="shared" si="8"/>
        <v>529</v>
      </c>
      <c r="H139" s="5">
        <f>SQRT(SUM('p-pi-12'!$C$3:C139)/COUNTIF($A$3:A139,"&lt;&gt;0"))</f>
        <v>20.306052457909136</v>
      </c>
    </row>
    <row r="140" spans="1:8">
      <c r="A140">
        <v>138</v>
      </c>
      <c r="B140">
        <v>452</v>
      </c>
      <c r="C140">
        <v>472</v>
      </c>
      <c r="D140">
        <v>412</v>
      </c>
      <c r="E140" s="4">
        <f t="shared" si="6"/>
        <v>1</v>
      </c>
      <c r="F140" s="4">
        <f t="shared" si="7"/>
        <v>20</v>
      </c>
      <c r="G140" s="4">
        <f t="shared" si="8"/>
        <v>400</v>
      </c>
      <c r="H140" s="5">
        <f>SQRT(SUM('p-pi-12'!$C$3:C140)/COUNTIF($A$3:A140,"&lt;&gt;0"))</f>
        <v>20.316695497595788</v>
      </c>
    </row>
    <row r="141" spans="1:8">
      <c r="A141">
        <v>139</v>
      </c>
      <c r="B141">
        <v>452</v>
      </c>
      <c r="C141">
        <v>478</v>
      </c>
      <c r="D141">
        <v>398</v>
      </c>
      <c r="E141" s="4">
        <f t="shared" si="6"/>
        <v>1</v>
      </c>
      <c r="F141" s="4">
        <f t="shared" si="7"/>
        <v>26</v>
      </c>
      <c r="G141" s="4">
        <f t="shared" si="8"/>
        <v>676</v>
      </c>
      <c r="H141" s="5">
        <f>SQRT(SUM('p-pi-12'!$C$3:C141)/COUNTIF($A$3:A141,"&lt;&gt;0"))</f>
        <v>20.328241686676751</v>
      </c>
    </row>
    <row r="142" spans="1:8">
      <c r="A142">
        <v>140</v>
      </c>
      <c r="B142">
        <v>452</v>
      </c>
      <c r="C142">
        <v>434</v>
      </c>
      <c r="D142">
        <v>394</v>
      </c>
      <c r="E142" s="4">
        <f t="shared" si="6"/>
        <v>1</v>
      </c>
      <c r="F142" s="4">
        <f t="shared" si="7"/>
        <v>18</v>
      </c>
      <c r="G142" s="4">
        <f t="shared" si="8"/>
        <v>324</v>
      </c>
      <c r="H142" s="5">
        <f>SQRT(SUM('p-pi-12'!$C$3:C142)/COUNTIF($A$3:A142,"&lt;&gt;0"))</f>
        <v>20.3318890978117</v>
      </c>
    </row>
    <row r="143" spans="1:8">
      <c r="A143">
        <v>141</v>
      </c>
      <c r="B143">
        <v>452</v>
      </c>
      <c r="C143">
        <v>425</v>
      </c>
      <c r="D143">
        <v>408</v>
      </c>
      <c r="E143" s="4">
        <f t="shared" si="6"/>
        <v>1</v>
      </c>
      <c r="F143" s="4">
        <f t="shared" si="7"/>
        <v>27</v>
      </c>
      <c r="G143" s="4">
        <f t="shared" si="8"/>
        <v>729</v>
      </c>
      <c r="H143" s="5">
        <f>SQRT(SUM('p-pi-12'!$C$3:C143)/COUNTIF($A$3:A143,"&lt;&gt;0"))</f>
        <v>20.333914652776109</v>
      </c>
    </row>
    <row r="144" spans="1:8">
      <c r="A144">
        <v>142</v>
      </c>
      <c r="B144">
        <v>452</v>
      </c>
      <c r="C144">
        <v>412</v>
      </c>
      <c r="D144">
        <v>413</v>
      </c>
      <c r="E144" s="4">
        <f t="shared" si="6"/>
        <v>1</v>
      </c>
      <c r="F144" s="4">
        <f t="shared" si="7"/>
        <v>40</v>
      </c>
      <c r="G144" s="4">
        <f t="shared" si="8"/>
        <v>1600</v>
      </c>
      <c r="H144" s="5">
        <f>SQRT(SUM('p-pi-12'!$C$3:C144)/COUNTIF($A$3:A144,"&lt;&gt;0"))</f>
        <v>20.333660429909642</v>
      </c>
    </row>
    <row r="145" spans="1:8">
      <c r="A145">
        <v>143</v>
      </c>
      <c r="B145">
        <v>452</v>
      </c>
      <c r="C145">
        <v>480</v>
      </c>
      <c r="D145">
        <v>420</v>
      </c>
      <c r="E145" s="4">
        <f t="shared" si="6"/>
        <v>1</v>
      </c>
      <c r="F145" s="4">
        <f t="shared" si="7"/>
        <v>28</v>
      </c>
      <c r="G145" s="4">
        <f t="shared" si="8"/>
        <v>784</v>
      </c>
      <c r="H145" s="5">
        <f>SQRT(SUM('p-pi-12'!$C$3:C145)/COUNTIF($A$3:A145,"&lt;&gt;0"))</f>
        <v>20.345099580072763</v>
      </c>
    </row>
    <row r="146" spans="1:8">
      <c r="A146">
        <v>144</v>
      </c>
      <c r="B146">
        <v>452</v>
      </c>
      <c r="C146">
        <v>477</v>
      </c>
      <c r="D146">
        <v>397</v>
      </c>
      <c r="E146" s="4">
        <f t="shared" si="6"/>
        <v>1</v>
      </c>
      <c r="F146" s="4">
        <f t="shared" si="7"/>
        <v>25</v>
      </c>
      <c r="G146" s="4">
        <f t="shared" si="8"/>
        <v>625</v>
      </c>
      <c r="H146" s="5">
        <f>SQRT(SUM('p-pi-12'!$C$3:C146)/COUNTIF($A$3:A146,"&lt;&gt;0"))</f>
        <v>20.355861836608909</v>
      </c>
    </row>
    <row r="147" spans="1:8">
      <c r="A147">
        <v>145</v>
      </c>
      <c r="B147">
        <v>452</v>
      </c>
      <c r="C147">
        <v>436</v>
      </c>
      <c r="D147">
        <v>396</v>
      </c>
      <c r="E147" s="4">
        <f t="shared" si="6"/>
        <v>1</v>
      </c>
      <c r="F147" s="4">
        <f t="shared" si="7"/>
        <v>16</v>
      </c>
      <c r="G147" s="4">
        <f t="shared" si="8"/>
        <v>256</v>
      </c>
      <c r="H147" s="5">
        <f>SQRT(SUM('p-pi-12'!$C$3:C147)/COUNTIF($A$3:A147,"&lt;&gt;0"))</f>
        <v>20.359527126816729</v>
      </c>
    </row>
    <row r="148" spans="1:8">
      <c r="A148">
        <v>146</v>
      </c>
      <c r="B148">
        <v>452</v>
      </c>
      <c r="C148">
        <v>470</v>
      </c>
      <c r="D148">
        <v>410</v>
      </c>
      <c r="E148" s="4">
        <f t="shared" si="6"/>
        <v>1</v>
      </c>
      <c r="F148" s="4">
        <f t="shared" si="7"/>
        <v>18</v>
      </c>
      <c r="G148" s="4">
        <f t="shared" si="8"/>
        <v>324</v>
      </c>
      <c r="H148" s="5">
        <f>SQRT(SUM('p-pi-12'!$C$3:C148)/COUNTIF($A$3:A148,"&lt;&gt;0"))</f>
        <v>20.368858852643271</v>
      </c>
    </row>
    <row r="149" spans="1:8">
      <c r="A149">
        <v>147</v>
      </c>
      <c r="B149">
        <v>452</v>
      </c>
      <c r="C149">
        <v>420</v>
      </c>
      <c r="D149">
        <v>398</v>
      </c>
      <c r="E149" s="4">
        <f t="shared" si="6"/>
        <v>1</v>
      </c>
      <c r="F149" s="4">
        <f t="shared" si="7"/>
        <v>32</v>
      </c>
      <c r="G149" s="4">
        <f t="shared" si="8"/>
        <v>1024</v>
      </c>
      <c r="H149" s="5">
        <f>SQRT(SUM('p-pi-12'!$C$3:C149)/COUNTIF($A$3:A149,"&lt;&gt;0"))</f>
        <v>20.369712076218143</v>
      </c>
    </row>
    <row r="150" spans="1:8">
      <c r="A150">
        <v>148</v>
      </c>
      <c r="B150">
        <v>452</v>
      </c>
      <c r="C150">
        <v>412</v>
      </c>
      <c r="D150">
        <v>416</v>
      </c>
      <c r="E150" s="4">
        <f t="shared" si="6"/>
        <v>1</v>
      </c>
      <c r="F150" s="4">
        <f t="shared" si="7"/>
        <v>40</v>
      </c>
      <c r="G150" s="4">
        <f t="shared" si="8"/>
        <v>1600</v>
      </c>
      <c r="H150" s="5">
        <f>SQRT(SUM('p-pi-12'!$C$3:C150)/COUNTIF($A$3:A150,"&lt;&gt;0"))</f>
        <v>20.369226922134413</v>
      </c>
    </row>
    <row r="151" spans="1:8">
      <c r="A151">
        <v>149</v>
      </c>
      <c r="B151">
        <v>452</v>
      </c>
      <c r="C151">
        <v>501</v>
      </c>
      <c r="D151">
        <v>421</v>
      </c>
      <c r="E151" s="4">
        <f t="shared" si="6"/>
        <v>1</v>
      </c>
      <c r="F151" s="4">
        <f t="shared" si="7"/>
        <v>49</v>
      </c>
      <c r="G151" s="4">
        <f t="shared" si="8"/>
        <v>2401</v>
      </c>
      <c r="H151" s="5">
        <f>SQRT(SUM('p-pi-12'!$C$3:C151)/COUNTIF($A$3:A151,"&lt;&gt;0"))</f>
        <v>20.383405541678016</v>
      </c>
    </row>
    <row r="152" spans="1:8">
      <c r="A152">
        <v>150</v>
      </c>
      <c r="B152">
        <v>452</v>
      </c>
      <c r="C152">
        <v>451</v>
      </c>
      <c r="D152">
        <v>391</v>
      </c>
      <c r="E152" s="4">
        <f t="shared" si="6"/>
        <v>1</v>
      </c>
      <c r="F152" s="4">
        <f t="shared" si="7"/>
        <v>1</v>
      </c>
      <c r="G152" s="4">
        <f t="shared" si="8"/>
        <v>1</v>
      </c>
      <c r="H152" s="5">
        <f>SQRT(SUM('p-pi-12'!$C$3:C152)/COUNTIF($A$3:A152,"&lt;&gt;0"))</f>
        <v>20.389212834241544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52"/>
  <sheetViews>
    <sheetView workbookViewId="0">
      <selection activeCell="A3" sqref="A3:D15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9.26953125" style="4" customWidth="1"/>
    <col min="5" max="5" width="9.81640625" style="4" bestFit="1" customWidth="1"/>
    <col min="6" max="6" width="17.1796875" style="4" bestFit="1" customWidth="1"/>
    <col min="7" max="7" width="8.81640625" style="4" bestFit="1" customWidth="1"/>
    <col min="8" max="8" width="17.08984375" style="4" bestFit="1" customWidth="1"/>
  </cols>
  <sheetData>
    <row r="1" spans="1:8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11</v>
      </c>
      <c r="H1" s="42" t="s">
        <v>12</v>
      </c>
    </row>
    <row r="2" spans="1:8">
      <c r="A2" s="43"/>
      <c r="B2" s="14" t="s">
        <v>6</v>
      </c>
      <c r="C2" s="14" t="s">
        <v>8</v>
      </c>
      <c r="D2" s="12" t="s">
        <v>14</v>
      </c>
      <c r="E2" s="43"/>
      <c r="F2" s="43"/>
      <c r="G2" s="43"/>
      <c r="H2" s="43"/>
    </row>
    <row r="3" spans="1:8">
      <c r="A3">
        <v>1</v>
      </c>
      <c r="B3">
        <v>497</v>
      </c>
      <c r="C3">
        <v>199</v>
      </c>
      <c r="D3">
        <v>497</v>
      </c>
      <c r="E3" s="4">
        <f>IF(AND(C3&lt;=B3*1.2,C3&gt;=B3*0.8),1,0)</f>
        <v>0</v>
      </c>
      <c r="F3" s="4">
        <f>ABS(B3-C3)</f>
        <v>298</v>
      </c>
      <c r="G3" s="4">
        <f>POWER(F3,2)</f>
        <v>88804</v>
      </c>
      <c r="H3" s="5">
        <f>SQRT(SUM('p-pi-14'!$C$3:C3)/COUNTIF($A$3:A3,"&lt;&gt;0"))</f>
        <v>14.106735979665885</v>
      </c>
    </row>
    <row r="4" spans="1:8">
      <c r="A4">
        <v>2</v>
      </c>
      <c r="B4">
        <v>497</v>
      </c>
      <c r="C4">
        <v>188</v>
      </c>
      <c r="D4">
        <v>111</v>
      </c>
      <c r="E4" s="4">
        <f t="shared" ref="E4:E67" si="0">IF(AND(C4&lt;=B4*1.2,C4&gt;=B4*0.8),1,0)</f>
        <v>0</v>
      </c>
      <c r="F4" s="4">
        <f t="shared" ref="F4:F67" si="1">ABS(B4-C4)</f>
        <v>309</v>
      </c>
      <c r="G4" s="4">
        <f t="shared" ref="G4:G67" si="2">POWER(F4,2)</f>
        <v>95481</v>
      </c>
      <c r="H4" s="5">
        <f>SQRT(SUM('p-pi-14'!$C$3:C4)/COUNTIF($A$3:A4,"&lt;&gt;0"))</f>
        <v>13.910427743243556</v>
      </c>
    </row>
    <row r="5" spans="1:8">
      <c r="A5">
        <v>3</v>
      </c>
      <c r="B5">
        <v>497</v>
      </c>
      <c r="C5">
        <v>132</v>
      </c>
      <c r="D5">
        <v>138</v>
      </c>
      <c r="E5" s="4">
        <f t="shared" si="0"/>
        <v>0</v>
      </c>
      <c r="F5" s="4">
        <f t="shared" si="1"/>
        <v>365</v>
      </c>
      <c r="G5" s="4">
        <f t="shared" si="2"/>
        <v>133225</v>
      </c>
      <c r="H5" s="5">
        <f>SQRT(SUM('p-pi-14'!$C$3:C5)/COUNTIF($A$3:A5,"&lt;&gt;0"))</f>
        <v>13.152946437965905</v>
      </c>
    </row>
    <row r="6" spans="1:8">
      <c r="A6">
        <v>4</v>
      </c>
      <c r="B6">
        <v>497</v>
      </c>
      <c r="C6">
        <v>173</v>
      </c>
      <c r="D6">
        <v>182</v>
      </c>
      <c r="E6" s="4">
        <f t="shared" si="0"/>
        <v>0</v>
      </c>
      <c r="F6" s="4">
        <f t="shared" si="1"/>
        <v>324</v>
      </c>
      <c r="G6" s="4">
        <f t="shared" si="2"/>
        <v>104976</v>
      </c>
      <c r="H6" s="5">
        <f>SQRT(SUM('p-pi-14'!$C$3:C6)/COUNTIF($A$3:A6,"&lt;&gt;0"))</f>
        <v>13.152946437965905</v>
      </c>
    </row>
    <row r="7" spans="1:8">
      <c r="A7">
        <v>5</v>
      </c>
      <c r="B7">
        <v>497</v>
      </c>
      <c r="C7">
        <v>191</v>
      </c>
      <c r="D7">
        <v>194</v>
      </c>
      <c r="E7" s="4">
        <f t="shared" si="0"/>
        <v>0</v>
      </c>
      <c r="F7" s="4">
        <f t="shared" si="1"/>
        <v>306</v>
      </c>
      <c r="G7" s="4">
        <f t="shared" si="2"/>
        <v>93636</v>
      </c>
      <c r="H7" s="5">
        <f>SQRT(SUM('p-pi-14'!$C$3:C7)/COUNTIF($A$3:A7,"&lt;&gt;0"))</f>
        <v>13.289093272304171</v>
      </c>
    </row>
    <row r="8" spans="1:8">
      <c r="A8">
        <v>6</v>
      </c>
      <c r="B8">
        <v>497</v>
      </c>
      <c r="C8">
        <v>207</v>
      </c>
      <c r="D8">
        <v>211</v>
      </c>
      <c r="E8" s="4">
        <f t="shared" si="0"/>
        <v>0</v>
      </c>
      <c r="F8" s="4">
        <f t="shared" si="1"/>
        <v>290</v>
      </c>
      <c r="G8" s="4">
        <f t="shared" si="2"/>
        <v>84100</v>
      </c>
      <c r="H8" s="5">
        <f>SQRT(SUM('p-pi-14'!$C$3:C8)/COUNTIF($A$3:A8,"&lt;&gt;0"))</f>
        <v>13.478377746103819</v>
      </c>
    </row>
    <row r="9" spans="1:8">
      <c r="A9">
        <v>7</v>
      </c>
      <c r="B9">
        <v>497</v>
      </c>
      <c r="C9">
        <v>244</v>
      </c>
      <c r="D9">
        <v>228</v>
      </c>
      <c r="E9" s="4">
        <f t="shared" si="0"/>
        <v>0</v>
      </c>
      <c r="F9" s="4">
        <f t="shared" si="1"/>
        <v>253</v>
      </c>
      <c r="G9" s="4">
        <f t="shared" si="2"/>
        <v>64009</v>
      </c>
      <c r="H9" s="5">
        <f>SQRT(SUM('p-pi-14'!$C$3:C9)/COUNTIF($A$3:A9,"&lt;&gt;0"))</f>
        <v>13.804761083460612</v>
      </c>
    </row>
    <row r="10" spans="1:8">
      <c r="A10">
        <v>8</v>
      </c>
      <c r="B10">
        <v>497</v>
      </c>
      <c r="C10">
        <v>234</v>
      </c>
      <c r="D10">
        <v>236</v>
      </c>
      <c r="E10" s="4">
        <f t="shared" si="0"/>
        <v>0</v>
      </c>
      <c r="F10" s="4">
        <f t="shared" si="1"/>
        <v>263</v>
      </c>
      <c r="G10" s="4">
        <f t="shared" si="2"/>
        <v>69169</v>
      </c>
      <c r="H10" s="5">
        <f>SQRT(SUM('p-pi-14'!$C$3:C10)/COUNTIF($A$3:A10,"&lt;&gt;0"))</f>
        <v>14</v>
      </c>
    </row>
    <row r="11" spans="1:8">
      <c r="A11">
        <v>9</v>
      </c>
      <c r="B11">
        <v>497</v>
      </c>
      <c r="C11">
        <v>254</v>
      </c>
      <c r="D11">
        <v>259</v>
      </c>
      <c r="E11" s="4">
        <f t="shared" si="0"/>
        <v>0</v>
      </c>
      <c r="F11" s="4">
        <f t="shared" si="1"/>
        <v>243</v>
      </c>
      <c r="G11" s="4">
        <f t="shared" si="2"/>
        <v>59049</v>
      </c>
      <c r="H11" s="5">
        <f>SQRT(SUM('p-pi-14'!$C$3:C11)/COUNTIF($A$3:A11,"&lt;&gt;0"))</f>
        <v>14.228297313608698</v>
      </c>
    </row>
    <row r="12" spans="1:8">
      <c r="A12">
        <v>10</v>
      </c>
      <c r="B12">
        <v>497</v>
      </c>
      <c r="C12">
        <v>322</v>
      </c>
      <c r="D12">
        <v>271</v>
      </c>
      <c r="E12" s="4">
        <f t="shared" si="0"/>
        <v>0</v>
      </c>
      <c r="F12" s="4">
        <f t="shared" si="1"/>
        <v>175</v>
      </c>
      <c r="G12" s="4">
        <f t="shared" si="2"/>
        <v>30625</v>
      </c>
      <c r="H12" s="5">
        <f>SQRT(SUM('p-pi-14'!$C$3:C12)/COUNTIF($A$3:A12,"&lt;&gt;0"))</f>
        <v>14.642404174178502</v>
      </c>
    </row>
    <row r="13" spans="1:8">
      <c r="A13">
        <v>11</v>
      </c>
      <c r="B13">
        <v>497</v>
      </c>
      <c r="C13">
        <v>232</v>
      </c>
      <c r="D13">
        <v>263</v>
      </c>
      <c r="E13" s="4">
        <f t="shared" si="0"/>
        <v>0</v>
      </c>
      <c r="F13" s="4">
        <f t="shared" si="1"/>
        <v>265</v>
      </c>
      <c r="G13" s="4">
        <f t="shared" si="2"/>
        <v>70225</v>
      </c>
      <c r="H13" s="5">
        <f>SQRT(SUM('p-pi-14'!$C$3:C13)/COUNTIF($A$3:A13,"&lt;&gt;0"))</f>
        <v>14.696938456699069</v>
      </c>
    </row>
    <row r="14" spans="1:8">
      <c r="A14">
        <v>12</v>
      </c>
      <c r="B14">
        <v>497</v>
      </c>
      <c r="C14">
        <v>258</v>
      </c>
      <c r="D14">
        <v>310</v>
      </c>
      <c r="E14" s="4">
        <f t="shared" si="0"/>
        <v>0</v>
      </c>
      <c r="F14" s="4">
        <f t="shared" si="1"/>
        <v>239</v>
      </c>
      <c r="G14" s="4">
        <f t="shared" si="2"/>
        <v>57121</v>
      </c>
      <c r="H14" s="5">
        <f>SQRT(SUM('p-pi-14'!$C$3:C14)/COUNTIF($A$3:A14,"&lt;&gt;0"))</f>
        <v>14.815532390029054</v>
      </c>
    </row>
    <row r="15" spans="1:8">
      <c r="A15">
        <v>13</v>
      </c>
      <c r="B15">
        <v>497</v>
      </c>
      <c r="C15">
        <v>334</v>
      </c>
      <c r="D15">
        <v>320</v>
      </c>
      <c r="E15" s="4">
        <f t="shared" si="0"/>
        <v>0</v>
      </c>
      <c r="F15" s="4">
        <f t="shared" si="1"/>
        <v>163</v>
      </c>
      <c r="G15" s="4">
        <f t="shared" si="2"/>
        <v>26569</v>
      </c>
      <c r="H15" s="5">
        <f>SQRT(SUM('p-pi-14'!$C$3:C15)/COUNTIF($A$3:A15,"&lt;&gt;0"))</f>
        <v>15.109854145811346</v>
      </c>
    </row>
    <row r="16" spans="1:8">
      <c r="A16">
        <v>14</v>
      </c>
      <c r="B16">
        <v>497</v>
      </c>
      <c r="C16">
        <v>330</v>
      </c>
      <c r="D16">
        <v>310</v>
      </c>
      <c r="E16" s="4">
        <f t="shared" si="0"/>
        <v>0</v>
      </c>
      <c r="F16" s="4">
        <f t="shared" si="1"/>
        <v>167</v>
      </c>
      <c r="G16" s="4">
        <f t="shared" si="2"/>
        <v>27889</v>
      </c>
      <c r="H16" s="5">
        <f>SQRT(SUM('p-pi-14'!$C$3:C16)/COUNTIF($A$3:A16,"&lt;&gt;0"))</f>
        <v>15.348336345396806</v>
      </c>
    </row>
    <row r="17" spans="1:8">
      <c r="A17">
        <v>15</v>
      </c>
      <c r="B17">
        <v>497</v>
      </c>
      <c r="C17">
        <v>339</v>
      </c>
      <c r="D17">
        <v>324</v>
      </c>
      <c r="E17" s="4">
        <f t="shared" si="0"/>
        <v>0</v>
      </c>
      <c r="F17" s="4">
        <f t="shared" si="1"/>
        <v>158</v>
      </c>
      <c r="G17" s="4">
        <f t="shared" si="2"/>
        <v>24964</v>
      </c>
      <c r="H17" s="5">
        <f>SQRT(SUM('p-pi-14'!$C$3:C17)/COUNTIF($A$3:A17,"&lt;&gt;0"))</f>
        <v>15.571341196784131</v>
      </c>
    </row>
    <row r="18" spans="1:8">
      <c r="A18">
        <v>16</v>
      </c>
      <c r="B18">
        <v>497</v>
      </c>
      <c r="C18">
        <v>258</v>
      </c>
      <c r="D18">
        <v>333</v>
      </c>
      <c r="E18" s="4">
        <f t="shared" si="0"/>
        <v>0</v>
      </c>
      <c r="F18" s="4">
        <f t="shared" si="1"/>
        <v>239</v>
      </c>
      <c r="G18" s="4">
        <f t="shared" si="2"/>
        <v>57121</v>
      </c>
      <c r="H18" s="5">
        <f>SQRT(SUM('p-pi-14'!$C$3:C18)/COUNTIF($A$3:A18,"&lt;&gt;0"))</f>
        <v>15.602483776629924</v>
      </c>
    </row>
    <row r="19" spans="1:8">
      <c r="A19">
        <v>17</v>
      </c>
      <c r="B19">
        <v>497</v>
      </c>
      <c r="C19">
        <v>391</v>
      </c>
      <c r="D19">
        <v>375</v>
      </c>
      <c r="E19" s="4">
        <f t="shared" si="0"/>
        <v>0</v>
      </c>
      <c r="F19" s="4">
        <f t="shared" si="1"/>
        <v>106</v>
      </c>
      <c r="G19" s="4">
        <f t="shared" si="2"/>
        <v>11236</v>
      </c>
      <c r="H19" s="5">
        <f>SQRT(SUM('p-pi-14'!$C$3:C19)/COUNTIF($A$3:A19,"&lt;&gt;0"))</f>
        <v>15.878212968052278</v>
      </c>
    </row>
    <row r="20" spans="1:8">
      <c r="A20">
        <v>18</v>
      </c>
      <c r="B20">
        <v>497</v>
      </c>
      <c r="C20">
        <v>374</v>
      </c>
      <c r="D20">
        <v>343</v>
      </c>
      <c r="E20" s="4">
        <f t="shared" si="0"/>
        <v>0</v>
      </c>
      <c r="F20" s="4">
        <f t="shared" si="1"/>
        <v>123</v>
      </c>
      <c r="G20" s="4">
        <f t="shared" si="2"/>
        <v>15129</v>
      </c>
      <c r="H20" s="5">
        <f>SQRT(SUM('p-pi-14'!$C$3:C20)/COUNTIF($A$3:A20,"&lt;&gt;0"))</f>
        <v>16.090024514862893</v>
      </c>
    </row>
    <row r="21" spans="1:8">
      <c r="A21">
        <v>19</v>
      </c>
      <c r="B21">
        <v>497</v>
      </c>
      <c r="C21">
        <v>334</v>
      </c>
      <c r="D21">
        <v>357</v>
      </c>
      <c r="E21" s="4">
        <f t="shared" si="0"/>
        <v>0</v>
      </c>
      <c r="F21" s="4">
        <f t="shared" si="1"/>
        <v>163</v>
      </c>
      <c r="G21" s="4">
        <f t="shared" si="2"/>
        <v>26569</v>
      </c>
      <c r="H21" s="5">
        <f>SQRT(SUM('p-pi-14'!$C$3:C21)/COUNTIF($A$3:A21,"&lt;&gt;0"))</f>
        <v>16.21240590606952</v>
      </c>
    </row>
    <row r="22" spans="1:8">
      <c r="A22">
        <v>20</v>
      </c>
      <c r="B22">
        <v>497</v>
      </c>
      <c r="C22">
        <v>400</v>
      </c>
      <c r="D22">
        <v>382</v>
      </c>
      <c r="E22" s="4">
        <f t="shared" si="0"/>
        <v>1</v>
      </c>
      <c r="F22" s="4">
        <f t="shared" si="1"/>
        <v>97</v>
      </c>
      <c r="G22" s="4">
        <f t="shared" si="2"/>
        <v>9409</v>
      </c>
      <c r="H22" s="5">
        <f>SQRT(SUM('p-pi-14'!$C$3:C22)/COUNTIF($A$3:A22,"&lt;&gt;0"))</f>
        <v>16.422545478700918</v>
      </c>
    </row>
    <row r="23" spans="1:8">
      <c r="A23">
        <v>21</v>
      </c>
      <c r="B23">
        <v>497</v>
      </c>
      <c r="C23">
        <v>397</v>
      </c>
      <c r="D23">
        <v>369</v>
      </c>
      <c r="E23" s="4">
        <f t="shared" si="0"/>
        <v>0</v>
      </c>
      <c r="F23" s="4">
        <f t="shared" si="1"/>
        <v>100</v>
      </c>
      <c r="G23" s="4">
        <f t="shared" si="2"/>
        <v>10000</v>
      </c>
      <c r="H23" s="5">
        <f>SQRT(SUM('p-pi-14'!$C$3:C23)/COUNTIF($A$3:A23,"&lt;&gt;0"))</f>
        <v>16.606080355156202</v>
      </c>
    </row>
    <row r="24" spans="1:8">
      <c r="A24">
        <v>22</v>
      </c>
      <c r="B24">
        <v>497</v>
      </c>
      <c r="C24">
        <v>264</v>
      </c>
      <c r="D24">
        <v>377</v>
      </c>
      <c r="E24" s="4">
        <f t="shared" si="0"/>
        <v>0</v>
      </c>
      <c r="F24" s="4">
        <f t="shared" si="1"/>
        <v>233</v>
      </c>
      <c r="G24" s="4">
        <f t="shared" si="2"/>
        <v>54289</v>
      </c>
      <c r="H24" s="5">
        <f>SQRT(SUM('p-pi-14'!$C$3:C24)/COUNTIF($A$3:A24,"&lt;&gt;0"))</f>
        <v>16.589975067108231</v>
      </c>
    </row>
    <row r="25" spans="1:8">
      <c r="A25">
        <v>23</v>
      </c>
      <c r="B25">
        <v>497</v>
      </c>
      <c r="C25">
        <v>340</v>
      </c>
      <c r="D25">
        <v>434</v>
      </c>
      <c r="E25" s="4">
        <f t="shared" si="0"/>
        <v>0</v>
      </c>
      <c r="F25" s="4">
        <f t="shared" si="1"/>
        <v>157</v>
      </c>
      <c r="G25" s="4">
        <f t="shared" si="2"/>
        <v>24649</v>
      </c>
      <c r="H25" s="5">
        <f>SQRT(SUM('p-pi-14'!$C$3:C25)/COUNTIF($A$3:A25,"&lt;&gt;0"))</f>
        <v>16.674635775958333</v>
      </c>
    </row>
    <row r="26" spans="1:8">
      <c r="A26">
        <v>24</v>
      </c>
      <c r="B26">
        <v>497</v>
      </c>
      <c r="C26">
        <v>394</v>
      </c>
      <c r="D26">
        <v>424</v>
      </c>
      <c r="E26" s="4">
        <f t="shared" si="0"/>
        <v>0</v>
      </c>
      <c r="F26" s="4">
        <f t="shared" si="1"/>
        <v>103</v>
      </c>
      <c r="G26" s="4">
        <f t="shared" si="2"/>
        <v>10609</v>
      </c>
      <c r="H26" s="5">
        <f>SQRT(SUM('p-pi-14'!$C$3:C26)/COUNTIF($A$3:A26,"&lt;&gt;0"))</f>
        <v>16.818888191554162</v>
      </c>
    </row>
    <row r="27" spans="1:8">
      <c r="A27">
        <v>25</v>
      </c>
      <c r="B27">
        <v>497</v>
      </c>
      <c r="C27">
        <v>310</v>
      </c>
      <c r="D27">
        <v>415</v>
      </c>
      <c r="E27" s="4">
        <f t="shared" si="0"/>
        <v>0</v>
      </c>
      <c r="F27" s="4">
        <f t="shared" si="1"/>
        <v>187</v>
      </c>
      <c r="G27" s="4">
        <f t="shared" si="2"/>
        <v>34969</v>
      </c>
      <c r="H27" s="5">
        <f>SQRT(SUM('p-pi-14'!$C$3:C27)/COUNTIF($A$3:A27,"&lt;&gt;0"))</f>
        <v>16.851112722903494</v>
      </c>
    </row>
    <row r="28" spans="1:8">
      <c r="A28">
        <v>26</v>
      </c>
      <c r="B28">
        <v>497</v>
      </c>
      <c r="C28">
        <v>392</v>
      </c>
      <c r="D28">
        <v>454</v>
      </c>
      <c r="E28" s="4">
        <f t="shared" si="0"/>
        <v>0</v>
      </c>
      <c r="F28" s="4">
        <f t="shared" si="1"/>
        <v>105</v>
      </c>
      <c r="G28" s="4">
        <f t="shared" si="2"/>
        <v>11025</v>
      </c>
      <c r="H28" s="5">
        <f>SQRT(SUM('p-pi-14'!$C$3:C28)/COUNTIF($A$3:A28,"&lt;&gt;0"))</f>
        <v>16.973961959877979</v>
      </c>
    </row>
    <row r="29" spans="1:8">
      <c r="A29">
        <v>27</v>
      </c>
      <c r="B29">
        <v>497</v>
      </c>
      <c r="C29">
        <v>409</v>
      </c>
      <c r="D29">
        <v>437</v>
      </c>
      <c r="E29" s="4">
        <f t="shared" si="0"/>
        <v>1</v>
      </c>
      <c r="F29" s="4">
        <f t="shared" si="1"/>
        <v>88</v>
      </c>
      <c r="G29" s="4">
        <f t="shared" si="2"/>
        <v>7744</v>
      </c>
      <c r="H29" s="5">
        <f>SQRT(SUM('p-pi-14'!$C$3:C29)/COUNTIF($A$3:A29,"&lt;&gt;0"))</f>
        <v>17.105338131489614</v>
      </c>
    </row>
    <row r="30" spans="1:8">
      <c r="A30">
        <v>28</v>
      </c>
      <c r="B30">
        <v>497</v>
      </c>
      <c r="C30">
        <v>383</v>
      </c>
      <c r="D30">
        <v>439</v>
      </c>
      <c r="E30" s="4">
        <f t="shared" si="0"/>
        <v>0</v>
      </c>
      <c r="F30" s="4">
        <f t="shared" si="1"/>
        <v>114</v>
      </c>
      <c r="G30" s="4">
        <f t="shared" si="2"/>
        <v>12996</v>
      </c>
      <c r="H30" s="5">
        <f>SQRT(SUM('p-pi-14'!$C$3:C30)/COUNTIF($A$3:A30,"&lt;&gt;0"))</f>
        <v>17.199460124417527</v>
      </c>
    </row>
    <row r="31" spans="1:8">
      <c r="A31">
        <v>29</v>
      </c>
      <c r="B31">
        <v>497</v>
      </c>
      <c r="C31">
        <v>413</v>
      </c>
      <c r="D31">
        <v>455</v>
      </c>
      <c r="E31" s="4">
        <f t="shared" si="0"/>
        <v>1</v>
      </c>
      <c r="F31" s="4">
        <f t="shared" si="1"/>
        <v>84</v>
      </c>
      <c r="G31" s="4">
        <f t="shared" si="2"/>
        <v>7056</v>
      </c>
      <c r="H31" s="5">
        <f>SQRT(SUM('p-pi-14'!$C$3:C31)/COUNTIF($A$3:A31,"&lt;&gt;0"))</f>
        <v>17.316525891919465</v>
      </c>
    </row>
    <row r="32" spans="1:8">
      <c r="A32">
        <v>30</v>
      </c>
      <c r="B32">
        <v>497</v>
      </c>
      <c r="C32">
        <v>391</v>
      </c>
      <c r="D32">
        <v>453</v>
      </c>
      <c r="E32" s="4">
        <f t="shared" si="0"/>
        <v>0</v>
      </c>
      <c r="F32" s="4">
        <f t="shared" si="1"/>
        <v>106</v>
      </c>
      <c r="G32" s="4">
        <f t="shared" si="2"/>
        <v>11236</v>
      </c>
      <c r="H32" s="5">
        <f>SQRT(SUM('p-pi-14'!$C$3:C32)/COUNTIF($A$3:A32,"&lt;&gt;0"))</f>
        <v>17.404022523543226</v>
      </c>
    </row>
    <row r="33" spans="1:8">
      <c r="A33">
        <v>31</v>
      </c>
      <c r="B33">
        <v>497</v>
      </c>
      <c r="C33">
        <v>513</v>
      </c>
      <c r="D33">
        <v>467</v>
      </c>
      <c r="E33" s="4">
        <f t="shared" si="0"/>
        <v>1</v>
      </c>
      <c r="F33" s="4">
        <f t="shared" si="1"/>
        <v>16</v>
      </c>
      <c r="G33" s="4">
        <f t="shared" si="2"/>
        <v>256</v>
      </c>
      <c r="H33" s="5">
        <f>SQRT(SUM('p-pi-14'!$C$3:C33)/COUNTIF($A$3:A33,"&lt;&gt;0"))</f>
        <v>17.597653802562395</v>
      </c>
    </row>
    <row r="34" spans="1:8">
      <c r="A34">
        <v>32</v>
      </c>
      <c r="B34">
        <v>497</v>
      </c>
      <c r="C34">
        <v>285</v>
      </c>
      <c r="D34">
        <v>429</v>
      </c>
      <c r="E34" s="4">
        <f t="shared" si="0"/>
        <v>0</v>
      </c>
      <c r="F34" s="4">
        <f t="shared" si="1"/>
        <v>212</v>
      </c>
      <c r="G34" s="4">
        <f t="shared" si="2"/>
        <v>44944</v>
      </c>
      <c r="H34" s="5">
        <f>SQRT(SUM('p-pi-14'!$C$3:C34)/COUNTIF($A$3:A34,"&lt;&gt;0"))</f>
        <v>17.575729003372803</v>
      </c>
    </row>
    <row r="35" spans="1:8">
      <c r="A35">
        <v>33</v>
      </c>
      <c r="B35">
        <v>497</v>
      </c>
      <c r="C35">
        <v>408</v>
      </c>
      <c r="D35">
        <v>514</v>
      </c>
      <c r="E35" s="4">
        <f t="shared" si="0"/>
        <v>1</v>
      </c>
      <c r="F35" s="4">
        <f t="shared" si="1"/>
        <v>89</v>
      </c>
      <c r="G35" s="4">
        <f t="shared" si="2"/>
        <v>7921</v>
      </c>
      <c r="H35" s="5">
        <f>SQRT(SUM('p-pi-14'!$C$3:C35)/COUNTIF($A$3:A35,"&lt;&gt;0"))</f>
        <v>17.660948188279441</v>
      </c>
    </row>
    <row r="36" spans="1:8">
      <c r="A36">
        <v>34</v>
      </c>
      <c r="B36">
        <v>497</v>
      </c>
      <c r="C36">
        <v>409</v>
      </c>
      <c r="D36">
        <v>483</v>
      </c>
      <c r="E36" s="4">
        <f t="shared" si="0"/>
        <v>1</v>
      </c>
      <c r="F36" s="4">
        <f t="shared" si="1"/>
        <v>88</v>
      </c>
      <c r="G36" s="4">
        <f t="shared" si="2"/>
        <v>7744</v>
      </c>
      <c r="H36" s="5">
        <f>SQRT(SUM('p-pi-14'!$C$3:C36)/COUNTIF($A$3:A36,"&lt;&gt;0"))</f>
        <v>17.741609450169761</v>
      </c>
    </row>
    <row r="37" spans="1:8">
      <c r="A37">
        <v>35</v>
      </c>
      <c r="B37">
        <v>497</v>
      </c>
      <c r="C37">
        <v>511</v>
      </c>
      <c r="D37">
        <v>489</v>
      </c>
      <c r="E37" s="4">
        <f t="shared" si="0"/>
        <v>1</v>
      </c>
      <c r="F37" s="4">
        <f t="shared" si="1"/>
        <v>14</v>
      </c>
      <c r="G37" s="4">
        <f t="shared" si="2"/>
        <v>196</v>
      </c>
      <c r="H37" s="5">
        <f>SQRT(SUM('p-pi-14'!$C$3:C37)/COUNTIF($A$3:A37,"&lt;&gt;0"))</f>
        <v>17.898922553366965</v>
      </c>
    </row>
    <row r="38" spans="1:8">
      <c r="A38">
        <v>36</v>
      </c>
      <c r="B38">
        <v>497</v>
      </c>
      <c r="C38">
        <v>392</v>
      </c>
      <c r="D38">
        <v>458</v>
      </c>
      <c r="E38" s="4">
        <f t="shared" si="0"/>
        <v>0</v>
      </c>
      <c r="F38" s="4">
        <f t="shared" si="1"/>
        <v>105</v>
      </c>
      <c r="G38" s="4">
        <f t="shared" si="2"/>
        <v>11025</v>
      </c>
      <c r="H38" s="5">
        <f>SQRT(SUM('p-pi-14'!$C$3:C38)/COUNTIF($A$3:A38,"&lt;&gt;0"))</f>
        <v>17.954417593202823</v>
      </c>
    </row>
    <row r="39" spans="1:8">
      <c r="A39">
        <v>37</v>
      </c>
      <c r="B39">
        <v>497</v>
      </c>
      <c r="C39">
        <v>412</v>
      </c>
      <c r="D39">
        <v>501</v>
      </c>
      <c r="E39" s="4">
        <f t="shared" si="0"/>
        <v>1</v>
      </c>
      <c r="F39" s="4">
        <f t="shared" si="1"/>
        <v>85</v>
      </c>
      <c r="G39" s="4">
        <f t="shared" si="2"/>
        <v>7225</v>
      </c>
      <c r="H39" s="5">
        <f>SQRT(SUM('p-pi-14'!$C$3:C39)/COUNTIF($A$3:A39,"&lt;&gt;0"))</f>
        <v>18.021758620727994</v>
      </c>
    </row>
    <row r="40" spans="1:8">
      <c r="A40">
        <v>38</v>
      </c>
      <c r="B40">
        <v>497</v>
      </c>
      <c r="C40">
        <v>480</v>
      </c>
      <c r="D40">
        <v>502</v>
      </c>
      <c r="E40" s="4">
        <f t="shared" si="0"/>
        <v>1</v>
      </c>
      <c r="F40" s="4">
        <f t="shared" si="1"/>
        <v>17</v>
      </c>
      <c r="G40" s="4">
        <f t="shared" si="2"/>
        <v>289</v>
      </c>
      <c r="H40" s="5">
        <f>SQRT(SUM('p-pi-14'!$C$3:C40)/COUNTIF($A$3:A40,"&lt;&gt;0"))</f>
        <v>18.134729693398565</v>
      </c>
    </row>
    <row r="41" spans="1:8">
      <c r="A41">
        <v>39</v>
      </c>
      <c r="B41">
        <v>497</v>
      </c>
      <c r="C41">
        <v>505</v>
      </c>
      <c r="D41">
        <v>482</v>
      </c>
      <c r="E41" s="4">
        <f t="shared" si="0"/>
        <v>1</v>
      </c>
      <c r="F41" s="4">
        <f t="shared" si="1"/>
        <v>8</v>
      </c>
      <c r="G41" s="4">
        <f t="shared" si="2"/>
        <v>64</v>
      </c>
      <c r="H41" s="5">
        <f>SQRT(SUM('p-pi-14'!$C$3:C41)/COUNTIF($A$3:A41,"&lt;&gt;0"))</f>
        <v>18.258822946307774</v>
      </c>
    </row>
    <row r="42" spans="1:8">
      <c r="A42">
        <v>40</v>
      </c>
      <c r="B42">
        <v>497</v>
      </c>
      <c r="C42">
        <v>499</v>
      </c>
      <c r="D42">
        <v>474</v>
      </c>
      <c r="E42" s="4">
        <f t="shared" si="0"/>
        <v>1</v>
      </c>
      <c r="F42" s="4">
        <f t="shared" si="1"/>
        <v>2</v>
      </c>
      <c r="G42" s="4">
        <f t="shared" si="2"/>
        <v>4</v>
      </c>
      <c r="H42" s="5">
        <f>SQRT(SUM('p-pi-14'!$C$3:C42)/COUNTIF($A$3:A42,"&lt;&gt;0"))</f>
        <v>18.371853472091484</v>
      </c>
    </row>
    <row r="43" spans="1:8">
      <c r="A43">
        <v>41</v>
      </c>
      <c r="B43">
        <v>497</v>
      </c>
      <c r="C43">
        <v>515</v>
      </c>
      <c r="D43">
        <v>476</v>
      </c>
      <c r="E43" s="4">
        <f t="shared" si="0"/>
        <v>1</v>
      </c>
      <c r="F43" s="4">
        <f t="shared" si="1"/>
        <v>18</v>
      </c>
      <c r="G43" s="4">
        <f t="shared" si="2"/>
        <v>324</v>
      </c>
      <c r="H43" s="5">
        <f>SQRT(SUM('p-pi-14'!$C$3:C43)/COUNTIF($A$3:A43,"&lt;&gt;0"))</f>
        <v>18.489284965530317</v>
      </c>
    </row>
    <row r="44" spans="1:8">
      <c r="A44">
        <v>42</v>
      </c>
      <c r="B44">
        <v>497</v>
      </c>
      <c r="C44">
        <v>397</v>
      </c>
      <c r="D44">
        <v>470</v>
      </c>
      <c r="E44" s="4">
        <f t="shared" si="0"/>
        <v>0</v>
      </c>
      <c r="F44" s="4">
        <f t="shared" si="1"/>
        <v>100</v>
      </c>
      <c r="G44" s="4">
        <f t="shared" si="2"/>
        <v>10000</v>
      </c>
      <c r="H44" s="5">
        <f>SQRT(SUM('p-pi-14'!$C$3:C44)/COUNTIF($A$3:A44,"&lt;&gt;0"))</f>
        <v>18.524758208048674</v>
      </c>
    </row>
    <row r="45" spans="1:8">
      <c r="A45">
        <v>43</v>
      </c>
      <c r="B45">
        <v>497</v>
      </c>
      <c r="C45">
        <v>479</v>
      </c>
      <c r="D45">
        <v>513</v>
      </c>
      <c r="E45" s="4">
        <f t="shared" si="0"/>
        <v>1</v>
      </c>
      <c r="F45" s="4">
        <f t="shared" si="1"/>
        <v>18</v>
      </c>
      <c r="G45" s="4">
        <f t="shared" si="2"/>
        <v>324</v>
      </c>
      <c r="H45" s="5">
        <f>SQRT(SUM('p-pi-14'!$C$3:C45)/COUNTIF($A$3:A45,"&lt;&gt;0"))</f>
        <v>18.609824862027821</v>
      </c>
    </row>
    <row r="46" spans="1:8">
      <c r="A46">
        <v>44</v>
      </c>
      <c r="B46">
        <v>497</v>
      </c>
      <c r="C46">
        <v>395</v>
      </c>
      <c r="D46">
        <v>489</v>
      </c>
      <c r="E46" s="4">
        <f t="shared" si="0"/>
        <v>0</v>
      </c>
      <c r="F46" s="4">
        <f t="shared" si="1"/>
        <v>102</v>
      </c>
      <c r="G46" s="4">
        <f t="shared" si="2"/>
        <v>10404</v>
      </c>
      <c r="H46" s="5">
        <f>SQRT(SUM('p-pi-14'!$C$3:C46)/COUNTIF($A$3:A46,"&lt;&gt;0"))</f>
        <v>18.639523013795664</v>
      </c>
    </row>
    <row r="47" spans="1:8">
      <c r="A47">
        <v>45</v>
      </c>
      <c r="B47">
        <v>497</v>
      </c>
      <c r="C47">
        <v>531</v>
      </c>
      <c r="D47">
        <v>522</v>
      </c>
      <c r="E47" s="4">
        <f t="shared" si="0"/>
        <v>1</v>
      </c>
      <c r="F47" s="4">
        <f t="shared" si="1"/>
        <v>34</v>
      </c>
      <c r="G47" s="4">
        <f t="shared" si="2"/>
        <v>1156</v>
      </c>
      <c r="H47" s="5">
        <f>SQRT(SUM('p-pi-14'!$C$3:C47)/COUNTIF($A$3:A47,"&lt;&gt;0"))</f>
        <v>18.748629579548236</v>
      </c>
    </row>
    <row r="48" spans="1:8">
      <c r="A48">
        <v>46</v>
      </c>
      <c r="B48">
        <v>497</v>
      </c>
      <c r="C48">
        <v>483</v>
      </c>
      <c r="D48">
        <v>479</v>
      </c>
      <c r="E48" s="4">
        <f t="shared" si="0"/>
        <v>1</v>
      </c>
      <c r="F48" s="4">
        <f t="shared" si="1"/>
        <v>14</v>
      </c>
      <c r="G48" s="4">
        <f t="shared" si="2"/>
        <v>196</v>
      </c>
      <c r="H48" s="5">
        <f>SQRT(SUM('p-pi-14'!$C$3:C48)/COUNTIF($A$3:A48,"&lt;&gt;0"))</f>
        <v>18.824706245181922</v>
      </c>
    </row>
    <row r="49" spans="1:8">
      <c r="A49">
        <v>47</v>
      </c>
      <c r="B49">
        <v>497</v>
      </c>
      <c r="C49">
        <v>515</v>
      </c>
      <c r="D49">
        <v>494</v>
      </c>
      <c r="E49" s="4">
        <f t="shared" si="0"/>
        <v>1</v>
      </c>
      <c r="F49" s="4">
        <f t="shared" si="1"/>
        <v>18</v>
      </c>
      <c r="G49" s="4">
        <f t="shared" si="2"/>
        <v>324</v>
      </c>
      <c r="H49" s="5">
        <f>SQRT(SUM('p-pi-14'!$C$3:C49)/COUNTIF($A$3:A49,"&lt;&gt;0"))</f>
        <v>18.915264577651385</v>
      </c>
    </row>
    <row r="50" spans="1:8">
      <c r="A50">
        <v>48</v>
      </c>
      <c r="B50">
        <v>497</v>
      </c>
      <c r="C50">
        <v>486</v>
      </c>
      <c r="D50">
        <v>483</v>
      </c>
      <c r="E50" s="4">
        <f t="shared" si="0"/>
        <v>1</v>
      </c>
      <c r="F50" s="4">
        <f t="shared" si="1"/>
        <v>11</v>
      </c>
      <c r="G50" s="4">
        <f t="shared" si="2"/>
        <v>121</v>
      </c>
      <c r="H50" s="5">
        <f>SQRT(SUM('p-pi-14'!$C$3:C50)/COUNTIF($A$3:A50,"&lt;&gt;0"))</f>
        <v>18.985740262979828</v>
      </c>
    </row>
    <row r="51" spans="1:8">
      <c r="A51">
        <v>49</v>
      </c>
      <c r="B51">
        <v>497</v>
      </c>
      <c r="C51">
        <v>514</v>
      </c>
      <c r="D51">
        <v>493</v>
      </c>
      <c r="E51" s="4">
        <f t="shared" si="0"/>
        <v>1</v>
      </c>
      <c r="F51" s="4">
        <f t="shared" si="1"/>
        <v>17</v>
      </c>
      <c r="G51" s="4">
        <f t="shared" si="2"/>
        <v>289</v>
      </c>
      <c r="H51" s="5">
        <f>SQRT(SUM('p-pi-14'!$C$3:C51)/COUNTIF($A$3:A51,"&lt;&gt;0"))</f>
        <v>19.068084243958381</v>
      </c>
    </row>
    <row r="52" spans="1:8">
      <c r="A52">
        <v>50</v>
      </c>
      <c r="B52">
        <v>497</v>
      </c>
      <c r="C52">
        <v>485</v>
      </c>
      <c r="D52">
        <v>483</v>
      </c>
      <c r="E52" s="4">
        <f t="shared" si="0"/>
        <v>1</v>
      </c>
      <c r="F52" s="4">
        <f t="shared" si="1"/>
        <v>12</v>
      </c>
      <c r="G52" s="4">
        <f t="shared" si="2"/>
        <v>144</v>
      </c>
      <c r="H52" s="5">
        <f>SQRT(SUM('p-pi-14'!$C$3:C52)/COUNTIF($A$3:A52,"&lt;&gt;0"))</f>
        <v>19.131649170941849</v>
      </c>
    </row>
    <row r="53" spans="1:8">
      <c r="A53">
        <v>51</v>
      </c>
      <c r="B53">
        <v>497</v>
      </c>
      <c r="C53">
        <v>514</v>
      </c>
      <c r="D53">
        <v>493</v>
      </c>
      <c r="E53" s="4">
        <f t="shared" si="0"/>
        <v>1</v>
      </c>
      <c r="F53" s="4">
        <f t="shared" si="1"/>
        <v>17</v>
      </c>
      <c r="G53" s="4">
        <f t="shared" si="2"/>
        <v>289</v>
      </c>
      <c r="H53" s="5">
        <f>SQRT(SUM('p-pi-14'!$C$3:C53)/COUNTIF($A$3:A53,"&lt;&gt;0"))</f>
        <v>19.207331116723399</v>
      </c>
    </row>
    <row r="54" spans="1:8">
      <c r="A54">
        <v>52</v>
      </c>
      <c r="B54">
        <v>497</v>
      </c>
      <c r="C54">
        <v>486</v>
      </c>
      <c r="D54">
        <v>483</v>
      </c>
      <c r="E54" s="4">
        <f t="shared" si="0"/>
        <v>1</v>
      </c>
      <c r="F54" s="4">
        <f t="shared" si="1"/>
        <v>11</v>
      </c>
      <c r="G54" s="4">
        <f t="shared" si="2"/>
        <v>121</v>
      </c>
      <c r="H54" s="5">
        <f>SQRT(SUM('p-pi-14'!$C$3:C54)/COUNTIF($A$3:A54,"&lt;&gt;0"))</f>
        <v>19.265852613447372</v>
      </c>
    </row>
    <row r="55" spans="1:8">
      <c r="A55">
        <v>53</v>
      </c>
      <c r="B55">
        <v>497</v>
      </c>
      <c r="C55">
        <v>513</v>
      </c>
      <c r="D55">
        <v>492</v>
      </c>
      <c r="E55" s="4">
        <f t="shared" si="0"/>
        <v>1</v>
      </c>
      <c r="F55" s="4">
        <f t="shared" si="1"/>
        <v>16</v>
      </c>
      <c r="G55" s="4">
        <f t="shared" si="2"/>
        <v>256</v>
      </c>
      <c r="H55" s="5">
        <f>SQRT(SUM('p-pi-14'!$C$3:C55)/COUNTIF($A$3:A55,"&lt;&gt;0"))</f>
        <v>19.335176663371183</v>
      </c>
    </row>
    <row r="56" spans="1:8">
      <c r="A56">
        <v>54</v>
      </c>
      <c r="B56">
        <v>497</v>
      </c>
      <c r="C56">
        <v>484</v>
      </c>
      <c r="D56">
        <v>482</v>
      </c>
      <c r="E56" s="4">
        <f t="shared" si="0"/>
        <v>1</v>
      </c>
      <c r="F56" s="4">
        <f t="shared" si="1"/>
        <v>13</v>
      </c>
      <c r="G56" s="4">
        <f t="shared" si="2"/>
        <v>169</v>
      </c>
      <c r="H56" s="5">
        <f>SQRT(SUM('p-pi-14'!$C$3:C56)/COUNTIF($A$3:A56,"&lt;&gt;0"))</f>
        <v>19.387854158954489</v>
      </c>
    </row>
    <row r="57" spans="1:8">
      <c r="A57">
        <v>55</v>
      </c>
      <c r="B57">
        <v>497</v>
      </c>
      <c r="C57">
        <v>511</v>
      </c>
      <c r="D57">
        <v>492</v>
      </c>
      <c r="E57" s="4">
        <f t="shared" si="0"/>
        <v>1</v>
      </c>
      <c r="F57" s="4">
        <f t="shared" si="1"/>
        <v>14</v>
      </c>
      <c r="G57" s="4">
        <f t="shared" si="2"/>
        <v>196</v>
      </c>
      <c r="H57" s="5">
        <f>SQRT(SUM('p-pi-14'!$C$3:C57)/COUNTIF($A$3:A57,"&lt;&gt;0"))</f>
        <v>19.451104198616967</v>
      </c>
    </row>
    <row r="58" spans="1:8">
      <c r="A58">
        <v>56</v>
      </c>
      <c r="B58">
        <v>497</v>
      </c>
      <c r="C58">
        <v>409</v>
      </c>
      <c r="D58">
        <v>483</v>
      </c>
      <c r="E58" s="4">
        <f t="shared" si="0"/>
        <v>1</v>
      </c>
      <c r="F58" s="4">
        <f t="shared" si="1"/>
        <v>88</v>
      </c>
      <c r="G58" s="4">
        <f t="shared" si="2"/>
        <v>7744</v>
      </c>
      <c r="H58" s="5">
        <f>SQRT(SUM('p-pi-14'!$C$3:C58)/COUNTIF($A$3:A58,"&lt;&gt;0"))</f>
        <v>19.465170359975204</v>
      </c>
    </row>
    <row r="59" spans="1:8">
      <c r="A59">
        <v>57</v>
      </c>
      <c r="B59">
        <v>497</v>
      </c>
      <c r="C59">
        <v>484</v>
      </c>
      <c r="D59">
        <v>520</v>
      </c>
      <c r="E59" s="4">
        <f t="shared" si="0"/>
        <v>1</v>
      </c>
      <c r="F59" s="4">
        <f t="shared" si="1"/>
        <v>13</v>
      </c>
      <c r="G59" s="4">
        <f t="shared" si="2"/>
        <v>169</v>
      </c>
      <c r="H59" s="5">
        <f>SQRT(SUM('p-pi-14'!$C$3:C59)/COUNTIF($A$3:A59,"&lt;&gt;0"))</f>
        <v>19.512479137855937</v>
      </c>
    </row>
    <row r="60" spans="1:8">
      <c r="A60">
        <v>58</v>
      </c>
      <c r="B60">
        <v>497</v>
      </c>
      <c r="C60">
        <v>519</v>
      </c>
      <c r="D60">
        <v>499</v>
      </c>
      <c r="E60" s="4">
        <f t="shared" si="0"/>
        <v>1</v>
      </c>
      <c r="F60" s="4">
        <f t="shared" si="1"/>
        <v>22</v>
      </c>
      <c r="G60" s="4">
        <f t="shared" si="2"/>
        <v>484</v>
      </c>
      <c r="H60" s="5">
        <f>SQRT(SUM('p-pi-14'!$C$3:C60)/COUNTIF($A$3:A60,"&lt;&gt;0"))</f>
        <v>19.573469024553937</v>
      </c>
    </row>
    <row r="61" spans="1:8">
      <c r="A61">
        <v>59</v>
      </c>
      <c r="B61">
        <v>497</v>
      </c>
      <c r="C61">
        <v>471</v>
      </c>
      <c r="D61">
        <v>486</v>
      </c>
      <c r="E61" s="4">
        <f t="shared" si="0"/>
        <v>1</v>
      </c>
      <c r="F61" s="4">
        <f t="shared" si="1"/>
        <v>26</v>
      </c>
      <c r="G61" s="4">
        <f t="shared" si="2"/>
        <v>676</v>
      </c>
      <c r="H61" s="5">
        <f>SQRT(SUM('p-pi-14'!$C$3:C61)/COUNTIF($A$3:A61,"&lt;&gt;0"))</f>
        <v>19.611480553276071</v>
      </c>
    </row>
    <row r="62" spans="1:8">
      <c r="A62">
        <v>60</v>
      </c>
      <c r="B62">
        <v>497</v>
      </c>
      <c r="C62">
        <v>519</v>
      </c>
      <c r="D62">
        <v>503</v>
      </c>
      <c r="E62" s="4">
        <f t="shared" si="0"/>
        <v>1</v>
      </c>
      <c r="F62" s="4">
        <f t="shared" si="1"/>
        <v>22</v>
      </c>
      <c r="G62" s="4">
        <f t="shared" si="2"/>
        <v>484</v>
      </c>
      <c r="H62" s="5">
        <f>SQRT(SUM('p-pi-14'!$C$3:C62)/COUNTIF($A$3:A62,"&lt;&gt;0"))</f>
        <v>19.668502739151243</v>
      </c>
    </row>
    <row r="63" spans="1:8">
      <c r="A63">
        <v>61</v>
      </c>
      <c r="B63">
        <v>497</v>
      </c>
      <c r="C63">
        <v>489</v>
      </c>
      <c r="D63">
        <v>487</v>
      </c>
      <c r="E63" s="4">
        <f t="shared" si="0"/>
        <v>1</v>
      </c>
      <c r="F63" s="4">
        <f t="shared" si="1"/>
        <v>8</v>
      </c>
      <c r="G63" s="4">
        <f t="shared" si="2"/>
        <v>64</v>
      </c>
      <c r="H63" s="5">
        <f>SQRT(SUM('p-pi-14'!$C$3:C63)/COUNTIF($A$3:A63,"&lt;&gt;0"))</f>
        <v>19.711027120978105</v>
      </c>
    </row>
    <row r="64" spans="1:8">
      <c r="A64">
        <v>62</v>
      </c>
      <c r="B64">
        <v>497</v>
      </c>
      <c r="C64">
        <v>516</v>
      </c>
      <c r="D64">
        <v>496</v>
      </c>
      <c r="E64" s="4">
        <f t="shared" si="0"/>
        <v>1</v>
      </c>
      <c r="F64" s="4">
        <f t="shared" si="1"/>
        <v>19</v>
      </c>
      <c r="G64" s="4">
        <f t="shared" si="2"/>
        <v>361</v>
      </c>
      <c r="H64" s="5">
        <f>SQRT(SUM('p-pi-14'!$C$3:C64)/COUNTIF($A$3:A64,"&lt;&gt;0"))</f>
        <v>19.763113245672866</v>
      </c>
    </row>
    <row r="65" spans="1:8">
      <c r="A65">
        <v>63</v>
      </c>
      <c r="B65">
        <v>497</v>
      </c>
      <c r="C65">
        <v>472</v>
      </c>
      <c r="D65">
        <v>487</v>
      </c>
      <c r="E65" s="4">
        <f t="shared" si="0"/>
        <v>1</v>
      </c>
      <c r="F65" s="4">
        <f t="shared" si="1"/>
        <v>25</v>
      </c>
      <c r="G65" s="4">
        <f t="shared" si="2"/>
        <v>625</v>
      </c>
      <c r="H65" s="5">
        <f>SQRT(SUM('p-pi-14'!$C$3:C65)/COUNTIF($A$3:A65,"&lt;&gt;0"))</f>
        <v>19.795782780001801</v>
      </c>
    </row>
    <row r="66" spans="1:8">
      <c r="A66">
        <v>64</v>
      </c>
      <c r="B66">
        <v>497</v>
      </c>
      <c r="C66">
        <v>518</v>
      </c>
      <c r="D66">
        <v>502</v>
      </c>
      <c r="E66" s="4">
        <f t="shared" si="0"/>
        <v>1</v>
      </c>
      <c r="F66" s="4">
        <f t="shared" si="1"/>
        <v>21</v>
      </c>
      <c r="G66" s="4">
        <f t="shared" si="2"/>
        <v>441</v>
      </c>
      <c r="H66" s="5">
        <f>SQRT(SUM('p-pi-14'!$C$3:C66)/COUNTIF($A$3:A66,"&lt;&gt;0"))</f>
        <v>19.845496970345692</v>
      </c>
    </row>
    <row r="67" spans="1:8">
      <c r="A67">
        <v>65</v>
      </c>
      <c r="B67">
        <v>497</v>
      </c>
      <c r="C67">
        <v>294</v>
      </c>
      <c r="D67">
        <v>486</v>
      </c>
      <c r="E67" s="4">
        <f t="shared" si="0"/>
        <v>0</v>
      </c>
      <c r="F67" s="4">
        <f t="shared" si="1"/>
        <v>203</v>
      </c>
      <c r="G67" s="4">
        <f t="shared" si="2"/>
        <v>41209</v>
      </c>
      <c r="H67" s="5">
        <f>SQRT(SUM('p-pi-14'!$C$3:C67)/COUNTIF($A$3:A67,"&lt;&gt;0"))</f>
        <v>19.806758753205742</v>
      </c>
    </row>
    <row r="68" spans="1:8">
      <c r="A68">
        <v>66</v>
      </c>
      <c r="B68">
        <v>497</v>
      </c>
      <c r="C68">
        <v>524</v>
      </c>
      <c r="D68">
        <v>569</v>
      </c>
      <c r="E68" s="4">
        <f t="shared" ref="E68:E131" si="3">IF(AND(C68&lt;=B68*1.2,C68&gt;=B68*0.8),1,0)</f>
        <v>1</v>
      </c>
      <c r="F68" s="4">
        <f t="shared" ref="F68:F131" si="4">ABS(B68-C68)</f>
        <v>27</v>
      </c>
      <c r="G68" s="4">
        <f t="shared" ref="G68:G131" si="5">POWER(F68,2)</f>
        <v>729</v>
      </c>
      <c r="H68" s="5">
        <f>SQRT(SUM('p-pi-14'!$C$3:C68)/COUNTIF($A$3:A68,"&lt;&gt;0"))</f>
        <v>19.857064997200123</v>
      </c>
    </row>
    <row r="69" spans="1:8">
      <c r="A69">
        <v>67</v>
      </c>
      <c r="B69">
        <v>497</v>
      </c>
      <c r="C69">
        <v>478</v>
      </c>
      <c r="D69">
        <v>497</v>
      </c>
      <c r="E69" s="4">
        <f t="shared" si="3"/>
        <v>1</v>
      </c>
      <c r="F69" s="4">
        <f t="shared" si="4"/>
        <v>19</v>
      </c>
      <c r="G69" s="4">
        <f t="shared" si="5"/>
        <v>361</v>
      </c>
      <c r="H69" s="5">
        <f>SQRT(SUM('p-pi-14'!$C$3:C69)/COUNTIF($A$3:A69,"&lt;&gt;0"))</f>
        <v>19.888495136786247</v>
      </c>
    </row>
    <row r="70" spans="1:8">
      <c r="A70">
        <v>68</v>
      </c>
      <c r="B70">
        <v>497</v>
      </c>
      <c r="C70">
        <v>507</v>
      </c>
      <c r="D70">
        <v>513</v>
      </c>
      <c r="E70" s="4">
        <f t="shared" si="3"/>
        <v>1</v>
      </c>
      <c r="F70" s="4">
        <f t="shared" si="4"/>
        <v>10</v>
      </c>
      <c r="G70" s="4">
        <f t="shared" si="5"/>
        <v>100</v>
      </c>
      <c r="H70" s="5">
        <f>SQRT(SUM('p-pi-14'!$C$3:C70)/COUNTIF($A$3:A70,"&lt;&gt;0"))</f>
        <v>19.929655703764382</v>
      </c>
    </row>
    <row r="71" spans="1:8">
      <c r="A71">
        <v>69</v>
      </c>
      <c r="B71">
        <v>497</v>
      </c>
      <c r="C71">
        <v>481</v>
      </c>
      <c r="D71">
        <v>503</v>
      </c>
      <c r="E71" s="4">
        <f t="shared" si="3"/>
        <v>1</v>
      </c>
      <c r="F71" s="4">
        <f t="shared" si="4"/>
        <v>16</v>
      </c>
      <c r="G71" s="4">
        <f t="shared" si="5"/>
        <v>256</v>
      </c>
      <c r="H71" s="5">
        <f>SQRT(SUM('p-pi-14'!$C$3:C71)/COUNTIF($A$3:A71,"&lt;&gt;0"))</f>
        <v>19.960105137534953</v>
      </c>
    </row>
    <row r="72" spans="1:8">
      <c r="A72">
        <v>70</v>
      </c>
      <c r="B72">
        <v>497</v>
      </c>
      <c r="C72">
        <v>527</v>
      </c>
      <c r="D72">
        <v>512</v>
      </c>
      <c r="E72" s="4">
        <f t="shared" si="3"/>
        <v>1</v>
      </c>
      <c r="F72" s="4">
        <f t="shared" si="4"/>
        <v>30</v>
      </c>
      <c r="G72" s="4">
        <f t="shared" si="5"/>
        <v>900</v>
      </c>
      <c r="H72" s="5">
        <f>SQRT(SUM('p-pi-14'!$C$3:C72)/COUNTIF($A$3:A72,"&lt;&gt;0"))</f>
        <v>20.006070507294957</v>
      </c>
    </row>
    <row r="73" spans="1:8">
      <c r="A73">
        <v>71</v>
      </c>
      <c r="B73">
        <v>497</v>
      </c>
      <c r="C73">
        <v>477</v>
      </c>
      <c r="D73">
        <v>496</v>
      </c>
      <c r="E73" s="4">
        <f t="shared" si="3"/>
        <v>1</v>
      </c>
      <c r="F73" s="4">
        <f t="shared" si="4"/>
        <v>20</v>
      </c>
      <c r="G73" s="4">
        <f t="shared" si="5"/>
        <v>400</v>
      </c>
      <c r="H73" s="5">
        <f>SQRT(SUM('p-pi-14'!$C$3:C73)/COUNTIF($A$3:A73,"&lt;&gt;0"))</f>
        <v>20.033071248861763</v>
      </c>
    </row>
    <row r="74" spans="1:8">
      <c r="A74">
        <v>72</v>
      </c>
      <c r="B74">
        <v>497</v>
      </c>
      <c r="C74">
        <v>527</v>
      </c>
      <c r="D74">
        <v>513</v>
      </c>
      <c r="E74" s="4">
        <f t="shared" si="3"/>
        <v>1</v>
      </c>
      <c r="F74" s="4">
        <f t="shared" si="4"/>
        <v>30</v>
      </c>
      <c r="G74" s="4">
        <f t="shared" si="5"/>
        <v>900</v>
      </c>
      <c r="H74" s="5">
        <f>SQRT(SUM('p-pi-14'!$C$3:C74)/COUNTIF($A$3:A74,"&lt;&gt;0"))</f>
        <v>20.076589462467087</v>
      </c>
    </row>
    <row r="75" spans="1:8">
      <c r="A75">
        <v>73</v>
      </c>
      <c r="B75">
        <v>497</v>
      </c>
      <c r="C75">
        <v>477</v>
      </c>
      <c r="D75">
        <v>496</v>
      </c>
      <c r="E75" s="4">
        <f t="shared" si="3"/>
        <v>1</v>
      </c>
      <c r="F75" s="4">
        <f t="shared" si="4"/>
        <v>20</v>
      </c>
      <c r="G75" s="4">
        <f t="shared" si="5"/>
        <v>400</v>
      </c>
      <c r="H75" s="5">
        <f>SQRT(SUM('p-pi-14'!$C$3:C75)/COUNTIF($A$3:A75,"&lt;&gt;0"))</f>
        <v>20.101795735227785</v>
      </c>
    </row>
    <row r="76" spans="1:8">
      <c r="A76">
        <v>74</v>
      </c>
      <c r="B76">
        <v>497</v>
      </c>
      <c r="C76">
        <v>526</v>
      </c>
      <c r="D76">
        <v>512</v>
      </c>
      <c r="E76" s="4">
        <f t="shared" si="3"/>
        <v>1</v>
      </c>
      <c r="F76" s="4">
        <f t="shared" si="4"/>
        <v>29</v>
      </c>
      <c r="G76" s="4">
        <f t="shared" si="5"/>
        <v>841</v>
      </c>
      <c r="H76" s="5">
        <f>SQRT(SUM('p-pi-14'!$C$3:C76)/COUNTIF($A$3:A76,"&lt;&gt;0"))</f>
        <v>20.142733918952754</v>
      </c>
    </row>
    <row r="77" spans="1:8">
      <c r="A77">
        <v>75</v>
      </c>
      <c r="B77">
        <v>497</v>
      </c>
      <c r="C77">
        <v>477</v>
      </c>
      <c r="D77">
        <v>495</v>
      </c>
      <c r="E77" s="4">
        <f t="shared" si="3"/>
        <v>1</v>
      </c>
      <c r="F77" s="4">
        <f t="shared" si="4"/>
        <v>20</v>
      </c>
      <c r="G77" s="4">
        <f t="shared" si="5"/>
        <v>400</v>
      </c>
      <c r="H77" s="5">
        <f>SQRT(SUM('p-pi-14'!$C$3:C77)/COUNTIF($A$3:A77,"&lt;&gt;0"))</f>
        <v>20.166308536764976</v>
      </c>
    </row>
    <row r="78" spans="1:8">
      <c r="A78">
        <v>76</v>
      </c>
      <c r="B78">
        <v>497</v>
      </c>
      <c r="C78">
        <v>403</v>
      </c>
      <c r="D78">
        <v>511</v>
      </c>
      <c r="E78" s="4">
        <f t="shared" si="3"/>
        <v>1</v>
      </c>
      <c r="F78" s="4">
        <f t="shared" si="4"/>
        <v>94</v>
      </c>
      <c r="G78" s="4">
        <f t="shared" si="5"/>
        <v>8836</v>
      </c>
      <c r="H78" s="5">
        <f>SQRT(SUM('p-pi-14'!$C$3:C78)/COUNTIF($A$3:A78,"&lt;&gt;0"))</f>
        <v>20.165107957741473</v>
      </c>
    </row>
    <row r="79" spans="1:8">
      <c r="A79">
        <v>77</v>
      </c>
      <c r="B79">
        <v>497</v>
      </c>
      <c r="C79">
        <v>518</v>
      </c>
      <c r="D79">
        <v>540</v>
      </c>
      <c r="E79" s="4">
        <f t="shared" si="3"/>
        <v>1</v>
      </c>
      <c r="F79" s="4">
        <f t="shared" si="4"/>
        <v>21</v>
      </c>
      <c r="G79" s="4">
        <f t="shared" si="5"/>
        <v>441</v>
      </c>
      <c r="H79" s="5">
        <f>SQRT(SUM('p-pi-14'!$C$3:C79)/COUNTIF($A$3:A79,"&lt;&gt;0"))</f>
        <v>20.200938643486893</v>
      </c>
    </row>
    <row r="80" spans="1:8">
      <c r="A80">
        <v>78</v>
      </c>
      <c r="B80">
        <v>497</v>
      </c>
      <c r="C80">
        <v>481</v>
      </c>
      <c r="D80">
        <v>504</v>
      </c>
      <c r="E80" s="4">
        <f t="shared" si="3"/>
        <v>1</v>
      </c>
      <c r="F80" s="4">
        <f t="shared" si="4"/>
        <v>16</v>
      </c>
      <c r="G80" s="4">
        <f t="shared" si="5"/>
        <v>256</v>
      </c>
      <c r="H80" s="5">
        <f>SQRT(SUM('p-pi-14'!$C$3:C80)/COUNTIF($A$3:A80,"&lt;&gt;0"))</f>
        <v>20.224065380452579</v>
      </c>
    </row>
    <row r="81" spans="1:8">
      <c r="A81">
        <v>79</v>
      </c>
      <c r="B81">
        <v>497</v>
      </c>
      <c r="C81">
        <v>510</v>
      </c>
      <c r="D81">
        <v>517</v>
      </c>
      <c r="E81" s="4">
        <f t="shared" si="3"/>
        <v>1</v>
      </c>
      <c r="F81" s="4">
        <f t="shared" si="4"/>
        <v>13</v>
      </c>
      <c r="G81" s="4">
        <f t="shared" si="5"/>
        <v>169</v>
      </c>
      <c r="H81" s="5">
        <f>SQRT(SUM('p-pi-14'!$C$3:C81)/COUNTIF($A$3:A81,"&lt;&gt;0"))</f>
        <v>20.255644626634481</v>
      </c>
    </row>
    <row r="82" spans="1:8">
      <c r="A82">
        <v>80</v>
      </c>
      <c r="B82">
        <v>497</v>
      </c>
      <c r="C82">
        <v>482</v>
      </c>
      <c r="D82">
        <v>507</v>
      </c>
      <c r="E82" s="4">
        <f t="shared" si="3"/>
        <v>1</v>
      </c>
      <c r="F82" s="4">
        <f t="shared" si="4"/>
        <v>15</v>
      </c>
      <c r="G82" s="4">
        <f t="shared" si="5"/>
        <v>225</v>
      </c>
      <c r="H82" s="5">
        <f>SQRT(SUM('p-pi-14'!$C$3:C82)/COUNTIF($A$3:A82,"&lt;&gt;0"))</f>
        <v>20.277758751893661</v>
      </c>
    </row>
    <row r="83" spans="1:8">
      <c r="A83">
        <v>81</v>
      </c>
      <c r="B83">
        <v>497</v>
      </c>
      <c r="C83">
        <v>529</v>
      </c>
      <c r="D83">
        <v>516</v>
      </c>
      <c r="E83" s="4">
        <f t="shared" si="3"/>
        <v>1</v>
      </c>
      <c r="F83" s="4">
        <f t="shared" si="4"/>
        <v>32</v>
      </c>
      <c r="G83" s="4">
        <f t="shared" si="5"/>
        <v>1024</v>
      </c>
      <c r="H83" s="5">
        <f>SQRT(SUM('p-pi-14'!$C$3:C83)/COUNTIF($A$3:A83,"&lt;&gt;0"))</f>
        <v>20.313590901380337</v>
      </c>
    </row>
    <row r="84" spans="1:8">
      <c r="A84">
        <v>82</v>
      </c>
      <c r="B84">
        <v>497</v>
      </c>
      <c r="C84">
        <v>480</v>
      </c>
      <c r="D84">
        <v>500</v>
      </c>
      <c r="E84" s="4">
        <f t="shared" si="3"/>
        <v>1</v>
      </c>
      <c r="F84" s="4">
        <f t="shared" si="4"/>
        <v>17</v>
      </c>
      <c r="G84" s="4">
        <f t="shared" si="5"/>
        <v>289</v>
      </c>
      <c r="H84" s="5">
        <f>SQRT(SUM('p-pi-14'!$C$3:C84)/COUNTIF($A$3:A84,"&lt;&gt;0"))</f>
        <v>20.333799808057183</v>
      </c>
    </row>
    <row r="85" spans="1:8">
      <c r="A85">
        <v>83</v>
      </c>
      <c r="B85">
        <v>497</v>
      </c>
      <c r="C85">
        <v>509</v>
      </c>
      <c r="D85">
        <v>516</v>
      </c>
      <c r="E85" s="4">
        <f t="shared" si="3"/>
        <v>1</v>
      </c>
      <c r="F85" s="4">
        <f t="shared" si="4"/>
        <v>12</v>
      </c>
      <c r="G85" s="4">
        <f t="shared" si="5"/>
        <v>144</v>
      </c>
      <c r="H85" s="5">
        <f>SQRT(SUM('p-pi-14'!$C$3:C85)/COUNTIF($A$3:A85,"&lt;&gt;0"))</f>
        <v>20.362083828314951</v>
      </c>
    </row>
    <row r="86" spans="1:8">
      <c r="A86">
        <v>84</v>
      </c>
      <c r="B86">
        <v>497</v>
      </c>
      <c r="C86">
        <v>482</v>
      </c>
      <c r="D86">
        <v>506</v>
      </c>
      <c r="E86" s="4">
        <f t="shared" si="3"/>
        <v>1</v>
      </c>
      <c r="F86" s="4">
        <f t="shared" si="4"/>
        <v>15</v>
      </c>
      <c r="G86" s="4">
        <f t="shared" si="5"/>
        <v>225</v>
      </c>
      <c r="H86" s="5">
        <f>SQRT(SUM('p-pi-14'!$C$3:C86)/COUNTIF($A$3:A86,"&lt;&gt;0"))</f>
        <v>20.381772902931353</v>
      </c>
    </row>
    <row r="87" spans="1:8">
      <c r="A87">
        <v>85</v>
      </c>
      <c r="B87">
        <v>497</v>
      </c>
      <c r="C87">
        <v>529</v>
      </c>
      <c r="D87">
        <v>515</v>
      </c>
      <c r="E87" s="4">
        <f t="shared" si="3"/>
        <v>1</v>
      </c>
      <c r="F87" s="4">
        <f t="shared" si="4"/>
        <v>32</v>
      </c>
      <c r="G87" s="4">
        <f t="shared" si="5"/>
        <v>1024</v>
      </c>
      <c r="H87" s="5">
        <f>SQRT(SUM('p-pi-14'!$C$3:C87)/COUNTIF($A$3:A87,"&lt;&gt;0"))</f>
        <v>20.414527699079169</v>
      </c>
    </row>
    <row r="88" spans="1:8">
      <c r="A88">
        <v>86</v>
      </c>
      <c r="B88">
        <v>497</v>
      </c>
      <c r="C88">
        <v>479</v>
      </c>
      <c r="D88">
        <v>499</v>
      </c>
      <c r="E88" s="4">
        <f t="shared" si="3"/>
        <v>1</v>
      </c>
      <c r="F88" s="4">
        <f t="shared" si="4"/>
        <v>18</v>
      </c>
      <c r="G88" s="4">
        <f t="shared" si="5"/>
        <v>324</v>
      </c>
      <c r="H88" s="5">
        <f>SQRT(SUM('p-pi-14'!$C$3:C88)/COUNTIF($A$3:A88,"&lt;&gt;0"))</f>
        <v>20.432247653795862</v>
      </c>
    </row>
    <row r="89" spans="1:8">
      <c r="A89">
        <v>87</v>
      </c>
      <c r="B89">
        <v>497</v>
      </c>
      <c r="C89">
        <v>525</v>
      </c>
      <c r="D89">
        <v>515</v>
      </c>
      <c r="E89" s="4">
        <f t="shared" si="3"/>
        <v>1</v>
      </c>
      <c r="F89" s="4">
        <f t="shared" si="4"/>
        <v>28</v>
      </c>
      <c r="G89" s="4">
        <f t="shared" si="5"/>
        <v>784</v>
      </c>
      <c r="H89" s="5">
        <f>SQRT(SUM('p-pi-14'!$C$3:C89)/COUNTIF($A$3:A89,"&lt;&gt;0"))</f>
        <v>20.462469149107125</v>
      </c>
    </row>
    <row r="90" spans="1:8">
      <c r="A90">
        <v>88</v>
      </c>
      <c r="B90">
        <v>497</v>
      </c>
      <c r="C90">
        <v>479</v>
      </c>
      <c r="D90">
        <v>499</v>
      </c>
      <c r="E90" s="4">
        <f t="shared" si="3"/>
        <v>1</v>
      </c>
      <c r="F90" s="4">
        <f t="shared" si="4"/>
        <v>18</v>
      </c>
      <c r="G90" s="4">
        <f t="shared" si="5"/>
        <v>324</v>
      </c>
      <c r="H90" s="5">
        <f>SQRT(SUM('p-pi-14'!$C$3:C90)/COUNTIF($A$3:A90,"&lt;&gt;0"))</f>
        <v>20.479202310459439</v>
      </c>
    </row>
    <row r="91" spans="1:8">
      <c r="A91">
        <v>89</v>
      </c>
      <c r="B91">
        <v>497</v>
      </c>
      <c r="C91">
        <v>508</v>
      </c>
      <c r="D91">
        <v>514</v>
      </c>
      <c r="E91" s="4">
        <f t="shared" si="3"/>
        <v>1</v>
      </c>
      <c r="F91" s="4">
        <f t="shared" si="4"/>
        <v>11</v>
      </c>
      <c r="G91" s="4">
        <f t="shared" si="5"/>
        <v>121</v>
      </c>
      <c r="H91" s="5">
        <f>SQRT(SUM('p-pi-14'!$C$3:C91)/COUNTIF($A$3:A91,"&lt;&gt;0"))</f>
        <v>20.503493810250152</v>
      </c>
    </row>
    <row r="92" spans="1:8">
      <c r="A92">
        <v>90</v>
      </c>
      <c r="B92">
        <v>497</v>
      </c>
      <c r="C92">
        <v>482</v>
      </c>
      <c r="D92">
        <v>505</v>
      </c>
      <c r="E92" s="4">
        <f t="shared" si="3"/>
        <v>1</v>
      </c>
      <c r="F92" s="4">
        <f t="shared" si="4"/>
        <v>15</v>
      </c>
      <c r="G92" s="4">
        <f t="shared" si="5"/>
        <v>225</v>
      </c>
      <c r="H92" s="5">
        <f>SQRT(SUM('p-pi-14'!$C$3:C92)/COUNTIF($A$3:A92,"&lt;&gt;0"))</f>
        <v>20.520179769626235</v>
      </c>
    </row>
    <row r="93" spans="1:8">
      <c r="A93">
        <v>91</v>
      </c>
      <c r="B93">
        <v>497</v>
      </c>
      <c r="C93">
        <v>528</v>
      </c>
      <c r="D93">
        <v>514</v>
      </c>
      <c r="E93" s="4">
        <f t="shared" si="3"/>
        <v>1</v>
      </c>
      <c r="F93" s="4">
        <f t="shared" si="4"/>
        <v>31</v>
      </c>
      <c r="G93" s="4">
        <f t="shared" si="5"/>
        <v>961</v>
      </c>
      <c r="H93" s="5">
        <f>SQRT(SUM('p-pi-14'!$C$3:C93)/COUNTIF($A$3:A93,"&lt;&gt;0"))</f>
        <v>20.548789435213628</v>
      </c>
    </row>
    <row r="94" spans="1:8">
      <c r="A94">
        <v>92</v>
      </c>
      <c r="B94">
        <v>497</v>
      </c>
      <c r="C94">
        <v>478</v>
      </c>
      <c r="D94">
        <v>498</v>
      </c>
      <c r="E94" s="4">
        <f t="shared" si="3"/>
        <v>1</v>
      </c>
      <c r="F94" s="4">
        <f t="shared" si="4"/>
        <v>19</v>
      </c>
      <c r="G94" s="4">
        <f t="shared" si="5"/>
        <v>361</v>
      </c>
      <c r="H94" s="5">
        <f>SQRT(SUM('p-pi-14'!$C$3:C94)/COUNTIF($A$3:A94,"&lt;&gt;0"))</f>
        <v>20.563528288019395</v>
      </c>
    </row>
    <row r="95" spans="1:8">
      <c r="A95">
        <v>93</v>
      </c>
      <c r="B95">
        <v>497</v>
      </c>
      <c r="C95">
        <v>528</v>
      </c>
      <c r="D95">
        <v>514</v>
      </c>
      <c r="E95" s="4">
        <f t="shared" si="3"/>
        <v>1</v>
      </c>
      <c r="F95" s="4">
        <f t="shared" si="4"/>
        <v>31</v>
      </c>
      <c r="G95" s="4">
        <f t="shared" si="5"/>
        <v>961</v>
      </c>
      <c r="H95" s="5">
        <f>SQRT(SUM('p-pi-14'!$C$3:C95)/COUNTIF($A$3:A95,"&lt;&gt;0"))</f>
        <v>20.590999181968513</v>
      </c>
    </row>
    <row r="96" spans="1:8">
      <c r="A96">
        <v>94</v>
      </c>
      <c r="B96">
        <v>497</v>
      </c>
      <c r="C96">
        <v>477</v>
      </c>
      <c r="D96">
        <v>497</v>
      </c>
      <c r="E96" s="4">
        <f t="shared" si="3"/>
        <v>1</v>
      </c>
      <c r="F96" s="4">
        <f t="shared" si="4"/>
        <v>20</v>
      </c>
      <c r="G96" s="4">
        <f t="shared" si="5"/>
        <v>400</v>
      </c>
      <c r="H96" s="5">
        <f>SQRT(SUM('p-pi-14'!$C$3:C96)/COUNTIF($A$3:A96,"&lt;&gt;0"))</f>
        <v>20.60468858025672</v>
      </c>
    </row>
    <row r="97" spans="1:8">
      <c r="A97">
        <v>95</v>
      </c>
      <c r="B97">
        <v>497</v>
      </c>
      <c r="C97">
        <v>507</v>
      </c>
      <c r="D97">
        <v>513</v>
      </c>
      <c r="E97" s="4">
        <f t="shared" si="3"/>
        <v>1</v>
      </c>
      <c r="F97" s="4">
        <f t="shared" si="4"/>
        <v>10</v>
      </c>
      <c r="G97" s="4">
        <f t="shared" si="5"/>
        <v>100</v>
      </c>
      <c r="H97" s="5">
        <f>SQRT(SUM('p-pi-14'!$C$3:C97)/COUNTIF($A$3:A97,"&lt;&gt;0"))</f>
        <v>20.625737626363303</v>
      </c>
    </row>
    <row r="98" spans="1:8">
      <c r="A98">
        <v>96</v>
      </c>
      <c r="B98">
        <v>497</v>
      </c>
      <c r="C98">
        <v>481</v>
      </c>
      <c r="D98">
        <v>503</v>
      </c>
      <c r="E98" s="4">
        <f t="shared" si="3"/>
        <v>1</v>
      </c>
      <c r="F98" s="4">
        <f t="shared" si="4"/>
        <v>16</v>
      </c>
      <c r="G98" s="4">
        <f t="shared" si="5"/>
        <v>256</v>
      </c>
      <c r="H98" s="5">
        <f>SQRT(SUM('p-pi-14'!$C$3:C98)/COUNTIF($A$3:A98,"&lt;&gt;0"))</f>
        <v>20.639767440550294</v>
      </c>
    </row>
    <row r="99" spans="1:8">
      <c r="A99">
        <v>97</v>
      </c>
      <c r="B99">
        <v>497</v>
      </c>
      <c r="C99">
        <v>527</v>
      </c>
      <c r="D99">
        <v>513</v>
      </c>
      <c r="E99" s="4">
        <f t="shared" si="3"/>
        <v>1</v>
      </c>
      <c r="F99" s="4">
        <f t="shared" si="4"/>
        <v>30</v>
      </c>
      <c r="G99" s="4">
        <f t="shared" si="5"/>
        <v>900</v>
      </c>
      <c r="H99" s="5">
        <f>SQRT(SUM('p-pi-14'!$C$3:C99)/COUNTIF($A$3:A99,"&lt;&gt;0"))</f>
        <v>20.664976097576353</v>
      </c>
    </row>
    <row r="100" spans="1:8">
      <c r="A100">
        <v>98</v>
      </c>
      <c r="B100">
        <v>497</v>
      </c>
      <c r="C100">
        <v>477</v>
      </c>
      <c r="D100">
        <v>496</v>
      </c>
      <c r="E100" s="4">
        <f t="shared" si="3"/>
        <v>1</v>
      </c>
      <c r="F100" s="4">
        <f t="shared" si="4"/>
        <v>20</v>
      </c>
      <c r="G100" s="4">
        <f t="shared" si="5"/>
        <v>400</v>
      </c>
      <c r="H100" s="5">
        <f>SQRT(SUM('p-pi-14'!$C$3:C100)/COUNTIF($A$3:A100,"&lt;&gt;0"))</f>
        <v>20.677306894471613</v>
      </c>
    </row>
    <row r="101" spans="1:8">
      <c r="A101">
        <v>99</v>
      </c>
      <c r="B101">
        <v>497</v>
      </c>
      <c r="C101">
        <v>527</v>
      </c>
      <c r="D101">
        <v>513</v>
      </c>
      <c r="E101" s="4">
        <f t="shared" si="3"/>
        <v>1</v>
      </c>
      <c r="F101" s="4">
        <f t="shared" si="4"/>
        <v>30</v>
      </c>
      <c r="G101" s="4">
        <f t="shared" si="5"/>
        <v>900</v>
      </c>
      <c r="H101" s="5">
        <f>SQRT(SUM('p-pi-14'!$C$3:C101)/COUNTIF($A$3:A101,"&lt;&gt;0"))</f>
        <v>20.70158340696565</v>
      </c>
    </row>
    <row r="102" spans="1:8">
      <c r="A102">
        <v>100</v>
      </c>
      <c r="B102">
        <v>497</v>
      </c>
      <c r="C102">
        <v>477</v>
      </c>
      <c r="D102">
        <v>496</v>
      </c>
      <c r="E102" s="4">
        <f t="shared" si="3"/>
        <v>1</v>
      </c>
      <c r="F102" s="4">
        <f t="shared" si="4"/>
        <v>20</v>
      </c>
      <c r="G102" s="4">
        <f t="shared" si="5"/>
        <v>400</v>
      </c>
      <c r="H102" s="5">
        <f>SQRT(SUM('p-pi-14'!$C$3:C102)/COUNTIF($A$3:A102,"&lt;&gt;0"))</f>
        <v>20.71328076379983</v>
      </c>
    </row>
    <row r="103" spans="1:8">
      <c r="A103">
        <v>101</v>
      </c>
      <c r="B103">
        <v>497</v>
      </c>
      <c r="C103">
        <v>526</v>
      </c>
      <c r="D103">
        <v>512</v>
      </c>
      <c r="E103" s="4">
        <f t="shared" si="3"/>
        <v>1</v>
      </c>
      <c r="F103" s="4">
        <f t="shared" si="4"/>
        <v>29</v>
      </c>
      <c r="G103" s="4">
        <f t="shared" si="5"/>
        <v>841</v>
      </c>
      <c r="H103" s="5">
        <f>SQRT(SUM('p-pi-14'!$C$3:C103)/COUNTIF($A$3:A103,"&lt;&gt;0"))</f>
        <v>20.73644135332772</v>
      </c>
    </row>
    <row r="104" spans="1:8">
      <c r="A104">
        <v>102</v>
      </c>
      <c r="B104">
        <v>497</v>
      </c>
      <c r="C104">
        <v>397</v>
      </c>
      <c r="D104">
        <v>495</v>
      </c>
      <c r="E104" s="4">
        <f t="shared" si="3"/>
        <v>0</v>
      </c>
      <c r="F104" s="4">
        <f t="shared" si="4"/>
        <v>100</v>
      </c>
      <c r="G104" s="4">
        <f t="shared" si="5"/>
        <v>10000</v>
      </c>
      <c r="H104" s="5">
        <f>SQRT(SUM('p-pi-14'!$C$3:C104)/COUNTIF($A$3:A104,"&lt;&gt;0"))</f>
        <v>20.728638898592337</v>
      </c>
    </row>
    <row r="105" spans="1:8">
      <c r="A105">
        <v>103</v>
      </c>
      <c r="B105">
        <v>497</v>
      </c>
      <c r="C105">
        <v>475</v>
      </c>
      <c r="D105">
        <v>542</v>
      </c>
      <c r="E105" s="4">
        <f t="shared" si="3"/>
        <v>1</v>
      </c>
      <c r="F105" s="4">
        <f t="shared" si="4"/>
        <v>22</v>
      </c>
      <c r="G105" s="4">
        <f t="shared" si="5"/>
        <v>484</v>
      </c>
      <c r="H105" s="5">
        <f>SQRT(SUM('p-pi-14'!$C$3:C105)/COUNTIF($A$3:A105,"&lt;&gt;0"))</f>
        <v>20.73925034456089</v>
      </c>
    </row>
    <row r="106" spans="1:8">
      <c r="A106">
        <v>104</v>
      </c>
      <c r="B106">
        <v>497</v>
      </c>
      <c r="C106">
        <v>531</v>
      </c>
      <c r="D106">
        <v>519</v>
      </c>
      <c r="E106" s="4">
        <f t="shared" si="3"/>
        <v>1</v>
      </c>
      <c r="F106" s="4">
        <f t="shared" si="4"/>
        <v>34</v>
      </c>
      <c r="G106" s="4">
        <f t="shared" si="5"/>
        <v>1156</v>
      </c>
      <c r="H106" s="5">
        <f>SQRT(SUM('p-pi-14'!$C$3:C106)/COUNTIF($A$3:A106,"&lt;&gt;0"))</f>
        <v>20.762623592926268</v>
      </c>
    </row>
    <row r="107" spans="1:8">
      <c r="A107">
        <v>105</v>
      </c>
      <c r="B107">
        <v>497</v>
      </c>
      <c r="C107">
        <v>460</v>
      </c>
      <c r="D107">
        <v>500</v>
      </c>
      <c r="E107" s="4">
        <f t="shared" si="3"/>
        <v>1</v>
      </c>
      <c r="F107" s="4">
        <f t="shared" si="4"/>
        <v>37</v>
      </c>
      <c r="G107" s="4">
        <f t="shared" si="5"/>
        <v>1369</v>
      </c>
      <c r="H107" s="5">
        <f>SQRT(SUM('p-pi-14'!$C$3:C107)/COUNTIF($A$3:A107,"&lt;&gt;0"))</f>
        <v>20.769253832574361</v>
      </c>
    </row>
    <row r="108" spans="1:8">
      <c r="A108">
        <v>106</v>
      </c>
      <c r="B108">
        <v>497</v>
      </c>
      <c r="C108">
        <v>529</v>
      </c>
      <c r="D108">
        <v>524</v>
      </c>
      <c r="E108" s="4">
        <f t="shared" si="3"/>
        <v>1</v>
      </c>
      <c r="F108" s="4">
        <f t="shared" si="4"/>
        <v>32</v>
      </c>
      <c r="G108" s="4">
        <f t="shared" si="5"/>
        <v>1024</v>
      </c>
      <c r="H108" s="5">
        <f>SQRT(SUM('p-pi-14'!$C$3:C108)/COUNTIF($A$3:A108,"&lt;&gt;0"))</f>
        <v>20.791416951904083</v>
      </c>
    </row>
    <row r="109" spans="1:8">
      <c r="A109">
        <v>107</v>
      </c>
      <c r="B109">
        <v>497</v>
      </c>
      <c r="C109">
        <v>480</v>
      </c>
      <c r="D109">
        <v>501</v>
      </c>
      <c r="E109" s="4">
        <f t="shared" si="3"/>
        <v>1</v>
      </c>
      <c r="F109" s="4">
        <f t="shared" si="4"/>
        <v>17</v>
      </c>
      <c r="G109" s="4">
        <f t="shared" si="5"/>
        <v>289</v>
      </c>
      <c r="H109" s="5">
        <f>SQRT(SUM('p-pi-14'!$C$3:C109)/COUNTIF($A$3:A109,"&lt;&gt;0"))</f>
        <v>20.802138639154794</v>
      </c>
    </row>
    <row r="110" spans="1:8">
      <c r="A110">
        <v>108</v>
      </c>
      <c r="B110">
        <v>497</v>
      </c>
      <c r="C110">
        <v>530</v>
      </c>
      <c r="D110">
        <v>517</v>
      </c>
      <c r="E110" s="4">
        <f t="shared" si="3"/>
        <v>1</v>
      </c>
      <c r="F110" s="4">
        <f t="shared" si="4"/>
        <v>33</v>
      </c>
      <c r="G110" s="4">
        <f t="shared" si="5"/>
        <v>1089</v>
      </c>
      <c r="H110" s="5">
        <f>SQRT(SUM('p-pi-14'!$C$3:C110)/COUNTIF($A$3:A110,"&lt;&gt;0"))</f>
        <v>20.823775585364668</v>
      </c>
    </row>
    <row r="111" spans="1:8">
      <c r="A111">
        <v>109</v>
      </c>
      <c r="B111">
        <v>497</v>
      </c>
      <c r="C111">
        <v>460</v>
      </c>
      <c r="D111">
        <v>500</v>
      </c>
      <c r="E111" s="4">
        <f t="shared" si="3"/>
        <v>1</v>
      </c>
      <c r="F111" s="4">
        <f t="shared" si="4"/>
        <v>37</v>
      </c>
      <c r="G111" s="4">
        <f t="shared" si="5"/>
        <v>1369</v>
      </c>
      <c r="H111" s="5">
        <f>SQRT(SUM('p-pi-14'!$C$3:C111)/COUNTIF($A$3:A111,"&lt;&gt;0"))</f>
        <v>20.829583760436201</v>
      </c>
    </row>
    <row r="112" spans="1:8">
      <c r="A112">
        <v>110</v>
      </c>
      <c r="B112">
        <v>497</v>
      </c>
      <c r="C112">
        <v>533</v>
      </c>
      <c r="D112">
        <v>523</v>
      </c>
      <c r="E112" s="4">
        <f t="shared" si="3"/>
        <v>1</v>
      </c>
      <c r="F112" s="4">
        <f t="shared" si="4"/>
        <v>36</v>
      </c>
      <c r="G112" s="4">
        <f t="shared" si="5"/>
        <v>1296</v>
      </c>
      <c r="H112" s="5">
        <f>SQRT(SUM('p-pi-14'!$C$3:C112)/COUNTIF($A$3:A112,"&lt;&gt;0"))</f>
        <v>20.851204456163373</v>
      </c>
    </row>
    <row r="113" spans="1:8">
      <c r="A113">
        <v>111</v>
      </c>
      <c r="B113">
        <v>497</v>
      </c>
      <c r="C113">
        <v>479</v>
      </c>
      <c r="D113">
        <v>499</v>
      </c>
      <c r="E113" s="4">
        <f t="shared" si="3"/>
        <v>1</v>
      </c>
      <c r="F113" s="4">
        <f t="shared" si="4"/>
        <v>18</v>
      </c>
      <c r="G113" s="4">
        <f t="shared" si="5"/>
        <v>324</v>
      </c>
      <c r="H113" s="5">
        <f>SQRT(SUM('p-pi-14'!$C$3:C113)/COUNTIF($A$3:A113,"&lt;&gt;0"))</f>
        <v>20.860756725755927</v>
      </c>
    </row>
    <row r="114" spans="1:8">
      <c r="A114">
        <v>112</v>
      </c>
      <c r="B114">
        <v>497</v>
      </c>
      <c r="C114">
        <v>529</v>
      </c>
      <c r="D114">
        <v>516</v>
      </c>
      <c r="E114" s="4">
        <f t="shared" si="3"/>
        <v>1</v>
      </c>
      <c r="F114" s="4">
        <f t="shared" si="4"/>
        <v>32</v>
      </c>
      <c r="G114" s="4">
        <f t="shared" si="5"/>
        <v>1024</v>
      </c>
      <c r="H114" s="5">
        <f>SQRT(SUM('p-pi-14'!$C$3:C114)/COUNTIF($A$3:A114,"&lt;&gt;0"))</f>
        <v>20.880826817236635</v>
      </c>
    </row>
    <row r="115" spans="1:8">
      <c r="A115">
        <v>113</v>
      </c>
      <c r="B115">
        <v>497</v>
      </c>
      <c r="C115">
        <v>459</v>
      </c>
      <c r="D115">
        <v>499</v>
      </c>
      <c r="E115" s="4">
        <f t="shared" si="3"/>
        <v>1</v>
      </c>
      <c r="F115" s="4">
        <f t="shared" si="4"/>
        <v>38</v>
      </c>
      <c r="G115" s="4">
        <f t="shared" si="5"/>
        <v>1444</v>
      </c>
      <c r="H115" s="5">
        <f>SQRT(SUM('p-pi-14'!$C$3:C115)/COUNTIF($A$3:A115,"&lt;&gt;0"))</f>
        <v>20.885698201892389</v>
      </c>
    </row>
    <row r="116" spans="1:8">
      <c r="A116">
        <v>114</v>
      </c>
      <c r="B116">
        <v>497</v>
      </c>
      <c r="C116">
        <v>533</v>
      </c>
      <c r="D116">
        <v>523</v>
      </c>
      <c r="E116" s="4">
        <f t="shared" si="3"/>
        <v>1</v>
      </c>
      <c r="F116" s="4">
        <f t="shared" si="4"/>
        <v>36</v>
      </c>
      <c r="G116" s="4">
        <f t="shared" si="5"/>
        <v>1296</v>
      </c>
      <c r="H116" s="5">
        <f>SQRT(SUM('p-pi-14'!$C$3:C116)/COUNTIF($A$3:A116,"&lt;&gt;0"))</f>
        <v>20.906013572863955</v>
      </c>
    </row>
    <row r="117" spans="1:8">
      <c r="A117">
        <v>115</v>
      </c>
      <c r="B117">
        <v>497</v>
      </c>
      <c r="C117">
        <v>478</v>
      </c>
      <c r="D117">
        <v>498</v>
      </c>
      <c r="E117" s="4">
        <f t="shared" si="3"/>
        <v>1</v>
      </c>
      <c r="F117" s="4">
        <f t="shared" si="4"/>
        <v>19</v>
      </c>
      <c r="G117" s="4">
        <f t="shared" si="5"/>
        <v>361</v>
      </c>
      <c r="H117" s="5">
        <f>SQRT(SUM('p-pi-14'!$C$3:C117)/COUNTIF($A$3:A117,"&lt;&gt;0"))</f>
        <v>20.914525844597765</v>
      </c>
    </row>
    <row r="118" spans="1:8">
      <c r="A118">
        <v>116</v>
      </c>
      <c r="B118">
        <v>497</v>
      </c>
      <c r="C118">
        <v>528</v>
      </c>
      <c r="D118">
        <v>515</v>
      </c>
      <c r="E118" s="4">
        <f t="shared" si="3"/>
        <v>1</v>
      </c>
      <c r="F118" s="4">
        <f t="shared" si="4"/>
        <v>31</v>
      </c>
      <c r="G118" s="4">
        <f t="shared" si="5"/>
        <v>961</v>
      </c>
      <c r="H118" s="5">
        <f>SQRT(SUM('p-pi-14'!$C$3:C118)/COUNTIF($A$3:A118,"&lt;&gt;0"))</f>
        <v>20.933185994063802</v>
      </c>
    </row>
    <row r="119" spans="1:8">
      <c r="A119">
        <v>117</v>
      </c>
      <c r="B119">
        <v>497</v>
      </c>
      <c r="C119">
        <v>398</v>
      </c>
      <c r="D119">
        <v>498</v>
      </c>
      <c r="E119" s="4">
        <f t="shared" si="3"/>
        <v>1</v>
      </c>
      <c r="F119" s="4">
        <f t="shared" si="4"/>
        <v>99</v>
      </c>
      <c r="G119" s="4">
        <f t="shared" si="5"/>
        <v>9801</v>
      </c>
      <c r="H119" s="5">
        <f>SQRT(SUM('p-pi-14'!$C$3:C119)/COUNTIF($A$3:A119,"&lt;&gt;0"))</f>
        <v>20.924977917663398</v>
      </c>
    </row>
    <row r="120" spans="1:8">
      <c r="A120">
        <v>118</v>
      </c>
      <c r="B120">
        <v>497</v>
      </c>
      <c r="C120">
        <v>426</v>
      </c>
      <c r="D120">
        <v>544</v>
      </c>
      <c r="E120" s="4">
        <f t="shared" si="3"/>
        <v>1</v>
      </c>
      <c r="F120" s="4">
        <f t="shared" si="4"/>
        <v>71</v>
      </c>
      <c r="G120" s="4">
        <f t="shared" si="5"/>
        <v>5041</v>
      </c>
      <c r="H120" s="5">
        <f>SQRT(SUM('p-pi-14'!$C$3:C120)/COUNTIF($A$3:A120,"&lt;&gt;0"))</f>
        <v>20.922577214294982</v>
      </c>
    </row>
    <row r="121" spans="1:8">
      <c r="A121">
        <v>119</v>
      </c>
      <c r="B121">
        <v>497</v>
      </c>
      <c r="C121">
        <v>492</v>
      </c>
      <c r="D121">
        <v>541</v>
      </c>
      <c r="E121" s="4">
        <f t="shared" si="3"/>
        <v>1</v>
      </c>
      <c r="F121" s="4">
        <f t="shared" si="4"/>
        <v>5</v>
      </c>
      <c r="G121" s="4">
        <f t="shared" si="5"/>
        <v>25</v>
      </c>
      <c r="H121" s="5">
        <f>SQRT(SUM('p-pi-14'!$C$3:C121)/COUNTIF($A$3:A121,"&lt;&gt;0"))</f>
        <v>20.933468036462887</v>
      </c>
    </row>
    <row r="122" spans="1:8">
      <c r="A122">
        <v>120</v>
      </c>
      <c r="B122">
        <v>497</v>
      </c>
      <c r="C122">
        <v>626</v>
      </c>
      <c r="D122">
        <v>522</v>
      </c>
      <c r="E122" s="4">
        <f t="shared" si="3"/>
        <v>0</v>
      </c>
      <c r="F122" s="4">
        <f t="shared" si="4"/>
        <v>129</v>
      </c>
      <c r="G122" s="4">
        <f t="shared" si="5"/>
        <v>16641</v>
      </c>
      <c r="H122" s="5">
        <f>SQRT(SUM('p-pi-14'!$C$3:C122)/COUNTIF($A$3:A122,"&lt;&gt;0"))</f>
        <v>20.97081305052334</v>
      </c>
    </row>
    <row r="123" spans="1:8">
      <c r="A123">
        <v>121</v>
      </c>
      <c r="B123">
        <v>497</v>
      </c>
      <c r="C123">
        <v>552</v>
      </c>
      <c r="D123">
        <v>472</v>
      </c>
      <c r="E123" s="4">
        <f t="shared" si="3"/>
        <v>1</v>
      </c>
      <c r="F123" s="4">
        <f t="shared" si="4"/>
        <v>55</v>
      </c>
      <c r="G123" s="4">
        <f t="shared" si="5"/>
        <v>3025</v>
      </c>
      <c r="H123" s="5">
        <f>SQRT(SUM('p-pi-14'!$C$3:C123)/COUNTIF($A$3:A123,"&lt;&gt;0"))</f>
        <v>20.992914979555437</v>
      </c>
    </row>
    <row r="124" spans="1:8">
      <c r="A124">
        <v>122</v>
      </c>
      <c r="B124">
        <v>497</v>
      </c>
      <c r="C124">
        <v>550</v>
      </c>
      <c r="D124">
        <v>490</v>
      </c>
      <c r="E124" s="4">
        <f t="shared" si="3"/>
        <v>1</v>
      </c>
      <c r="F124" s="4">
        <f t="shared" si="4"/>
        <v>53</v>
      </c>
      <c r="G124" s="4">
        <f t="shared" si="5"/>
        <v>2809</v>
      </c>
      <c r="H124" s="5">
        <f>SQRT(SUM('p-pi-14'!$C$3:C124)/COUNTIF($A$3:A124,"&lt;&gt;0"))</f>
        <v>21.014241852984792</v>
      </c>
    </row>
    <row r="125" spans="1:8">
      <c r="A125">
        <v>123</v>
      </c>
      <c r="B125">
        <v>497</v>
      </c>
      <c r="C125">
        <v>507</v>
      </c>
      <c r="D125">
        <v>487</v>
      </c>
      <c r="E125" s="4">
        <f t="shared" si="3"/>
        <v>1</v>
      </c>
      <c r="F125" s="4">
        <f t="shared" si="4"/>
        <v>10</v>
      </c>
      <c r="G125" s="4">
        <f t="shared" si="5"/>
        <v>100</v>
      </c>
      <c r="H125" s="5">
        <f>SQRT(SUM('p-pi-14'!$C$3:C125)/COUNTIF($A$3:A125,"&lt;&gt;0"))</f>
        <v>21.026889482298923</v>
      </c>
    </row>
    <row r="126" spans="1:8">
      <c r="A126">
        <v>124</v>
      </c>
      <c r="B126">
        <v>497</v>
      </c>
      <c r="C126">
        <v>559</v>
      </c>
      <c r="D126">
        <v>499</v>
      </c>
      <c r="E126" s="4">
        <f t="shared" si="3"/>
        <v>1</v>
      </c>
      <c r="F126" s="4">
        <f t="shared" si="4"/>
        <v>62</v>
      </c>
      <c r="G126" s="4">
        <f t="shared" si="5"/>
        <v>3844</v>
      </c>
      <c r="H126" s="5">
        <f>SQRT(SUM('p-pi-14'!$C$3:C126)/COUNTIF($A$3:A126,"&lt;&gt;0"))</f>
        <v>21.049289314491386</v>
      </c>
    </row>
    <row r="127" spans="1:8">
      <c r="A127">
        <v>125</v>
      </c>
      <c r="B127">
        <v>497</v>
      </c>
      <c r="C127">
        <v>559</v>
      </c>
      <c r="D127">
        <v>479</v>
      </c>
      <c r="E127" s="4">
        <f t="shared" si="3"/>
        <v>1</v>
      </c>
      <c r="F127" s="4">
        <f t="shared" si="4"/>
        <v>62</v>
      </c>
      <c r="G127" s="4">
        <f t="shared" si="5"/>
        <v>3844</v>
      </c>
      <c r="H127" s="5">
        <f>SQRT(SUM('p-pi-14'!$C$3:C127)/COUNTIF($A$3:A127,"&lt;&gt;0"))</f>
        <v>21.071307505705477</v>
      </c>
    </row>
    <row r="128" spans="1:8">
      <c r="A128">
        <v>126</v>
      </c>
      <c r="B128">
        <v>497</v>
      </c>
      <c r="C128">
        <v>569</v>
      </c>
      <c r="D128">
        <v>474</v>
      </c>
      <c r="E128" s="4">
        <f t="shared" si="3"/>
        <v>1</v>
      </c>
      <c r="F128" s="4">
        <f t="shared" si="4"/>
        <v>72</v>
      </c>
      <c r="G128" s="4">
        <f t="shared" si="5"/>
        <v>5184</v>
      </c>
      <c r="H128" s="5">
        <f>SQRT(SUM('p-pi-14'!$C$3:C128)/COUNTIF($A$3:A128,"&lt;&gt;0"))</f>
        <v>21.094834995611212</v>
      </c>
    </row>
    <row r="129" spans="1:8">
      <c r="A129">
        <v>127</v>
      </c>
      <c r="B129">
        <v>497</v>
      </c>
      <c r="C129">
        <v>505</v>
      </c>
      <c r="D129">
        <v>465</v>
      </c>
      <c r="E129" s="4">
        <f t="shared" si="3"/>
        <v>1</v>
      </c>
      <c r="F129" s="4">
        <f t="shared" si="4"/>
        <v>8</v>
      </c>
      <c r="G129" s="4">
        <f t="shared" si="5"/>
        <v>64</v>
      </c>
      <c r="H129" s="5">
        <f>SQRT(SUM('p-pi-14'!$C$3:C129)/COUNTIF($A$3:A129,"&lt;&gt;0"))</f>
        <v>21.106031529615745</v>
      </c>
    </row>
    <row r="130" spans="1:8">
      <c r="A130">
        <v>128</v>
      </c>
      <c r="B130">
        <v>497</v>
      </c>
      <c r="C130">
        <v>480</v>
      </c>
      <c r="D130">
        <v>484</v>
      </c>
      <c r="E130" s="4">
        <f t="shared" si="3"/>
        <v>1</v>
      </c>
      <c r="F130" s="4">
        <f t="shared" si="4"/>
        <v>17</v>
      </c>
      <c r="G130" s="4">
        <f t="shared" si="5"/>
        <v>289</v>
      </c>
      <c r="H130" s="5">
        <f>SQRT(SUM('p-pi-14'!$C$3:C130)/COUNTIF($A$3:A130,"&lt;&gt;0"))</f>
        <v>21.112422291153614</v>
      </c>
    </row>
    <row r="131" spans="1:8">
      <c r="A131">
        <v>129</v>
      </c>
      <c r="B131">
        <v>497</v>
      </c>
      <c r="C131">
        <v>533</v>
      </c>
      <c r="D131">
        <v>493</v>
      </c>
      <c r="E131" s="4">
        <f t="shared" si="3"/>
        <v>1</v>
      </c>
      <c r="F131" s="4">
        <f t="shared" si="4"/>
        <v>36</v>
      </c>
      <c r="G131" s="4">
        <f t="shared" si="5"/>
        <v>1296</v>
      </c>
      <c r="H131" s="5">
        <f>SQRT(SUM('p-pi-14'!$C$3:C131)/COUNTIF($A$3:A131,"&lt;&gt;0"))</f>
        <v>21.128437062716642</v>
      </c>
    </row>
    <row r="132" spans="1:8">
      <c r="A132">
        <v>130</v>
      </c>
      <c r="B132">
        <v>497</v>
      </c>
      <c r="C132">
        <v>554</v>
      </c>
      <c r="D132">
        <v>474</v>
      </c>
      <c r="E132" s="4">
        <f t="shared" ref="E132:E152" si="6">IF(AND(C132&lt;=B132*1.2,C132&gt;=B132*0.8),1,0)</f>
        <v>1</v>
      </c>
      <c r="F132" s="4">
        <f t="shared" ref="F132:F152" si="7">ABS(B132-C132)</f>
        <v>57</v>
      </c>
      <c r="G132" s="4">
        <f t="shared" ref="G132:G152" si="8">POWER(F132,2)</f>
        <v>3249</v>
      </c>
      <c r="H132" s="5">
        <f>SQRT(SUM('p-pi-14'!$C$3:C132)/COUNTIF($A$3:A132,"&lt;&gt;0"))</f>
        <v>21.148013181820687</v>
      </c>
    </row>
    <row r="133" spans="1:8">
      <c r="A133">
        <v>131</v>
      </c>
      <c r="B133">
        <v>497</v>
      </c>
      <c r="C133">
        <v>544</v>
      </c>
      <c r="D133">
        <v>464</v>
      </c>
      <c r="E133" s="4">
        <f t="shared" si="6"/>
        <v>1</v>
      </c>
      <c r="F133" s="4">
        <f t="shared" si="7"/>
        <v>47</v>
      </c>
      <c r="G133" s="4">
        <f t="shared" si="8"/>
        <v>2209</v>
      </c>
      <c r="H133" s="5">
        <f>SQRT(SUM('p-pi-14'!$C$3:C133)/COUNTIF($A$3:A133,"&lt;&gt;0"))</f>
        <v>21.165469501918476</v>
      </c>
    </row>
    <row r="134" spans="1:8">
      <c r="A134">
        <v>132</v>
      </c>
      <c r="B134">
        <v>497</v>
      </c>
      <c r="C134">
        <v>483</v>
      </c>
      <c r="D134">
        <v>463</v>
      </c>
      <c r="E134" s="4">
        <f t="shared" si="6"/>
        <v>1</v>
      </c>
      <c r="F134" s="4">
        <f t="shared" si="7"/>
        <v>14</v>
      </c>
      <c r="G134" s="4">
        <f t="shared" si="8"/>
        <v>196</v>
      </c>
      <c r="H134" s="5">
        <f>SQRT(SUM('p-pi-14'!$C$3:C134)/COUNTIF($A$3:A134,"&lt;&gt;0"))</f>
        <v>21.17173644844523</v>
      </c>
    </row>
    <row r="135" spans="1:8">
      <c r="A135">
        <v>133</v>
      </c>
      <c r="B135">
        <v>497</v>
      </c>
      <c r="C135">
        <v>543</v>
      </c>
      <c r="D135">
        <v>483</v>
      </c>
      <c r="E135" s="4">
        <f t="shared" si="6"/>
        <v>1</v>
      </c>
      <c r="F135" s="4">
        <f t="shared" si="7"/>
        <v>46</v>
      </c>
      <c r="G135" s="4">
        <f t="shared" si="8"/>
        <v>2116</v>
      </c>
      <c r="H135" s="5">
        <f>SQRT(SUM('p-pi-14'!$C$3:C135)/COUNTIF($A$3:A135,"&lt;&gt;0"))</f>
        <v>21.188555571771406</v>
      </c>
    </row>
    <row r="136" spans="1:8">
      <c r="A136">
        <v>134</v>
      </c>
      <c r="B136">
        <v>497</v>
      </c>
      <c r="C136">
        <v>485</v>
      </c>
      <c r="D136">
        <v>461</v>
      </c>
      <c r="E136" s="4">
        <f t="shared" si="6"/>
        <v>1</v>
      </c>
      <c r="F136" s="4">
        <f t="shared" si="7"/>
        <v>12</v>
      </c>
      <c r="G136" s="4">
        <f t="shared" si="8"/>
        <v>144</v>
      </c>
      <c r="H136" s="5">
        <f>SQRT(SUM('p-pi-14'!$C$3:C136)/COUNTIF($A$3:A136,"&lt;&gt;0"))</f>
        <v>21.194902231362494</v>
      </c>
    </row>
    <row r="137" spans="1:8">
      <c r="A137">
        <v>135</v>
      </c>
      <c r="B137">
        <v>497</v>
      </c>
      <c r="C137">
        <v>559</v>
      </c>
      <c r="D137">
        <v>479</v>
      </c>
      <c r="E137" s="4">
        <f t="shared" si="6"/>
        <v>1</v>
      </c>
      <c r="F137" s="4">
        <f t="shared" si="7"/>
        <v>62</v>
      </c>
      <c r="G137" s="4">
        <f t="shared" si="8"/>
        <v>3844</v>
      </c>
      <c r="H137" s="5">
        <f>SQRT(SUM('p-pi-14'!$C$3:C137)/COUNTIF($A$3:A137,"&lt;&gt;0"))</f>
        <v>21.214076388969588</v>
      </c>
    </row>
    <row r="138" spans="1:8">
      <c r="A138">
        <v>136</v>
      </c>
      <c r="B138">
        <v>497</v>
      </c>
      <c r="C138">
        <v>493</v>
      </c>
      <c r="D138">
        <v>453</v>
      </c>
      <c r="E138" s="4">
        <f t="shared" si="6"/>
        <v>1</v>
      </c>
      <c r="F138" s="4">
        <f t="shared" si="7"/>
        <v>4</v>
      </c>
      <c r="G138" s="4">
        <f t="shared" si="8"/>
        <v>16</v>
      </c>
      <c r="H138" s="5">
        <f>SQRT(SUM('p-pi-14'!$C$3:C138)/COUNTIF($A$3:A138,"&lt;&gt;0"))</f>
        <v>21.221520708386347</v>
      </c>
    </row>
    <row r="139" spans="1:8">
      <c r="A139">
        <v>137</v>
      </c>
      <c r="B139">
        <v>497</v>
      </c>
      <c r="C139">
        <v>533</v>
      </c>
      <c r="D139">
        <v>473</v>
      </c>
      <c r="E139" s="4">
        <f t="shared" si="6"/>
        <v>1</v>
      </c>
      <c r="F139" s="4">
        <f t="shared" si="7"/>
        <v>36</v>
      </c>
      <c r="G139" s="4">
        <f t="shared" si="8"/>
        <v>1296</v>
      </c>
      <c r="H139" s="5">
        <f>SQRT(SUM('p-pi-14'!$C$3:C139)/COUNTIF($A$3:A139,"&lt;&gt;0"))</f>
        <v>21.235729428949739</v>
      </c>
    </row>
    <row r="140" spans="1:8">
      <c r="A140">
        <v>138</v>
      </c>
      <c r="B140">
        <v>497</v>
      </c>
      <c r="C140">
        <v>498</v>
      </c>
      <c r="D140">
        <v>458</v>
      </c>
      <c r="E140" s="4">
        <f t="shared" si="6"/>
        <v>1</v>
      </c>
      <c r="F140" s="4">
        <f t="shared" si="7"/>
        <v>1</v>
      </c>
      <c r="G140" s="4">
        <f t="shared" si="8"/>
        <v>1</v>
      </c>
      <c r="H140" s="5">
        <f>SQRT(SUM('p-pi-14'!$C$3:C140)/COUNTIF($A$3:A140,"&lt;&gt;0"))</f>
        <v>21.243754410397315</v>
      </c>
    </row>
    <row r="141" spans="1:8">
      <c r="A141">
        <v>139</v>
      </c>
      <c r="B141">
        <v>497</v>
      </c>
      <c r="C141">
        <v>488</v>
      </c>
      <c r="D141">
        <v>468</v>
      </c>
      <c r="E141" s="4">
        <f t="shared" si="6"/>
        <v>1</v>
      </c>
      <c r="F141" s="4">
        <f t="shared" si="7"/>
        <v>9</v>
      </c>
      <c r="G141" s="4">
        <f t="shared" si="8"/>
        <v>81</v>
      </c>
      <c r="H141" s="5">
        <f>SQRT(SUM('p-pi-14'!$C$3:C141)/COUNTIF($A$3:A141,"&lt;&gt;0"))</f>
        <v>21.249968260661866</v>
      </c>
    </row>
    <row r="142" spans="1:8">
      <c r="A142">
        <v>140</v>
      </c>
      <c r="B142">
        <v>497</v>
      </c>
      <c r="C142">
        <v>511</v>
      </c>
      <c r="D142">
        <v>472</v>
      </c>
      <c r="E142" s="4">
        <f t="shared" si="6"/>
        <v>1</v>
      </c>
      <c r="F142" s="4">
        <f t="shared" si="7"/>
        <v>14</v>
      </c>
      <c r="G142" s="4">
        <f t="shared" si="8"/>
        <v>196</v>
      </c>
      <c r="H142" s="5">
        <f>SQRT(SUM('p-pi-14'!$C$3:C142)/COUNTIF($A$3:A142,"&lt;&gt;0"))</f>
        <v>21.259955651075906</v>
      </c>
    </row>
    <row r="143" spans="1:8">
      <c r="A143">
        <v>141</v>
      </c>
      <c r="B143">
        <v>497</v>
      </c>
      <c r="C143">
        <v>504</v>
      </c>
      <c r="D143">
        <v>464</v>
      </c>
      <c r="E143" s="4">
        <f t="shared" si="6"/>
        <v>1</v>
      </c>
      <c r="F143" s="4">
        <f t="shared" si="7"/>
        <v>7</v>
      </c>
      <c r="G143" s="4">
        <f t="shared" si="8"/>
        <v>49</v>
      </c>
      <c r="H143" s="5">
        <f>SQRT(SUM('p-pi-14'!$C$3:C143)/COUNTIF($A$3:A143,"&lt;&gt;0"))</f>
        <v>21.268629714419262</v>
      </c>
    </row>
    <row r="144" spans="1:8">
      <c r="A144">
        <v>142</v>
      </c>
      <c r="B144">
        <v>497</v>
      </c>
      <c r="C144">
        <v>546</v>
      </c>
      <c r="D144">
        <v>466</v>
      </c>
      <c r="E144" s="4">
        <f t="shared" si="6"/>
        <v>1</v>
      </c>
      <c r="F144" s="4">
        <f t="shared" si="7"/>
        <v>49</v>
      </c>
      <c r="G144" s="4">
        <f t="shared" si="8"/>
        <v>2401</v>
      </c>
      <c r="H144" s="5">
        <f>SQRT(SUM('p-pi-14'!$C$3:C144)/COUNTIF($A$3:A144,"&lt;&gt;0"))</f>
        <v>21.284127525154567</v>
      </c>
    </row>
    <row r="145" spans="1:8">
      <c r="A145">
        <v>143</v>
      </c>
      <c r="B145">
        <v>497</v>
      </c>
      <c r="C145">
        <v>509</v>
      </c>
      <c r="D145">
        <v>449</v>
      </c>
      <c r="E145" s="4">
        <f t="shared" si="6"/>
        <v>1</v>
      </c>
      <c r="F145" s="4">
        <f t="shared" si="7"/>
        <v>12</v>
      </c>
      <c r="G145" s="4">
        <f t="shared" si="8"/>
        <v>144</v>
      </c>
      <c r="H145" s="5">
        <f>SQRT(SUM('p-pi-14'!$C$3:C145)/COUNTIF($A$3:A145,"&lt;&gt;0"))</f>
        <v>21.293322765730913</v>
      </c>
    </row>
    <row r="146" spans="1:8">
      <c r="A146">
        <v>144</v>
      </c>
      <c r="B146">
        <v>497</v>
      </c>
      <c r="C146">
        <v>540</v>
      </c>
      <c r="D146">
        <v>460</v>
      </c>
      <c r="E146" s="4">
        <f t="shared" si="6"/>
        <v>1</v>
      </c>
      <c r="F146" s="4">
        <f t="shared" si="7"/>
        <v>43</v>
      </c>
      <c r="G146" s="4">
        <f t="shared" si="8"/>
        <v>1849</v>
      </c>
      <c r="H146" s="5">
        <f>SQRT(SUM('p-pi-14'!$C$3:C146)/COUNTIF($A$3:A146,"&lt;&gt;0"))</f>
        <v>21.307438711502716</v>
      </c>
    </row>
    <row r="147" spans="1:8">
      <c r="A147">
        <v>145</v>
      </c>
      <c r="B147">
        <v>497</v>
      </c>
      <c r="C147">
        <v>507</v>
      </c>
      <c r="D147">
        <v>447</v>
      </c>
      <c r="E147" s="4">
        <f t="shared" si="6"/>
        <v>1</v>
      </c>
      <c r="F147" s="4">
        <f t="shared" si="7"/>
        <v>10</v>
      </c>
      <c r="G147" s="4">
        <f t="shared" si="8"/>
        <v>100</v>
      </c>
      <c r="H147" s="5">
        <f>SQRT(SUM('p-pi-14'!$C$3:C147)/COUNTIF($A$3:A147,"&lt;&gt;0"))</f>
        <v>21.316013083902522</v>
      </c>
    </row>
    <row r="148" spans="1:8">
      <c r="A148">
        <v>146</v>
      </c>
      <c r="B148">
        <v>497</v>
      </c>
      <c r="C148">
        <v>476</v>
      </c>
      <c r="D148">
        <v>456</v>
      </c>
      <c r="E148" s="4">
        <f t="shared" si="6"/>
        <v>1</v>
      </c>
      <c r="F148" s="4">
        <f t="shared" si="7"/>
        <v>21</v>
      </c>
      <c r="G148" s="4">
        <f t="shared" si="8"/>
        <v>441</v>
      </c>
      <c r="H148" s="5">
        <f>SQRT(SUM('p-pi-14'!$C$3:C148)/COUNTIF($A$3:A148,"&lt;&gt;0"))</f>
        <v>21.319487516007637</v>
      </c>
    </row>
    <row r="149" spans="1:8">
      <c r="A149">
        <v>147</v>
      </c>
      <c r="B149">
        <v>497</v>
      </c>
      <c r="C149">
        <v>464</v>
      </c>
      <c r="D149">
        <v>467</v>
      </c>
      <c r="E149" s="4">
        <f t="shared" si="6"/>
        <v>1</v>
      </c>
      <c r="F149" s="4">
        <f t="shared" si="7"/>
        <v>33</v>
      </c>
      <c r="G149" s="4">
        <f t="shared" si="8"/>
        <v>1089</v>
      </c>
      <c r="H149" s="5">
        <f>SQRT(SUM('p-pi-14'!$C$3:C149)/COUNTIF($A$3:A149,"&lt;&gt;0"))</f>
        <v>21.320999836161658</v>
      </c>
    </row>
    <row r="150" spans="1:8">
      <c r="A150">
        <v>148</v>
      </c>
      <c r="B150">
        <v>497</v>
      </c>
      <c r="C150">
        <v>491</v>
      </c>
      <c r="D150">
        <v>473</v>
      </c>
      <c r="E150" s="4">
        <f t="shared" si="6"/>
        <v>1</v>
      </c>
      <c r="F150" s="4">
        <f t="shared" si="7"/>
        <v>6</v>
      </c>
      <c r="G150" s="4">
        <f t="shared" si="8"/>
        <v>36</v>
      </c>
      <c r="H150" s="5">
        <f>SQRT(SUM('p-pi-14'!$C$3:C150)/COUNTIF($A$3:A150,"&lt;&gt;0"))</f>
        <v>21.326769119608368</v>
      </c>
    </row>
    <row r="151" spans="1:8">
      <c r="A151">
        <v>149</v>
      </c>
      <c r="B151">
        <v>497</v>
      </c>
      <c r="C151">
        <v>506</v>
      </c>
      <c r="D151">
        <v>465</v>
      </c>
      <c r="E151" s="4">
        <f t="shared" si="6"/>
        <v>1</v>
      </c>
      <c r="F151" s="4">
        <f t="shared" si="7"/>
        <v>9</v>
      </c>
      <c r="G151" s="4">
        <f t="shared" si="8"/>
        <v>81</v>
      </c>
      <c r="H151" s="5">
        <f>SQRT(SUM('p-pi-14'!$C$3:C151)/COUNTIF($A$3:A151,"&lt;&gt;0"))</f>
        <v>21.334818880044313</v>
      </c>
    </row>
    <row r="152" spans="1:8">
      <c r="A152">
        <v>150</v>
      </c>
      <c r="B152">
        <v>497</v>
      </c>
      <c r="C152">
        <v>520</v>
      </c>
      <c r="D152">
        <v>460</v>
      </c>
      <c r="E152" s="4">
        <f t="shared" si="6"/>
        <v>1</v>
      </c>
      <c r="F152" s="4">
        <f t="shared" si="7"/>
        <v>23</v>
      </c>
      <c r="G152" s="4">
        <f t="shared" si="8"/>
        <v>529</v>
      </c>
      <c r="H152" s="5">
        <f>SQRT(SUM('p-pi-14'!$C$3:C152)/COUNTIF($A$3:A152,"&lt;&gt;0"))</f>
        <v>21.344944756702152</v>
      </c>
    </row>
  </sheetData>
  <mergeCells count="6">
    <mergeCell ref="H1:H2"/>
    <mergeCell ref="A1:A2"/>
    <mergeCell ref="B1:C1"/>
    <mergeCell ref="E1:E2"/>
    <mergeCell ref="F1:F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902"/>
  <sheetViews>
    <sheetView topLeftCell="A880" workbookViewId="0">
      <selection activeCell="B3" sqref="B3:C902"/>
    </sheetView>
  </sheetViews>
  <sheetFormatPr defaultRowHeight="14.5"/>
  <cols>
    <col min="1" max="1" width="6.90625" style="4" bestFit="1" customWidth="1"/>
    <col min="2" max="2" width="7.90625" style="4" bestFit="1" customWidth="1"/>
    <col min="3" max="3" width="9.26953125" style="4" bestFit="1" customWidth="1"/>
    <col min="4" max="4" width="6.90625" style="4" bestFit="1" customWidth="1"/>
    <col min="5" max="5" width="9.81640625" style="4" bestFit="1" customWidth="1"/>
    <col min="6" max="6" width="17.1796875" style="4" bestFit="1" customWidth="1"/>
    <col min="7" max="7" width="13" style="4" bestFit="1" customWidth="1"/>
    <col min="8" max="8" width="6.81640625" style="4" bestFit="1" customWidth="1"/>
    <col min="9" max="9" width="17.08984375" style="4" bestFit="1" customWidth="1"/>
  </cols>
  <sheetData>
    <row r="1" spans="1:9">
      <c r="A1" s="42" t="s">
        <v>4</v>
      </c>
      <c r="B1" s="44" t="s">
        <v>9</v>
      </c>
      <c r="C1" s="44"/>
      <c r="D1" s="11"/>
      <c r="E1" s="42" t="s">
        <v>7</v>
      </c>
      <c r="F1" s="42" t="s">
        <v>10</v>
      </c>
      <c r="G1" s="42" t="s">
        <v>36</v>
      </c>
      <c r="H1" s="42" t="s">
        <v>11</v>
      </c>
      <c r="I1" s="42" t="s">
        <v>12</v>
      </c>
    </row>
    <row r="2" spans="1:9">
      <c r="A2" s="43"/>
      <c r="B2" s="15" t="s">
        <v>6</v>
      </c>
      <c r="C2" s="15" t="s">
        <v>8</v>
      </c>
      <c r="D2" s="12" t="s">
        <v>14</v>
      </c>
      <c r="E2" s="43"/>
      <c r="F2" s="43"/>
      <c r="G2" s="43"/>
      <c r="H2" s="43"/>
      <c r="I2" s="43"/>
    </row>
    <row r="3" spans="1:9">
      <c r="A3">
        <v>1</v>
      </c>
      <c r="B3">
        <v>233</v>
      </c>
      <c r="C3">
        <v>47</v>
      </c>
      <c r="D3">
        <v>233</v>
      </c>
      <c r="E3" s="4">
        <f>IF(AND(C3&lt;=B3*1.2,C3&gt;=B3*0.8),1,0)</f>
        <v>0</v>
      </c>
      <c r="F3" s="4">
        <f>ABS(B3-C3)</f>
        <v>186</v>
      </c>
      <c r="G3" s="4">
        <f>POWER(ABS(B3-C3)/B3,2)</f>
        <v>0.63725616607415869</v>
      </c>
      <c r="H3" s="4">
        <f>POWER(F3,2)</f>
        <v>34596</v>
      </c>
      <c r="I3" s="5">
        <f>SQRT(SUM('p-pi-multi'!$C$3:C3)/COUNTIF($A$3:A3,"&lt;&gt;0"))</f>
        <v>6.8556546004010439</v>
      </c>
    </row>
    <row r="4" spans="1:9">
      <c r="A4">
        <v>2</v>
      </c>
      <c r="B4">
        <v>233</v>
      </c>
      <c r="C4">
        <v>115</v>
      </c>
      <c r="D4">
        <v>69</v>
      </c>
      <c r="E4" s="4">
        <f t="shared" ref="E4:E67" si="0">IF(AND(C4&lt;=B4*1.2,C4&gt;=B4*0.8),1,0)</f>
        <v>0</v>
      </c>
      <c r="F4" s="4">
        <f t="shared" ref="F4:F67" si="1">ABS(B4-C4)</f>
        <v>118</v>
      </c>
      <c r="G4" s="4">
        <f t="shared" ref="G4:G67" si="2">POWER(ABS(B4-C4)/B4,2)</f>
        <v>0.25647921310025973</v>
      </c>
      <c r="H4" s="4">
        <f t="shared" ref="H4:H67" si="3">POWER(F4,2)</f>
        <v>13924</v>
      </c>
      <c r="I4" s="5">
        <f>SQRT(SUM('p-pi-multi'!$C$3:C4)/COUNTIF($A$3:A4,"&lt;&gt;0"))</f>
        <v>9</v>
      </c>
    </row>
    <row r="5" spans="1:9">
      <c r="A5">
        <v>3</v>
      </c>
      <c r="B5">
        <v>233</v>
      </c>
      <c r="C5">
        <v>59</v>
      </c>
      <c r="D5">
        <v>57</v>
      </c>
      <c r="E5" s="4">
        <f t="shared" si="0"/>
        <v>0</v>
      </c>
      <c r="F5" s="4">
        <f t="shared" si="1"/>
        <v>174</v>
      </c>
      <c r="G5" s="4">
        <f t="shared" si="2"/>
        <v>0.55768203503472158</v>
      </c>
      <c r="H5" s="4">
        <f t="shared" si="3"/>
        <v>30276</v>
      </c>
      <c r="I5" s="5">
        <f>SQRT(SUM('p-pi-multi'!$C$3:C5)/COUNTIF($A$3:A5,"&lt;&gt;0"))</f>
        <v>8.5829287930558227</v>
      </c>
    </row>
    <row r="6" spans="1:9">
      <c r="A6">
        <v>4</v>
      </c>
      <c r="B6">
        <v>233</v>
      </c>
      <c r="C6">
        <v>81</v>
      </c>
      <c r="D6">
        <v>87</v>
      </c>
      <c r="E6" s="4">
        <f t="shared" si="0"/>
        <v>0</v>
      </c>
      <c r="F6" s="4">
        <f t="shared" si="1"/>
        <v>152</v>
      </c>
      <c r="G6" s="4">
        <f t="shared" si="2"/>
        <v>0.42557424155906348</v>
      </c>
      <c r="H6" s="4">
        <f t="shared" si="3"/>
        <v>23104</v>
      </c>
      <c r="I6" s="5">
        <f>SQRT(SUM('p-pi-multi'!$C$3:C6)/COUNTIF($A$3:A6,"&lt;&gt;0"))</f>
        <v>8.6890735984913832</v>
      </c>
    </row>
    <row r="7" spans="1:9">
      <c r="A7">
        <v>5</v>
      </c>
      <c r="B7">
        <v>233</v>
      </c>
      <c r="C7">
        <v>91</v>
      </c>
      <c r="D7">
        <v>92</v>
      </c>
      <c r="E7" s="4">
        <f t="shared" si="0"/>
        <v>0</v>
      </c>
      <c r="F7" s="4">
        <f t="shared" si="1"/>
        <v>142</v>
      </c>
      <c r="G7" s="4">
        <f t="shared" si="2"/>
        <v>0.37141962460166883</v>
      </c>
      <c r="H7" s="4">
        <f t="shared" si="3"/>
        <v>20164</v>
      </c>
      <c r="I7" s="5">
        <f>SQRT(SUM('p-pi-multi'!$C$3:C7)/COUNTIF($A$3:A7,"&lt;&gt;0"))</f>
        <v>8.8656641037206008</v>
      </c>
    </row>
    <row r="8" spans="1:9">
      <c r="A8">
        <v>6</v>
      </c>
      <c r="B8">
        <v>233</v>
      </c>
      <c r="C8">
        <v>98</v>
      </c>
      <c r="D8">
        <v>100</v>
      </c>
      <c r="E8" s="4">
        <f t="shared" si="0"/>
        <v>0</v>
      </c>
      <c r="F8" s="4">
        <f t="shared" si="1"/>
        <v>135</v>
      </c>
      <c r="G8" s="4">
        <f t="shared" si="2"/>
        <v>0.33570336532262529</v>
      </c>
      <c r="H8" s="4">
        <f t="shared" si="3"/>
        <v>18225</v>
      </c>
      <c r="I8" s="5">
        <f>SQRT(SUM('p-pi-multi'!$C$3:C8)/COUNTIF($A$3:A8,"&lt;&gt;0"))</f>
        <v>9.0461778300746065</v>
      </c>
    </row>
    <row r="9" spans="1:9">
      <c r="A9">
        <v>7</v>
      </c>
      <c r="B9">
        <v>233</v>
      </c>
      <c r="C9">
        <v>106</v>
      </c>
      <c r="D9">
        <v>108</v>
      </c>
      <c r="E9" s="4">
        <f t="shared" si="0"/>
        <v>0</v>
      </c>
      <c r="F9" s="4">
        <f t="shared" si="1"/>
        <v>127</v>
      </c>
      <c r="G9" s="4">
        <f t="shared" si="2"/>
        <v>0.29709517581830575</v>
      </c>
      <c r="H9" s="4">
        <f t="shared" si="3"/>
        <v>16129</v>
      </c>
      <c r="I9" s="5">
        <f>SQRT(SUM('p-pi-multi'!$C$3:C9)/COUNTIF($A$3:A9,"&lt;&gt;0"))</f>
        <v>9.2350264907965638</v>
      </c>
    </row>
    <row r="10" spans="1:9">
      <c r="A10">
        <v>8</v>
      </c>
      <c r="B10">
        <v>233</v>
      </c>
      <c r="C10">
        <v>113</v>
      </c>
      <c r="D10">
        <v>115</v>
      </c>
      <c r="E10" s="4">
        <f t="shared" si="0"/>
        <v>0</v>
      </c>
      <c r="F10" s="4">
        <f t="shared" si="1"/>
        <v>120</v>
      </c>
      <c r="G10" s="4">
        <f t="shared" si="2"/>
        <v>0.26524710346479025</v>
      </c>
      <c r="H10" s="4">
        <f t="shared" si="3"/>
        <v>14400</v>
      </c>
      <c r="I10" s="5">
        <f>SQRT(SUM('p-pi-multi'!$C$3:C10)/COUNTIF($A$3:A10,"&lt;&gt;0"))</f>
        <v>9.4207218407083868</v>
      </c>
    </row>
    <row r="11" spans="1:9">
      <c r="A11">
        <v>9</v>
      </c>
      <c r="B11">
        <v>233</v>
      </c>
      <c r="C11">
        <v>120</v>
      </c>
      <c r="D11">
        <v>122</v>
      </c>
      <c r="E11" s="4">
        <f t="shared" si="0"/>
        <v>0</v>
      </c>
      <c r="F11" s="4">
        <f t="shared" si="1"/>
        <v>113</v>
      </c>
      <c r="G11" s="4">
        <f t="shared" si="2"/>
        <v>0.23520418500985465</v>
      </c>
      <c r="H11" s="4">
        <f t="shared" si="3"/>
        <v>12769</v>
      </c>
      <c r="I11" s="5">
        <f>SQRT(SUM('p-pi-multi'!$C$3:C11)/COUNTIF($A$3:A11,"&lt;&gt;0"))</f>
        <v>9.6032401939252896</v>
      </c>
    </row>
    <row r="12" spans="1:9">
      <c r="A12">
        <v>10</v>
      </c>
      <c r="B12">
        <v>233</v>
      </c>
      <c r="C12">
        <v>126</v>
      </c>
      <c r="D12">
        <v>128</v>
      </c>
      <c r="E12" s="4">
        <f t="shared" si="0"/>
        <v>0</v>
      </c>
      <c r="F12" s="4">
        <f t="shared" si="1"/>
        <v>107</v>
      </c>
      <c r="G12" s="4">
        <f t="shared" si="2"/>
        <v>0.21088986719224889</v>
      </c>
      <c r="H12" s="4">
        <f t="shared" si="3"/>
        <v>11449</v>
      </c>
      <c r="I12" s="5">
        <f>SQRT(SUM('p-pi-multi'!$C$3:C12)/COUNTIF($A$3:A12,"&lt;&gt;0"))</f>
        <v>9.7775252492642526</v>
      </c>
    </row>
    <row r="13" spans="1:9">
      <c r="A13">
        <v>11</v>
      </c>
      <c r="B13">
        <v>233</v>
      </c>
      <c r="C13">
        <v>106</v>
      </c>
      <c r="D13">
        <v>134</v>
      </c>
      <c r="E13" s="4">
        <f t="shared" si="0"/>
        <v>0</v>
      </c>
      <c r="F13" s="4">
        <f t="shared" si="1"/>
        <v>127</v>
      </c>
      <c r="G13" s="4">
        <f t="shared" si="2"/>
        <v>0.29709517581830575</v>
      </c>
      <c r="H13" s="4">
        <f t="shared" si="3"/>
        <v>16129</v>
      </c>
      <c r="I13" s="5">
        <f>SQRT(SUM('p-pi-multi'!$C$3:C13)/COUNTIF($A$3:A13,"&lt;&gt;0"))</f>
        <v>9.82575465526463</v>
      </c>
    </row>
    <row r="14" spans="1:9">
      <c r="A14">
        <v>12</v>
      </c>
      <c r="B14">
        <v>233</v>
      </c>
      <c r="C14">
        <v>166</v>
      </c>
      <c r="D14">
        <v>150</v>
      </c>
      <c r="E14" s="4">
        <f t="shared" si="0"/>
        <v>0</v>
      </c>
      <c r="F14" s="4">
        <f t="shared" si="1"/>
        <v>67</v>
      </c>
      <c r="G14" s="4">
        <f t="shared" si="2"/>
        <v>8.268710051760024E-2</v>
      </c>
      <c r="H14" s="4">
        <f t="shared" si="3"/>
        <v>4489</v>
      </c>
      <c r="I14" s="5">
        <f>SQRT(SUM('p-pi-multi'!$C$3:C14)/COUNTIF($A$3:A14,"&lt;&gt;0"))</f>
        <v>10.115993936995679</v>
      </c>
    </row>
    <row r="15" spans="1:9">
      <c r="A15">
        <v>13</v>
      </c>
      <c r="B15">
        <v>233</v>
      </c>
      <c r="C15">
        <v>132</v>
      </c>
      <c r="D15">
        <v>137</v>
      </c>
      <c r="E15" s="4">
        <f t="shared" si="0"/>
        <v>0</v>
      </c>
      <c r="F15" s="4">
        <f t="shared" si="1"/>
        <v>101</v>
      </c>
      <c r="G15" s="4">
        <f t="shared" si="2"/>
        <v>0.18790178489196704</v>
      </c>
      <c r="H15" s="4">
        <f t="shared" si="3"/>
        <v>10201</v>
      </c>
      <c r="I15" s="5">
        <f>SQRT(SUM('p-pi-multi'!$C$3:C15)/COUNTIF($A$3:A15,"&lt;&gt;0"))</f>
        <v>10.228166239135176</v>
      </c>
    </row>
    <row r="16" spans="1:9">
      <c r="A16">
        <v>14</v>
      </c>
      <c r="B16">
        <v>233</v>
      </c>
      <c r="C16">
        <v>140</v>
      </c>
      <c r="D16">
        <v>155</v>
      </c>
      <c r="E16" s="4">
        <f t="shared" si="0"/>
        <v>0</v>
      </c>
      <c r="F16" s="4">
        <f t="shared" si="1"/>
        <v>93</v>
      </c>
      <c r="G16" s="4">
        <f t="shared" si="2"/>
        <v>0.15931404151853967</v>
      </c>
      <c r="H16" s="4">
        <f t="shared" si="3"/>
        <v>8649</v>
      </c>
      <c r="I16" s="5">
        <f>SQRT(SUM('p-pi-multi'!$C$3:C16)/COUNTIF($A$3:A16,"&lt;&gt;0"))</f>
        <v>10.350983390135314</v>
      </c>
    </row>
    <row r="17" spans="1:9">
      <c r="A17">
        <v>15</v>
      </c>
      <c r="B17">
        <v>233</v>
      </c>
      <c r="C17">
        <v>158</v>
      </c>
      <c r="D17">
        <v>159</v>
      </c>
      <c r="E17" s="4">
        <f t="shared" si="0"/>
        <v>0</v>
      </c>
      <c r="F17" s="4">
        <f t="shared" si="1"/>
        <v>75</v>
      </c>
      <c r="G17" s="4">
        <f t="shared" si="2"/>
        <v>0.10361214979093371</v>
      </c>
      <c r="H17" s="4">
        <f t="shared" si="3"/>
        <v>5625</v>
      </c>
      <c r="I17" s="5">
        <f>SQRT(SUM('p-pi-multi'!$C$3:C17)/COUNTIF($A$3:A17,"&lt;&gt;0"))</f>
        <v>10.513483406242354</v>
      </c>
    </row>
    <row r="18" spans="1:9">
      <c r="A18">
        <v>16</v>
      </c>
      <c r="B18">
        <v>233</v>
      </c>
      <c r="C18">
        <v>179</v>
      </c>
      <c r="D18">
        <v>159</v>
      </c>
      <c r="E18" s="4">
        <f t="shared" si="0"/>
        <v>0</v>
      </c>
      <c r="F18" s="4">
        <f t="shared" si="1"/>
        <v>54</v>
      </c>
      <c r="G18" s="4">
        <f t="shared" si="2"/>
        <v>5.371253845162003E-2</v>
      </c>
      <c r="H18" s="4">
        <f t="shared" si="3"/>
        <v>2916</v>
      </c>
      <c r="I18" s="5">
        <f>SQRT(SUM('p-pi-multi'!$C$3:C18)/COUNTIF($A$3:A18,"&lt;&gt;0"))</f>
        <v>10.71505949586842</v>
      </c>
    </row>
    <row r="19" spans="1:9">
      <c r="A19">
        <v>17</v>
      </c>
      <c r="B19">
        <v>233</v>
      </c>
      <c r="C19">
        <v>157</v>
      </c>
      <c r="D19">
        <v>157</v>
      </c>
      <c r="E19" s="4">
        <f t="shared" si="0"/>
        <v>0</v>
      </c>
      <c r="F19" s="4">
        <f t="shared" si="1"/>
        <v>76</v>
      </c>
      <c r="G19" s="4">
        <f t="shared" si="2"/>
        <v>0.10639356038976587</v>
      </c>
      <c r="H19" s="4">
        <f t="shared" si="3"/>
        <v>5776</v>
      </c>
      <c r="I19" s="5">
        <f>SQRT(SUM('p-pi-multi'!$C$3:C19)/COUNTIF($A$3:A19,"&lt;&gt;0"))</f>
        <v>10.830240885920258</v>
      </c>
    </row>
    <row r="20" spans="1:9">
      <c r="A20">
        <v>18</v>
      </c>
      <c r="B20">
        <v>233</v>
      </c>
      <c r="C20">
        <v>186</v>
      </c>
      <c r="D20">
        <v>169</v>
      </c>
      <c r="E20" s="4">
        <f t="shared" si="0"/>
        <v>0</v>
      </c>
      <c r="F20" s="4">
        <f t="shared" si="1"/>
        <v>47</v>
      </c>
      <c r="G20" s="4">
        <f t="shared" si="2"/>
        <v>4.0689642469008455E-2</v>
      </c>
      <c r="H20" s="4">
        <f t="shared" si="3"/>
        <v>2209</v>
      </c>
      <c r="I20" s="5">
        <f>SQRT(SUM('p-pi-multi'!$C$3:C20)/COUNTIF($A$3:A20,"&lt;&gt;0"))</f>
        <v>11.005049346146119</v>
      </c>
    </row>
    <row r="21" spans="1:9">
      <c r="A21">
        <v>19</v>
      </c>
      <c r="B21">
        <v>233</v>
      </c>
      <c r="C21">
        <v>152</v>
      </c>
      <c r="D21">
        <v>164</v>
      </c>
      <c r="E21" s="4">
        <f t="shared" si="0"/>
        <v>0</v>
      </c>
      <c r="F21" s="4">
        <f t="shared" si="1"/>
        <v>81</v>
      </c>
      <c r="G21" s="4">
        <f t="shared" si="2"/>
        <v>0.12085321151614506</v>
      </c>
      <c r="H21" s="4">
        <f t="shared" si="3"/>
        <v>6561</v>
      </c>
      <c r="I21" s="5">
        <f>SQRT(SUM('p-pi-multi'!$C$3:C21)/COUNTIF($A$3:A21,"&lt;&gt;0"))</f>
        <v>11.078666079689521</v>
      </c>
    </row>
    <row r="22" spans="1:9">
      <c r="A22">
        <v>20</v>
      </c>
      <c r="B22">
        <v>233</v>
      </c>
      <c r="C22">
        <v>176</v>
      </c>
      <c r="D22">
        <v>180</v>
      </c>
      <c r="E22" s="4">
        <f t="shared" si="0"/>
        <v>0</v>
      </c>
      <c r="F22" s="4">
        <f t="shared" si="1"/>
        <v>57</v>
      </c>
      <c r="G22" s="4">
        <f t="shared" si="2"/>
        <v>5.984637771924331E-2</v>
      </c>
      <c r="H22" s="4">
        <f t="shared" si="3"/>
        <v>3249</v>
      </c>
      <c r="I22" s="5">
        <f>SQRT(SUM('p-pi-multi'!$C$3:C22)/COUNTIF($A$3:A22,"&lt;&gt;0"))</f>
        <v>11.198214143335536</v>
      </c>
    </row>
    <row r="23" spans="1:9">
      <c r="A23">
        <v>21</v>
      </c>
      <c r="B23">
        <v>233</v>
      </c>
      <c r="C23">
        <v>142</v>
      </c>
      <c r="D23">
        <v>177</v>
      </c>
      <c r="E23" s="4">
        <f t="shared" si="0"/>
        <v>0</v>
      </c>
      <c r="F23" s="4">
        <f t="shared" si="1"/>
        <v>91</v>
      </c>
      <c r="G23" s="4">
        <f t="shared" si="2"/>
        <v>0.15253550442999503</v>
      </c>
      <c r="H23" s="4">
        <f t="shared" si="3"/>
        <v>8281</v>
      </c>
      <c r="I23" s="5">
        <f>SQRT(SUM('p-pi-multi'!$C$3:C23)/COUNTIF($A$3:A23,"&lt;&gt;0"))</f>
        <v>11.23345344008138</v>
      </c>
    </row>
    <row r="24" spans="1:9">
      <c r="A24">
        <v>22</v>
      </c>
      <c r="B24">
        <v>233</v>
      </c>
      <c r="C24">
        <v>191</v>
      </c>
      <c r="D24">
        <v>194</v>
      </c>
      <c r="E24" s="4">
        <f t="shared" si="0"/>
        <v>1</v>
      </c>
      <c r="F24" s="4">
        <f t="shared" si="1"/>
        <v>42</v>
      </c>
      <c r="G24" s="4">
        <f t="shared" si="2"/>
        <v>3.2492770174436809E-2</v>
      </c>
      <c r="H24" s="4">
        <f t="shared" si="3"/>
        <v>1764</v>
      </c>
      <c r="I24" s="5">
        <f>SQRT(SUM('p-pi-multi'!$C$3:C24)/COUNTIF($A$3:A24,"&lt;&gt;0"))</f>
        <v>11.363818180363658</v>
      </c>
    </row>
    <row r="25" spans="1:9">
      <c r="A25">
        <v>23</v>
      </c>
      <c r="B25">
        <v>233</v>
      </c>
      <c r="C25">
        <v>205</v>
      </c>
      <c r="D25">
        <v>183</v>
      </c>
      <c r="E25" s="4">
        <f t="shared" si="0"/>
        <v>1</v>
      </c>
      <c r="F25" s="4">
        <f t="shared" si="1"/>
        <v>28</v>
      </c>
      <c r="G25" s="4">
        <f t="shared" si="2"/>
        <v>1.4441231188638583E-2</v>
      </c>
      <c r="H25" s="4">
        <f t="shared" si="3"/>
        <v>784</v>
      </c>
      <c r="I25" s="5">
        <f>SQRT(SUM('p-pi-multi'!$C$3:C25)/COUNTIF($A$3:A25,"&lt;&gt;0"))</f>
        <v>11.508031222094232</v>
      </c>
    </row>
    <row r="26" spans="1:9">
      <c r="A26">
        <v>24</v>
      </c>
      <c r="B26">
        <v>233</v>
      </c>
      <c r="C26">
        <v>198</v>
      </c>
      <c r="D26">
        <v>181</v>
      </c>
      <c r="E26" s="4">
        <f t="shared" si="0"/>
        <v>1</v>
      </c>
      <c r="F26" s="4">
        <f t="shared" si="1"/>
        <v>35</v>
      </c>
      <c r="G26" s="4">
        <f t="shared" si="2"/>
        <v>2.2564423732247787E-2</v>
      </c>
      <c r="H26" s="4">
        <f t="shared" si="3"/>
        <v>1225</v>
      </c>
      <c r="I26" s="5">
        <f>SQRT(SUM('p-pi-multi'!$C$3:C26)/COUNTIF($A$3:A26,"&lt;&gt;0"))</f>
        <v>11.626120017730191</v>
      </c>
    </row>
    <row r="27" spans="1:9">
      <c r="A27">
        <v>25</v>
      </c>
      <c r="B27">
        <v>233</v>
      </c>
      <c r="C27">
        <v>204</v>
      </c>
      <c r="D27">
        <v>185</v>
      </c>
      <c r="E27" s="4">
        <f t="shared" si="0"/>
        <v>1</v>
      </c>
      <c r="F27" s="4">
        <f t="shared" si="1"/>
        <v>29</v>
      </c>
      <c r="G27" s="4">
        <f t="shared" si="2"/>
        <v>1.5491167639853379E-2</v>
      </c>
      <c r="H27" s="4">
        <f t="shared" si="3"/>
        <v>841</v>
      </c>
      <c r="I27" s="5">
        <f>SQRT(SUM('p-pi-multi'!$C$3:C27)/COUNTIF($A$3:A27,"&lt;&gt;0"))</f>
        <v>11.743934604722558</v>
      </c>
    </row>
    <row r="28" spans="1:9">
      <c r="A28">
        <v>26</v>
      </c>
      <c r="B28">
        <v>233</v>
      </c>
      <c r="C28">
        <v>205</v>
      </c>
      <c r="D28">
        <v>186</v>
      </c>
      <c r="E28" s="4">
        <f t="shared" si="0"/>
        <v>1</v>
      </c>
      <c r="F28" s="4">
        <f t="shared" si="1"/>
        <v>28</v>
      </c>
      <c r="G28" s="4">
        <f t="shared" si="2"/>
        <v>1.4441231188638583E-2</v>
      </c>
      <c r="H28" s="4">
        <f t="shared" si="3"/>
        <v>784</v>
      </c>
      <c r="I28" s="5">
        <f>SQRT(SUM('p-pi-multi'!$C$3:C28)/COUNTIF($A$3:A28,"&lt;&gt;0"))</f>
        <v>11.853269591129697</v>
      </c>
    </row>
    <row r="29" spans="1:9">
      <c r="A29">
        <v>27</v>
      </c>
      <c r="B29">
        <v>233</v>
      </c>
      <c r="C29">
        <v>189</v>
      </c>
      <c r="D29">
        <v>187</v>
      </c>
      <c r="E29" s="4">
        <f t="shared" si="0"/>
        <v>1</v>
      </c>
      <c r="F29" s="4">
        <f t="shared" si="1"/>
        <v>44</v>
      </c>
      <c r="G29" s="4">
        <f t="shared" si="2"/>
        <v>3.566099946582181E-2</v>
      </c>
      <c r="H29" s="4">
        <f t="shared" si="3"/>
        <v>1936</v>
      </c>
      <c r="I29" s="5">
        <f>SQRT(SUM('p-pi-multi'!$C$3:C29)/COUNTIF($A$3:A29,"&lt;&gt;0"))</f>
        <v>11.928801125691395</v>
      </c>
    </row>
    <row r="30" spans="1:9">
      <c r="A30">
        <v>28</v>
      </c>
      <c r="B30">
        <v>233</v>
      </c>
      <c r="C30">
        <v>211</v>
      </c>
      <c r="D30">
        <v>196</v>
      </c>
      <c r="E30" s="4">
        <f t="shared" si="0"/>
        <v>1</v>
      </c>
      <c r="F30" s="4">
        <f t="shared" si="1"/>
        <v>22</v>
      </c>
      <c r="G30" s="4">
        <f t="shared" si="2"/>
        <v>8.9152498664554526E-3</v>
      </c>
      <c r="H30" s="4">
        <f t="shared" si="3"/>
        <v>484</v>
      </c>
      <c r="I30" s="5">
        <f>SQRT(SUM('p-pi-multi'!$C$3:C30)/COUNTIF($A$3:A30,"&lt;&gt;0"))</f>
        <v>12.031209415515965</v>
      </c>
    </row>
    <row r="31" spans="1:9">
      <c r="A31">
        <v>29</v>
      </c>
      <c r="B31">
        <v>233</v>
      </c>
      <c r="C31">
        <v>249</v>
      </c>
      <c r="D31">
        <v>190</v>
      </c>
      <c r="E31" s="4">
        <f t="shared" si="0"/>
        <v>1</v>
      </c>
      <c r="F31" s="4">
        <f t="shared" si="1"/>
        <v>16</v>
      </c>
      <c r="G31" s="4">
        <f t="shared" si="2"/>
        <v>4.7155040615962721E-3</v>
      </c>
      <c r="H31" s="4">
        <f t="shared" si="3"/>
        <v>256</v>
      </c>
      <c r="I31" s="5">
        <f>SQRT(SUM('p-pi-multi'!$C$3:C31)/COUNTIF($A$3:A31,"&lt;&gt;0"))</f>
        <v>12.179689141608126</v>
      </c>
    </row>
    <row r="32" spans="1:9">
      <c r="A32">
        <v>30</v>
      </c>
      <c r="B32">
        <v>233</v>
      </c>
      <c r="C32">
        <v>144</v>
      </c>
      <c r="D32">
        <v>178</v>
      </c>
      <c r="E32" s="4">
        <f t="shared" si="0"/>
        <v>0</v>
      </c>
      <c r="F32" s="4">
        <f t="shared" si="1"/>
        <v>89</v>
      </c>
      <c r="G32" s="4">
        <f t="shared" si="2"/>
        <v>0.14590432684337526</v>
      </c>
      <c r="H32" s="4">
        <f t="shared" si="3"/>
        <v>7921</v>
      </c>
      <c r="I32" s="5">
        <f>SQRT(SUM('p-pi-multi'!$C$3:C32)/COUNTIF($A$3:A32,"&lt;&gt;0"))</f>
        <v>12.173742234826561</v>
      </c>
    </row>
    <row r="33" spans="1:9">
      <c r="A33">
        <v>31</v>
      </c>
      <c r="B33">
        <v>233</v>
      </c>
      <c r="C33">
        <v>205</v>
      </c>
      <c r="D33">
        <v>216</v>
      </c>
      <c r="E33" s="4">
        <f t="shared" si="0"/>
        <v>1</v>
      </c>
      <c r="F33" s="4">
        <f t="shared" si="1"/>
        <v>28</v>
      </c>
      <c r="G33" s="4">
        <f t="shared" si="2"/>
        <v>1.4441231188638583E-2</v>
      </c>
      <c r="H33" s="4">
        <f t="shared" si="3"/>
        <v>784</v>
      </c>
      <c r="I33" s="5">
        <f>SQRT(SUM('p-pi-multi'!$C$3:C33)/COUNTIF($A$3:A33,"&lt;&gt;0"))</f>
        <v>12.248765573090054</v>
      </c>
    </row>
    <row r="34" spans="1:9">
      <c r="A34">
        <v>32</v>
      </c>
      <c r="B34">
        <v>233</v>
      </c>
      <c r="C34">
        <v>260</v>
      </c>
      <c r="D34">
        <v>200</v>
      </c>
      <c r="E34" s="4">
        <f t="shared" si="0"/>
        <v>1</v>
      </c>
      <c r="F34" s="4">
        <f t="shared" si="1"/>
        <v>27</v>
      </c>
      <c r="G34" s="4">
        <f t="shared" si="2"/>
        <v>1.3428134612905008E-2</v>
      </c>
      <c r="H34" s="4">
        <f t="shared" si="3"/>
        <v>729</v>
      </c>
      <c r="I34" s="5">
        <f>SQRT(SUM('p-pi-multi'!$C$3:C34)/COUNTIF($A$3:A34,"&lt;&gt;0"))</f>
        <v>12.388250481807349</v>
      </c>
    </row>
    <row r="35" spans="1:9">
      <c r="A35">
        <v>33</v>
      </c>
      <c r="B35">
        <v>233</v>
      </c>
      <c r="C35">
        <v>132</v>
      </c>
      <c r="D35">
        <v>181</v>
      </c>
      <c r="E35" s="4">
        <f t="shared" si="0"/>
        <v>0</v>
      </c>
      <c r="F35" s="4">
        <f t="shared" si="1"/>
        <v>101</v>
      </c>
      <c r="G35" s="4">
        <f t="shared" si="2"/>
        <v>0.18790178489196704</v>
      </c>
      <c r="H35" s="4">
        <f t="shared" si="3"/>
        <v>10201</v>
      </c>
      <c r="I35" s="5">
        <f>SQRT(SUM('p-pi-multi'!$C$3:C35)/COUNTIF($A$3:A35,"&lt;&gt;0"))</f>
        <v>12.361965127688308</v>
      </c>
    </row>
    <row r="36" spans="1:9">
      <c r="A36">
        <v>34</v>
      </c>
      <c r="B36">
        <v>233</v>
      </c>
      <c r="C36">
        <v>212</v>
      </c>
      <c r="D36">
        <v>227</v>
      </c>
      <c r="E36" s="4">
        <f t="shared" si="0"/>
        <v>1</v>
      </c>
      <c r="F36" s="4">
        <f t="shared" si="1"/>
        <v>21</v>
      </c>
      <c r="G36" s="4">
        <f t="shared" si="2"/>
        <v>8.1231925436092024E-3</v>
      </c>
      <c r="H36" s="4">
        <f t="shared" si="3"/>
        <v>441</v>
      </c>
      <c r="I36" s="5">
        <f>SQRT(SUM('p-pi-multi'!$C$3:C36)/COUNTIF($A$3:A36,"&lt;&gt;0"))</f>
        <v>12.432168898845115</v>
      </c>
    </row>
    <row r="37" spans="1:9">
      <c r="A37">
        <v>35</v>
      </c>
      <c r="B37">
        <v>233</v>
      </c>
      <c r="C37">
        <v>188</v>
      </c>
      <c r="D37">
        <v>205</v>
      </c>
      <c r="E37" s="4">
        <f t="shared" si="0"/>
        <v>1</v>
      </c>
      <c r="F37" s="4">
        <f t="shared" si="1"/>
        <v>45</v>
      </c>
      <c r="G37" s="4">
        <f t="shared" si="2"/>
        <v>3.7300373924736133E-2</v>
      </c>
      <c r="H37" s="4">
        <f t="shared" si="3"/>
        <v>2025</v>
      </c>
      <c r="I37" s="5">
        <f>SQRT(SUM('p-pi-multi'!$C$3:C37)/COUNTIF($A$3:A37,"&lt;&gt;0"))</f>
        <v>12.470536705141672</v>
      </c>
    </row>
    <row r="38" spans="1:9">
      <c r="A38">
        <v>36</v>
      </c>
      <c r="B38">
        <v>233</v>
      </c>
      <c r="C38">
        <v>270</v>
      </c>
      <c r="D38">
        <v>215</v>
      </c>
      <c r="E38" s="4">
        <f t="shared" si="0"/>
        <v>1</v>
      </c>
      <c r="F38" s="4">
        <f t="shared" si="1"/>
        <v>37</v>
      </c>
      <c r="G38" s="4">
        <f t="shared" si="2"/>
        <v>2.5216894766895686E-2</v>
      </c>
      <c r="H38" s="4">
        <f t="shared" si="3"/>
        <v>1369</v>
      </c>
      <c r="I38" s="5">
        <f>SQRT(SUM('p-pi-multi'!$C$3:C38)/COUNTIF($A$3:A38,"&lt;&gt;0"))</f>
        <v>12.597398320464606</v>
      </c>
    </row>
    <row r="39" spans="1:9">
      <c r="A39">
        <v>37</v>
      </c>
      <c r="B39">
        <v>233</v>
      </c>
      <c r="C39">
        <v>231</v>
      </c>
      <c r="D39">
        <v>188</v>
      </c>
      <c r="E39" s="4">
        <f t="shared" si="0"/>
        <v>1</v>
      </c>
      <c r="F39" s="4">
        <f t="shared" si="1"/>
        <v>2</v>
      </c>
      <c r="G39" s="4">
        <f t="shared" si="2"/>
        <v>7.3679750962441751E-5</v>
      </c>
      <c r="H39" s="4">
        <f t="shared" si="3"/>
        <v>4</v>
      </c>
      <c r="I39" s="5">
        <f>SQRT(SUM('p-pi-multi'!$C$3:C39)/COUNTIF($A$3:A39,"&lt;&gt;0"))</f>
        <v>12.674724795775592</v>
      </c>
    </row>
    <row r="40" spans="1:9">
      <c r="A40">
        <v>38</v>
      </c>
      <c r="B40">
        <v>233</v>
      </c>
      <c r="C40">
        <v>197</v>
      </c>
      <c r="D40">
        <v>200</v>
      </c>
      <c r="E40" s="4">
        <f t="shared" si="0"/>
        <v>1</v>
      </c>
      <c r="F40" s="4">
        <f t="shared" si="1"/>
        <v>36</v>
      </c>
      <c r="G40" s="4">
        <f t="shared" si="2"/>
        <v>2.387223931183113E-2</v>
      </c>
      <c r="H40" s="4">
        <f t="shared" si="3"/>
        <v>1296</v>
      </c>
      <c r="I40" s="5">
        <f>SQRT(SUM('p-pi-multi'!$C$3:C40)/COUNTIF($A$3:A40,"&lt;&gt;0"))</f>
        <v>12.712405876068257</v>
      </c>
    </row>
    <row r="41" spans="1:9">
      <c r="A41">
        <v>39</v>
      </c>
      <c r="B41">
        <v>233</v>
      </c>
      <c r="C41">
        <v>207</v>
      </c>
      <c r="D41">
        <v>213</v>
      </c>
      <c r="E41" s="4">
        <f t="shared" si="0"/>
        <v>1</v>
      </c>
      <c r="F41" s="4">
        <f t="shared" si="1"/>
        <v>26</v>
      </c>
      <c r="G41" s="4">
        <f t="shared" si="2"/>
        <v>1.2451877912652657E-2</v>
      </c>
      <c r="H41" s="4">
        <f t="shared" si="3"/>
        <v>676</v>
      </c>
      <c r="I41" s="5">
        <f>SQRT(SUM('p-pi-multi'!$C$3:C41)/COUNTIF($A$3:A41,"&lt;&gt;0"))</f>
        <v>12.758104513180269</v>
      </c>
    </row>
    <row r="42" spans="1:9">
      <c r="A42">
        <v>40</v>
      </c>
      <c r="B42">
        <v>233</v>
      </c>
      <c r="C42">
        <v>251</v>
      </c>
      <c r="D42">
        <v>211</v>
      </c>
      <c r="E42" s="4">
        <f t="shared" si="0"/>
        <v>1</v>
      </c>
      <c r="F42" s="4">
        <f t="shared" si="1"/>
        <v>18</v>
      </c>
      <c r="G42" s="4">
        <f t="shared" si="2"/>
        <v>5.9680598279577826E-3</v>
      </c>
      <c r="H42" s="4">
        <f t="shared" si="3"/>
        <v>324</v>
      </c>
      <c r="I42" s="5">
        <f>SQRT(SUM('p-pi-multi'!$C$3:C42)/COUNTIF($A$3:A42,"&lt;&gt;0"))</f>
        <v>12.844259418121389</v>
      </c>
    </row>
    <row r="43" spans="1:9">
      <c r="A43">
        <v>41</v>
      </c>
      <c r="B43">
        <v>233</v>
      </c>
      <c r="C43">
        <v>180</v>
      </c>
      <c r="D43">
        <v>197</v>
      </c>
      <c r="E43" s="4">
        <f t="shared" si="0"/>
        <v>0</v>
      </c>
      <c r="F43" s="4">
        <f t="shared" si="1"/>
        <v>53</v>
      </c>
      <c r="G43" s="4">
        <f t="shared" si="2"/>
        <v>5.1741605113374708E-2</v>
      </c>
      <c r="H43" s="4">
        <f t="shared" si="3"/>
        <v>2809</v>
      </c>
      <c r="I43" s="5">
        <f>SQRT(SUM('p-pi-multi'!$C$3:C43)/COUNTIF($A$3:A43,"&lt;&gt;0"))</f>
        <v>12.858517154580234</v>
      </c>
    </row>
    <row r="44" spans="1:9">
      <c r="A44">
        <v>42</v>
      </c>
      <c r="B44">
        <v>233</v>
      </c>
      <c r="C44">
        <v>257</v>
      </c>
      <c r="D44">
        <v>222</v>
      </c>
      <c r="E44" s="4">
        <f t="shared" si="0"/>
        <v>1</v>
      </c>
      <c r="F44" s="4">
        <f t="shared" si="1"/>
        <v>24</v>
      </c>
      <c r="G44" s="4">
        <f t="shared" si="2"/>
        <v>1.0609884138591612E-2</v>
      </c>
      <c r="H44" s="4">
        <f t="shared" si="3"/>
        <v>576</v>
      </c>
      <c r="I44" s="5">
        <f>SQRT(SUM('p-pi-multi'!$C$3:C44)/COUNTIF($A$3:A44,"&lt;&gt;0"))</f>
        <v>12.943098915012955</v>
      </c>
    </row>
    <row r="45" spans="1:9">
      <c r="A45">
        <v>43</v>
      </c>
      <c r="B45">
        <v>233</v>
      </c>
      <c r="C45">
        <v>197</v>
      </c>
      <c r="D45">
        <v>197</v>
      </c>
      <c r="E45" s="4">
        <f t="shared" si="0"/>
        <v>1</v>
      </c>
      <c r="F45" s="4">
        <f t="shared" si="1"/>
        <v>36</v>
      </c>
      <c r="G45" s="4">
        <f t="shared" si="2"/>
        <v>2.387223931183113E-2</v>
      </c>
      <c r="H45" s="4">
        <f t="shared" si="3"/>
        <v>1296</v>
      </c>
      <c r="I45" s="5">
        <f>SQRT(SUM('p-pi-multi'!$C$3:C45)/COUNTIF($A$3:A45,"&lt;&gt;0"))</f>
        <v>12.969552896132596</v>
      </c>
    </row>
    <row r="46" spans="1:9">
      <c r="A46">
        <v>44</v>
      </c>
      <c r="B46">
        <v>233</v>
      </c>
      <c r="C46">
        <v>213</v>
      </c>
      <c r="D46">
        <v>218</v>
      </c>
      <c r="E46" s="4">
        <f t="shared" si="0"/>
        <v>1</v>
      </c>
      <c r="F46" s="4">
        <f t="shared" si="1"/>
        <v>20</v>
      </c>
      <c r="G46" s="4">
        <f t="shared" si="2"/>
        <v>7.3679750962441747E-3</v>
      </c>
      <c r="H46" s="4">
        <f t="shared" si="3"/>
        <v>400</v>
      </c>
      <c r="I46" s="5">
        <f>SQRT(SUM('p-pi-multi'!$C$3:C46)/COUNTIF($A$3:A46,"&lt;&gt;0"))</f>
        <v>13.008738321884744</v>
      </c>
    </row>
    <row r="47" spans="1:9">
      <c r="A47">
        <v>45</v>
      </c>
      <c r="B47">
        <v>233</v>
      </c>
      <c r="C47">
        <v>192</v>
      </c>
      <c r="D47">
        <v>214</v>
      </c>
      <c r="E47" s="4">
        <f t="shared" si="0"/>
        <v>1</v>
      </c>
      <c r="F47" s="4">
        <f t="shared" si="1"/>
        <v>41</v>
      </c>
      <c r="G47" s="4">
        <f t="shared" si="2"/>
        <v>3.0963915341966144E-2</v>
      </c>
      <c r="H47" s="4">
        <f t="shared" si="3"/>
        <v>1681</v>
      </c>
      <c r="I47" s="5">
        <f>SQRT(SUM('p-pi-multi'!$C$3:C47)/COUNTIF($A$3:A47,"&lt;&gt;0"))</f>
        <v>13.028174597131146</v>
      </c>
    </row>
    <row r="48" spans="1:9">
      <c r="A48">
        <v>46</v>
      </c>
      <c r="B48">
        <v>233</v>
      </c>
      <c r="C48">
        <v>277</v>
      </c>
      <c r="D48">
        <v>224</v>
      </c>
      <c r="E48" s="4">
        <f t="shared" si="0"/>
        <v>1</v>
      </c>
      <c r="F48" s="4">
        <f t="shared" si="1"/>
        <v>44</v>
      </c>
      <c r="G48" s="4">
        <f t="shared" si="2"/>
        <v>3.566099946582181E-2</v>
      </c>
      <c r="H48" s="4">
        <f t="shared" si="3"/>
        <v>1936</v>
      </c>
      <c r="I48" s="5">
        <f>SQRT(SUM('p-pi-multi'!$C$3:C48)/COUNTIF($A$3:A48,"&lt;&gt;0"))</f>
        <v>13.117363202690713</v>
      </c>
    </row>
    <row r="49" spans="1:9">
      <c r="A49">
        <v>47</v>
      </c>
      <c r="B49">
        <v>233</v>
      </c>
      <c r="C49">
        <v>220</v>
      </c>
      <c r="D49">
        <v>195</v>
      </c>
      <c r="E49" s="4">
        <f t="shared" si="0"/>
        <v>1</v>
      </c>
      <c r="F49" s="4">
        <f t="shared" si="1"/>
        <v>13</v>
      </c>
      <c r="G49" s="4">
        <f t="shared" si="2"/>
        <v>3.1129694781631642E-3</v>
      </c>
      <c r="H49" s="4">
        <f t="shared" si="3"/>
        <v>169</v>
      </c>
      <c r="I49" s="5">
        <f>SQRT(SUM('p-pi-multi'!$C$3:C49)/COUNTIF($A$3:A49,"&lt;&gt;0"))</f>
        <v>13.156181299411266</v>
      </c>
    </row>
    <row r="50" spans="1:9">
      <c r="A50">
        <v>48</v>
      </c>
      <c r="B50">
        <v>233</v>
      </c>
      <c r="C50">
        <v>206</v>
      </c>
      <c r="D50">
        <v>213</v>
      </c>
      <c r="E50" s="4">
        <f t="shared" si="0"/>
        <v>1</v>
      </c>
      <c r="F50" s="4">
        <f t="shared" si="1"/>
        <v>27</v>
      </c>
      <c r="G50" s="4">
        <f t="shared" si="2"/>
        <v>1.3428134612905008E-2</v>
      </c>
      <c r="H50" s="4">
        <f t="shared" si="3"/>
        <v>729</v>
      </c>
      <c r="I50" s="5">
        <f>SQRT(SUM('p-pi-multi'!$C$3:C50)/COUNTIF($A$3:A50,"&lt;&gt;0"))</f>
        <v>13.182216556153724</v>
      </c>
    </row>
    <row r="51" spans="1:9">
      <c r="A51">
        <v>49</v>
      </c>
      <c r="B51">
        <v>233</v>
      </c>
      <c r="C51">
        <v>214</v>
      </c>
      <c r="D51">
        <v>219</v>
      </c>
      <c r="E51" s="4">
        <f t="shared" si="0"/>
        <v>1</v>
      </c>
      <c r="F51" s="4">
        <f t="shared" si="1"/>
        <v>19</v>
      </c>
      <c r="G51" s="4">
        <f t="shared" si="2"/>
        <v>6.6495975243603669E-3</v>
      </c>
      <c r="H51" s="4">
        <f t="shared" si="3"/>
        <v>361</v>
      </c>
      <c r="I51" s="5">
        <f>SQRT(SUM('p-pi-multi'!$C$3:C51)/COUNTIF($A$3:A51,"&lt;&gt;0"))</f>
        <v>13.213320428064018</v>
      </c>
    </row>
    <row r="52" spans="1:9">
      <c r="A52">
        <v>50</v>
      </c>
      <c r="B52">
        <v>233</v>
      </c>
      <c r="C52">
        <v>234</v>
      </c>
      <c r="D52">
        <v>218</v>
      </c>
      <c r="E52" s="4">
        <f t="shared" si="0"/>
        <v>1</v>
      </c>
      <c r="F52" s="4">
        <f t="shared" si="1"/>
        <v>1</v>
      </c>
      <c r="G52" s="4">
        <f t="shared" si="2"/>
        <v>1.8419937740610438E-5</v>
      </c>
      <c r="H52" s="4">
        <f t="shared" si="3"/>
        <v>1</v>
      </c>
      <c r="I52" s="5">
        <f>SQRT(SUM('p-pi-multi'!$C$3:C52)/COUNTIF($A$3:A52,"&lt;&gt;0"))</f>
        <v>13.258205006711881</v>
      </c>
    </row>
    <row r="53" spans="1:9">
      <c r="A53">
        <v>51</v>
      </c>
      <c r="B53">
        <v>233</v>
      </c>
      <c r="C53">
        <v>210</v>
      </c>
      <c r="D53">
        <v>212</v>
      </c>
      <c r="E53" s="4">
        <f t="shared" si="0"/>
        <v>1</v>
      </c>
      <c r="F53" s="4">
        <f t="shared" si="1"/>
        <v>23</v>
      </c>
      <c r="G53" s="4">
        <f t="shared" si="2"/>
        <v>9.7441470647829202E-3</v>
      </c>
      <c r="H53" s="4">
        <f t="shared" si="3"/>
        <v>529</v>
      </c>
      <c r="I53" s="5">
        <f>SQRT(SUM('p-pi-multi'!$C$3:C53)/COUNTIF($A$3:A53,"&lt;&gt;0"))</f>
        <v>13.283485250195328</v>
      </c>
    </row>
    <row r="54" spans="1:9">
      <c r="A54">
        <v>52</v>
      </c>
      <c r="B54">
        <v>233</v>
      </c>
      <c r="C54">
        <v>195</v>
      </c>
      <c r="D54">
        <v>221</v>
      </c>
      <c r="E54" s="4">
        <f t="shared" si="0"/>
        <v>1</v>
      </c>
      <c r="F54" s="4">
        <f t="shared" si="1"/>
        <v>38</v>
      </c>
      <c r="G54" s="4">
        <f t="shared" si="2"/>
        <v>2.6598390097441468E-2</v>
      </c>
      <c r="H54" s="4">
        <f t="shared" si="3"/>
        <v>1444</v>
      </c>
      <c r="I54" s="5">
        <f>SQRT(SUM('p-pi-multi'!$C$3:C54)/COUNTIF($A$3:A54,"&lt;&gt;0"))</f>
        <v>13.296905365824498</v>
      </c>
    </row>
    <row r="55" spans="1:9">
      <c r="A55">
        <v>53</v>
      </c>
      <c r="B55">
        <v>233</v>
      </c>
      <c r="C55">
        <v>201</v>
      </c>
      <c r="D55">
        <v>229</v>
      </c>
      <c r="E55" s="4">
        <f t="shared" si="0"/>
        <v>1</v>
      </c>
      <c r="F55" s="4">
        <f t="shared" si="1"/>
        <v>32</v>
      </c>
      <c r="G55" s="4">
        <f t="shared" si="2"/>
        <v>1.8862016246385088E-2</v>
      </c>
      <c r="H55" s="4">
        <f t="shared" si="3"/>
        <v>1024</v>
      </c>
      <c r="I55" s="5">
        <f>SQRT(SUM('p-pi-multi'!$C$3:C55)/COUNTIF($A$3:A55,"&lt;&gt;0"))</f>
        <v>13.314058394922123</v>
      </c>
    </row>
    <row r="56" spans="1:9">
      <c r="A56">
        <v>54</v>
      </c>
      <c r="B56">
        <v>233</v>
      </c>
      <c r="C56">
        <v>203</v>
      </c>
      <c r="D56">
        <v>229</v>
      </c>
      <c r="E56" s="4">
        <f t="shared" si="0"/>
        <v>1</v>
      </c>
      <c r="F56" s="4">
        <f t="shared" si="1"/>
        <v>30</v>
      </c>
      <c r="G56" s="4">
        <f t="shared" si="2"/>
        <v>1.657794396654939E-2</v>
      </c>
      <c r="H56" s="4">
        <f t="shared" si="3"/>
        <v>900</v>
      </c>
      <c r="I56" s="5">
        <f>SQRT(SUM('p-pi-multi'!$C$3:C56)/COUNTIF($A$3:A56,"&lt;&gt;0"))</f>
        <v>13.331944372098945</v>
      </c>
    </row>
    <row r="57" spans="1:9">
      <c r="A57">
        <v>55</v>
      </c>
      <c r="B57">
        <v>233</v>
      </c>
      <c r="C57">
        <v>204</v>
      </c>
      <c r="D57">
        <v>231</v>
      </c>
      <c r="E57" s="4">
        <f t="shared" si="0"/>
        <v>1</v>
      </c>
      <c r="F57" s="4">
        <f t="shared" si="1"/>
        <v>29</v>
      </c>
      <c r="G57" s="4">
        <f t="shared" si="2"/>
        <v>1.5491167639853379E-2</v>
      </c>
      <c r="H57" s="4">
        <f t="shared" si="3"/>
        <v>841</v>
      </c>
      <c r="I57" s="5">
        <f>SQRT(SUM('p-pi-multi'!$C$3:C57)/COUNTIF($A$3:A57,"&lt;&gt;0"))</f>
        <v>13.349838269364232</v>
      </c>
    </row>
    <row r="58" spans="1:9">
      <c r="A58">
        <v>56</v>
      </c>
      <c r="B58">
        <v>233</v>
      </c>
      <c r="C58">
        <v>205</v>
      </c>
      <c r="D58">
        <v>232</v>
      </c>
      <c r="E58" s="4">
        <f t="shared" si="0"/>
        <v>1</v>
      </c>
      <c r="F58" s="4">
        <f t="shared" si="1"/>
        <v>28</v>
      </c>
      <c r="G58" s="4">
        <f t="shared" si="2"/>
        <v>1.4441231188638583E-2</v>
      </c>
      <c r="H58" s="4">
        <f t="shared" si="3"/>
        <v>784</v>
      </c>
      <c r="I58" s="5">
        <f>SQRT(SUM('p-pi-multi'!$C$3:C58)/COUNTIF($A$3:A58,"&lt;&gt;0"))</f>
        <v>13.367738349153479</v>
      </c>
    </row>
    <row r="59" spans="1:9">
      <c r="A59">
        <v>57</v>
      </c>
      <c r="B59">
        <v>233</v>
      </c>
      <c r="C59">
        <v>206</v>
      </c>
      <c r="D59">
        <v>234</v>
      </c>
      <c r="E59" s="4">
        <f t="shared" si="0"/>
        <v>1</v>
      </c>
      <c r="F59" s="4">
        <f t="shared" si="1"/>
        <v>27</v>
      </c>
      <c r="G59" s="4">
        <f t="shared" si="2"/>
        <v>1.3428134612905008E-2</v>
      </c>
      <c r="H59" s="4">
        <f t="shared" si="3"/>
        <v>729</v>
      </c>
      <c r="I59" s="5">
        <f>SQRT(SUM('p-pi-multi'!$C$3:C59)/COUNTIF($A$3:A59,"&lt;&gt;0"))</f>
        <v>13.385643002728379</v>
      </c>
    </row>
    <row r="60" spans="1:9">
      <c r="A60">
        <v>58</v>
      </c>
      <c r="B60">
        <v>233</v>
      </c>
      <c r="C60">
        <v>228</v>
      </c>
      <c r="D60">
        <v>236</v>
      </c>
      <c r="E60" s="4">
        <f t="shared" si="0"/>
        <v>1</v>
      </c>
      <c r="F60" s="4">
        <f t="shared" si="1"/>
        <v>5</v>
      </c>
      <c r="G60" s="4">
        <f t="shared" si="2"/>
        <v>4.6049844351526092E-4</v>
      </c>
      <c r="H60" s="4">
        <f t="shared" si="3"/>
        <v>25</v>
      </c>
      <c r="I60" s="5">
        <f>SQRT(SUM('p-pi-multi'!$C$3:C60)/COUNTIF($A$3:A60,"&lt;&gt;0"))</f>
        <v>13.41705039788218</v>
      </c>
    </row>
    <row r="61" spans="1:9">
      <c r="A61">
        <v>59</v>
      </c>
      <c r="B61">
        <v>233</v>
      </c>
      <c r="C61">
        <v>265</v>
      </c>
      <c r="D61">
        <v>230</v>
      </c>
      <c r="E61" s="4">
        <f t="shared" si="0"/>
        <v>1</v>
      </c>
      <c r="F61" s="4">
        <f t="shared" si="1"/>
        <v>32</v>
      </c>
      <c r="G61" s="4">
        <f t="shared" si="2"/>
        <v>1.8862016246385088E-2</v>
      </c>
      <c r="H61" s="4">
        <f t="shared" si="3"/>
        <v>1024</v>
      </c>
      <c r="I61" s="5">
        <f>SQRT(SUM('p-pi-multi'!$C$3:C61)/COUNTIF($A$3:A61,"&lt;&gt;0"))</f>
        <v>13.470620888386847</v>
      </c>
    </row>
    <row r="62" spans="1:9">
      <c r="A62">
        <v>60</v>
      </c>
      <c r="B62">
        <v>233</v>
      </c>
      <c r="C62">
        <v>195</v>
      </c>
      <c r="D62">
        <v>216</v>
      </c>
      <c r="E62" s="4">
        <f t="shared" si="0"/>
        <v>1</v>
      </c>
      <c r="F62" s="4">
        <f t="shared" si="1"/>
        <v>38</v>
      </c>
      <c r="G62" s="4">
        <f t="shared" si="2"/>
        <v>2.6598390097441468E-2</v>
      </c>
      <c r="H62" s="4">
        <f t="shared" si="3"/>
        <v>1444</v>
      </c>
      <c r="I62" s="5">
        <f>SQRT(SUM('p-pi-multi'!$C$3:C62)/COUNTIF($A$3:A62,"&lt;&gt;0"))</f>
        <v>13.478996006132405</v>
      </c>
    </row>
    <row r="63" spans="1:9">
      <c r="A63">
        <v>61</v>
      </c>
      <c r="B63">
        <v>233</v>
      </c>
      <c r="C63">
        <v>247</v>
      </c>
      <c r="D63">
        <v>240</v>
      </c>
      <c r="E63" s="4">
        <f t="shared" si="0"/>
        <v>1</v>
      </c>
      <c r="F63" s="4">
        <f t="shared" si="1"/>
        <v>14</v>
      </c>
      <c r="G63" s="4">
        <f t="shared" si="2"/>
        <v>3.6103077971596457E-3</v>
      </c>
      <c r="H63" s="4">
        <f t="shared" si="3"/>
        <v>196</v>
      </c>
      <c r="I63" s="5">
        <f>SQRT(SUM('p-pi-multi'!$C$3:C63)/COUNTIF($A$3:A63,"&lt;&gt;0"))</f>
        <v>13.518657417090491</v>
      </c>
    </row>
    <row r="64" spans="1:9">
      <c r="A64">
        <v>62</v>
      </c>
      <c r="B64">
        <v>233</v>
      </c>
      <c r="C64">
        <v>241</v>
      </c>
      <c r="D64">
        <v>223</v>
      </c>
      <c r="E64" s="4">
        <f t="shared" si="0"/>
        <v>1</v>
      </c>
      <c r="F64" s="4">
        <f t="shared" si="1"/>
        <v>8</v>
      </c>
      <c r="G64" s="4">
        <f t="shared" si="2"/>
        <v>1.178876015399068E-3</v>
      </c>
      <c r="H64" s="4">
        <f t="shared" si="3"/>
        <v>64</v>
      </c>
      <c r="I64" s="5">
        <f>SQRT(SUM('p-pi-multi'!$C$3:C64)/COUNTIF($A$3:A64,"&lt;&gt;0"))</f>
        <v>13.553359302663557</v>
      </c>
    </row>
    <row r="65" spans="1:9">
      <c r="A65">
        <v>63</v>
      </c>
      <c r="B65">
        <v>233</v>
      </c>
      <c r="C65">
        <v>243</v>
      </c>
      <c r="D65">
        <v>224</v>
      </c>
      <c r="E65" s="4">
        <f t="shared" si="0"/>
        <v>1</v>
      </c>
      <c r="F65" s="4">
        <f t="shared" si="1"/>
        <v>10</v>
      </c>
      <c r="G65" s="4">
        <f t="shared" si="2"/>
        <v>1.8419937740610437E-3</v>
      </c>
      <c r="H65" s="4">
        <f t="shared" si="3"/>
        <v>100</v>
      </c>
      <c r="I65" s="5">
        <f>SQRT(SUM('p-pi-multi'!$C$3:C65)/COUNTIF($A$3:A65,"&lt;&gt;0"))</f>
        <v>13.588043296770902</v>
      </c>
    </row>
    <row r="66" spans="1:9">
      <c r="A66">
        <v>64</v>
      </c>
      <c r="B66">
        <v>233</v>
      </c>
      <c r="C66">
        <v>278</v>
      </c>
      <c r="D66">
        <v>223</v>
      </c>
      <c r="E66" s="4">
        <f t="shared" si="0"/>
        <v>1</v>
      </c>
      <c r="F66" s="4">
        <f t="shared" si="1"/>
        <v>45</v>
      </c>
      <c r="G66" s="4">
        <f t="shared" si="2"/>
        <v>3.7300373924736133E-2</v>
      </c>
      <c r="H66" s="4">
        <f t="shared" si="3"/>
        <v>2025</v>
      </c>
      <c r="I66" s="5">
        <f>SQRT(SUM('p-pi-multi'!$C$3:C66)/COUNTIF($A$3:A66,"&lt;&gt;0"))</f>
        <v>13.641618305758302</v>
      </c>
    </row>
    <row r="67" spans="1:9">
      <c r="A67">
        <v>65</v>
      </c>
      <c r="B67">
        <v>233</v>
      </c>
      <c r="C67">
        <v>190</v>
      </c>
      <c r="D67">
        <v>209</v>
      </c>
      <c r="E67" s="4">
        <f t="shared" si="0"/>
        <v>1</v>
      </c>
      <c r="F67" s="4">
        <f t="shared" si="1"/>
        <v>43</v>
      </c>
      <c r="G67" s="4">
        <f t="shared" si="2"/>
        <v>3.40584648823887E-2</v>
      </c>
      <c r="H67" s="4">
        <f t="shared" si="3"/>
        <v>1849</v>
      </c>
      <c r="I67" s="5">
        <f>SQRT(SUM('p-pi-multi'!$C$3:C67)/COUNTIF($A$3:A67,"&lt;&gt;0"))</f>
        <v>13.643820804812931</v>
      </c>
    </row>
    <row r="68" spans="1:9">
      <c r="A68">
        <v>66</v>
      </c>
      <c r="B68">
        <v>233</v>
      </c>
      <c r="C68">
        <v>265</v>
      </c>
      <c r="D68">
        <v>239</v>
      </c>
      <c r="E68" s="4">
        <f t="shared" ref="E68:E131" si="4">IF(AND(C68&lt;=B68*1.2,C68&gt;=B68*0.8),1,0)</f>
        <v>1</v>
      </c>
      <c r="F68" s="4">
        <f t="shared" ref="F68:F131" si="5">ABS(B68-C68)</f>
        <v>32</v>
      </c>
      <c r="G68" s="4">
        <f t="shared" ref="G68:G131" si="6">POWER(ABS(B68-C68)/B68,2)</f>
        <v>1.8862016246385088E-2</v>
      </c>
      <c r="H68" s="4">
        <f t="shared" ref="H68:H131" si="7">POWER(F68,2)</f>
        <v>1024</v>
      </c>
      <c r="I68" s="5">
        <f>SQRT(SUM('p-pi-multi'!$C$3:C68)/COUNTIF($A$3:A68,"&lt;&gt;0"))</f>
        <v>13.687530268404334</v>
      </c>
    </row>
    <row r="69" spans="1:9">
      <c r="A69">
        <v>67</v>
      </c>
      <c r="B69">
        <v>233</v>
      </c>
      <c r="C69">
        <v>173</v>
      </c>
      <c r="D69">
        <v>214</v>
      </c>
      <c r="E69" s="4">
        <f t="shared" si="4"/>
        <v>0</v>
      </c>
      <c r="F69" s="4">
        <f t="shared" si="5"/>
        <v>60</v>
      </c>
      <c r="G69" s="4">
        <f t="shared" si="6"/>
        <v>6.6311775866197561E-2</v>
      </c>
      <c r="H69" s="4">
        <f t="shared" si="7"/>
        <v>3600</v>
      </c>
      <c r="I69" s="5">
        <f>SQRT(SUM('p-pi-multi'!$C$3:C69)/COUNTIF($A$3:A69,"&lt;&gt;0"))</f>
        <v>13.679704980671511</v>
      </c>
    </row>
    <row r="70" spans="1:9">
      <c r="A70">
        <v>68</v>
      </c>
      <c r="B70">
        <v>233</v>
      </c>
      <c r="C70">
        <v>270</v>
      </c>
      <c r="D70">
        <v>246</v>
      </c>
      <c r="E70" s="4">
        <f t="shared" si="4"/>
        <v>1</v>
      </c>
      <c r="F70" s="4">
        <f t="shared" si="5"/>
        <v>37</v>
      </c>
      <c r="G70" s="4">
        <f t="shared" si="6"/>
        <v>2.5216894766895686E-2</v>
      </c>
      <c r="H70" s="4">
        <f t="shared" si="7"/>
        <v>1369</v>
      </c>
      <c r="I70" s="5">
        <f>SQRT(SUM('p-pi-multi'!$C$3:C70)/COUNTIF($A$3:A70,"&lt;&gt;0"))</f>
        <v>13.724173606322188</v>
      </c>
    </row>
    <row r="71" spans="1:9">
      <c r="A71">
        <v>69</v>
      </c>
      <c r="B71">
        <v>233</v>
      </c>
      <c r="C71">
        <v>220</v>
      </c>
      <c r="D71">
        <v>214</v>
      </c>
      <c r="E71" s="4">
        <f t="shared" si="4"/>
        <v>1</v>
      </c>
      <c r="F71" s="4">
        <f t="shared" si="5"/>
        <v>13</v>
      </c>
      <c r="G71" s="4">
        <f t="shared" si="6"/>
        <v>3.1129694781631642E-3</v>
      </c>
      <c r="H71" s="4">
        <f t="shared" si="7"/>
        <v>169</v>
      </c>
      <c r="I71" s="5">
        <f>SQRT(SUM('p-pi-multi'!$C$3:C71)/COUNTIF($A$3:A71,"&lt;&gt;0"))</f>
        <v>13.740873123746487</v>
      </c>
    </row>
    <row r="72" spans="1:9">
      <c r="A72">
        <v>70</v>
      </c>
      <c r="B72">
        <v>233</v>
      </c>
      <c r="C72">
        <v>218</v>
      </c>
      <c r="D72">
        <v>230</v>
      </c>
      <c r="E72" s="4">
        <f t="shared" si="4"/>
        <v>1</v>
      </c>
      <c r="F72" s="4">
        <f t="shared" si="5"/>
        <v>15</v>
      </c>
      <c r="G72" s="4">
        <f t="shared" si="6"/>
        <v>4.1444859916373476E-3</v>
      </c>
      <c r="H72" s="4">
        <f t="shared" si="7"/>
        <v>225</v>
      </c>
      <c r="I72" s="5">
        <f>SQRT(SUM('p-pi-multi'!$C$3:C72)/COUNTIF($A$3:A72,"&lt;&gt;0"))</f>
        <v>13.756037635473794</v>
      </c>
    </row>
    <row r="73" spans="1:9">
      <c r="A73">
        <v>71</v>
      </c>
      <c r="B73">
        <v>233</v>
      </c>
      <c r="C73">
        <v>257</v>
      </c>
      <c r="D73">
        <v>232</v>
      </c>
      <c r="E73" s="4">
        <f t="shared" si="4"/>
        <v>1</v>
      </c>
      <c r="F73" s="4">
        <f t="shared" si="5"/>
        <v>24</v>
      </c>
      <c r="G73" s="4">
        <f t="shared" si="6"/>
        <v>1.0609884138591612E-2</v>
      </c>
      <c r="H73" s="4">
        <f t="shared" si="7"/>
        <v>576</v>
      </c>
      <c r="I73" s="5">
        <f>SQRT(SUM('p-pi-multi'!$C$3:C73)/COUNTIF($A$3:A73,"&lt;&gt;0"))</f>
        <v>13.790688836731444</v>
      </c>
    </row>
    <row r="74" spans="1:9">
      <c r="A74">
        <v>72</v>
      </c>
      <c r="B74">
        <v>233</v>
      </c>
      <c r="C74">
        <v>237</v>
      </c>
      <c r="D74">
        <v>218</v>
      </c>
      <c r="E74" s="4">
        <f t="shared" si="4"/>
        <v>1</v>
      </c>
      <c r="F74" s="4">
        <f t="shared" si="5"/>
        <v>4</v>
      </c>
      <c r="G74" s="4">
        <f t="shared" si="6"/>
        <v>2.94719003849767E-4</v>
      </c>
      <c r="H74" s="4">
        <f t="shared" si="7"/>
        <v>16</v>
      </c>
      <c r="I74" s="5">
        <f>SQRT(SUM('p-pi-multi'!$C$3:C74)/COUNTIF($A$3:A74,"&lt;&gt;0"))</f>
        <v>13.814243856734734</v>
      </c>
    </row>
    <row r="75" spans="1:9">
      <c r="A75">
        <v>73</v>
      </c>
      <c r="B75">
        <v>233</v>
      </c>
      <c r="C75">
        <v>218</v>
      </c>
      <c r="D75">
        <v>224</v>
      </c>
      <c r="E75" s="4">
        <f t="shared" si="4"/>
        <v>1</v>
      </c>
      <c r="F75" s="4">
        <f t="shared" si="5"/>
        <v>15</v>
      </c>
      <c r="G75" s="4">
        <f t="shared" si="6"/>
        <v>4.1444859916373476E-3</v>
      </c>
      <c r="H75" s="4">
        <f t="shared" si="7"/>
        <v>225</v>
      </c>
      <c r="I75" s="5">
        <f>SQRT(SUM('p-pi-multi'!$C$3:C75)/COUNTIF($A$3:A75,"&lt;&gt;0"))</f>
        <v>13.8277069484443</v>
      </c>
    </row>
    <row r="76" spans="1:9">
      <c r="A76">
        <v>74</v>
      </c>
      <c r="B76">
        <v>233</v>
      </c>
      <c r="C76">
        <v>203</v>
      </c>
      <c r="D76">
        <v>231</v>
      </c>
      <c r="E76" s="4">
        <f t="shared" si="4"/>
        <v>1</v>
      </c>
      <c r="F76" s="4">
        <f t="shared" si="5"/>
        <v>30</v>
      </c>
      <c r="G76" s="4">
        <f t="shared" si="6"/>
        <v>1.657794396654939E-2</v>
      </c>
      <c r="H76" s="4">
        <f t="shared" si="7"/>
        <v>900</v>
      </c>
      <c r="I76" s="5">
        <f>SQRT(SUM('p-pi-multi'!$C$3:C76)/COUNTIF($A$3:A76,"&lt;&gt;0"))</f>
        <v>13.833469010514495</v>
      </c>
    </row>
    <row r="77" spans="1:9">
      <c r="A77">
        <v>75</v>
      </c>
      <c r="B77">
        <v>233</v>
      </c>
      <c r="C77">
        <v>235</v>
      </c>
      <c r="D77">
        <v>237</v>
      </c>
      <c r="E77" s="4">
        <f t="shared" si="4"/>
        <v>1</v>
      </c>
      <c r="F77" s="4">
        <f t="shared" si="5"/>
        <v>2</v>
      </c>
      <c r="G77" s="4">
        <f t="shared" si="6"/>
        <v>7.3679750962441751E-5</v>
      </c>
      <c r="H77" s="4">
        <f t="shared" si="7"/>
        <v>4</v>
      </c>
      <c r="I77" s="5">
        <f>SQRT(SUM('p-pi-multi'!$C$3:C77)/COUNTIF($A$3:A77,"&lt;&gt;0"))</f>
        <v>13.854481825989259</v>
      </c>
    </row>
    <row r="78" spans="1:9">
      <c r="A78">
        <v>76</v>
      </c>
      <c r="B78">
        <v>233</v>
      </c>
      <c r="C78">
        <v>203</v>
      </c>
      <c r="D78">
        <v>227</v>
      </c>
      <c r="E78" s="4">
        <f t="shared" si="4"/>
        <v>1</v>
      </c>
      <c r="F78" s="4">
        <f t="shared" si="5"/>
        <v>30</v>
      </c>
      <c r="G78" s="4">
        <f t="shared" si="6"/>
        <v>1.657794396654939E-2</v>
      </c>
      <c r="H78" s="4">
        <f t="shared" si="7"/>
        <v>900</v>
      </c>
      <c r="I78" s="5">
        <f>SQRT(SUM('p-pi-multi'!$C$3:C78)/COUNTIF($A$3:A78,"&lt;&gt;0"))</f>
        <v>13.859729624460858</v>
      </c>
    </row>
    <row r="79" spans="1:9">
      <c r="A79">
        <v>77</v>
      </c>
      <c r="B79">
        <v>233</v>
      </c>
      <c r="C79">
        <v>208</v>
      </c>
      <c r="D79">
        <v>239</v>
      </c>
      <c r="E79" s="4">
        <f t="shared" si="4"/>
        <v>1</v>
      </c>
      <c r="F79" s="4">
        <f t="shared" si="5"/>
        <v>25</v>
      </c>
      <c r="G79" s="4">
        <f t="shared" si="6"/>
        <v>1.1512461087881523E-2</v>
      </c>
      <c r="H79" s="4">
        <f t="shared" si="7"/>
        <v>625</v>
      </c>
      <c r="I79" s="5">
        <f>SQRT(SUM('p-pi-multi'!$C$3:C79)/COUNTIF($A$3:A79,"&lt;&gt;0"))</f>
        <v>13.867180726402223</v>
      </c>
    </row>
    <row r="80" spans="1:9">
      <c r="A80">
        <v>78</v>
      </c>
      <c r="B80">
        <v>233</v>
      </c>
      <c r="C80">
        <v>239</v>
      </c>
      <c r="D80">
        <v>239</v>
      </c>
      <c r="E80" s="4">
        <f t="shared" si="4"/>
        <v>1</v>
      </c>
      <c r="F80" s="4">
        <f t="shared" si="5"/>
        <v>6</v>
      </c>
      <c r="G80" s="4">
        <f t="shared" si="6"/>
        <v>6.6311775866197576E-4</v>
      </c>
      <c r="H80" s="4">
        <f t="shared" si="7"/>
        <v>36</v>
      </c>
      <c r="I80" s="5">
        <f>SQRT(SUM('p-pi-multi'!$C$3:C80)/COUNTIF($A$3:A80,"&lt;&gt;0"))</f>
        <v>13.888752136078889</v>
      </c>
    </row>
    <row r="81" spans="1:9">
      <c r="A81">
        <v>79</v>
      </c>
      <c r="B81">
        <v>233</v>
      </c>
      <c r="C81">
        <v>265</v>
      </c>
      <c r="D81">
        <v>230</v>
      </c>
      <c r="E81" s="4">
        <f t="shared" si="4"/>
        <v>1</v>
      </c>
      <c r="F81" s="4">
        <f t="shared" si="5"/>
        <v>32</v>
      </c>
      <c r="G81" s="4">
        <f t="shared" si="6"/>
        <v>1.8862016246385088E-2</v>
      </c>
      <c r="H81" s="4">
        <f t="shared" si="7"/>
        <v>1024</v>
      </c>
      <c r="I81" s="5">
        <f>SQRT(SUM('p-pi-multi'!$C$3:C81)/COUNTIF($A$3:A81,"&lt;&gt;0"))</f>
        <v>13.921570550131134</v>
      </c>
    </row>
    <row r="82" spans="1:9">
      <c r="A82">
        <v>80</v>
      </c>
      <c r="B82">
        <v>233</v>
      </c>
      <c r="C82">
        <v>197</v>
      </c>
      <c r="D82">
        <v>219</v>
      </c>
      <c r="E82" s="4">
        <f t="shared" si="4"/>
        <v>1</v>
      </c>
      <c r="F82" s="4">
        <f t="shared" si="5"/>
        <v>36</v>
      </c>
      <c r="G82" s="4">
        <f t="shared" si="6"/>
        <v>2.387223931183113E-2</v>
      </c>
      <c r="H82" s="4">
        <f t="shared" si="7"/>
        <v>1296</v>
      </c>
      <c r="I82" s="5">
        <f>SQRT(SUM('p-pi-multi'!$C$3:C82)/COUNTIF($A$3:A82,"&lt;&gt;0"))</f>
        <v>13.92300254973761</v>
      </c>
    </row>
    <row r="83" spans="1:9">
      <c r="A83">
        <v>81</v>
      </c>
      <c r="B83">
        <v>233</v>
      </c>
      <c r="C83">
        <v>249</v>
      </c>
      <c r="D83">
        <v>243</v>
      </c>
      <c r="E83" s="4">
        <f t="shared" si="4"/>
        <v>1</v>
      </c>
      <c r="F83" s="4">
        <f t="shared" si="5"/>
        <v>16</v>
      </c>
      <c r="G83" s="4">
        <f t="shared" si="6"/>
        <v>4.7155040615962721E-3</v>
      </c>
      <c r="H83" s="4">
        <f t="shared" si="7"/>
        <v>256</v>
      </c>
      <c r="I83" s="5">
        <f>SQRT(SUM('p-pi-multi'!$C$3:C83)/COUNTIF($A$3:A83,"&lt;&gt;0"))</f>
        <v>13.947432172178894</v>
      </c>
    </row>
    <row r="84" spans="1:9">
      <c r="A84">
        <v>82</v>
      </c>
      <c r="B84">
        <v>233</v>
      </c>
      <c r="C84">
        <v>274</v>
      </c>
      <c r="D84">
        <v>226</v>
      </c>
      <c r="E84" s="4">
        <f t="shared" si="4"/>
        <v>1</v>
      </c>
      <c r="F84" s="4">
        <f t="shared" si="5"/>
        <v>41</v>
      </c>
      <c r="G84" s="4">
        <f t="shared" si="6"/>
        <v>3.0963915341966144E-2</v>
      </c>
      <c r="H84" s="4">
        <f t="shared" si="7"/>
        <v>1681</v>
      </c>
      <c r="I84" s="5">
        <f>SQRT(SUM('p-pi-multi'!$C$3:C84)/COUNTIF($A$3:A84,"&lt;&gt;0"))</f>
        <v>13.982131454109563</v>
      </c>
    </row>
    <row r="85" spans="1:9">
      <c r="A85">
        <v>83</v>
      </c>
      <c r="B85">
        <v>233</v>
      </c>
      <c r="C85">
        <v>214</v>
      </c>
      <c r="D85">
        <v>215</v>
      </c>
      <c r="E85" s="4">
        <f t="shared" si="4"/>
        <v>1</v>
      </c>
      <c r="F85" s="4">
        <f t="shared" si="5"/>
        <v>19</v>
      </c>
      <c r="G85" s="4">
        <f t="shared" si="6"/>
        <v>6.6495975243603669E-3</v>
      </c>
      <c r="H85" s="4">
        <f t="shared" si="7"/>
        <v>361</v>
      </c>
      <c r="I85" s="5">
        <f>SQRT(SUM('p-pi-multi'!$C$3:C85)/COUNTIF($A$3:A85,"&lt;&gt;0"))</f>
        <v>13.990099769703754</v>
      </c>
    </row>
    <row r="86" spans="1:9">
      <c r="A86">
        <v>84</v>
      </c>
      <c r="B86">
        <v>233</v>
      </c>
      <c r="C86">
        <v>264</v>
      </c>
      <c r="D86">
        <v>235</v>
      </c>
      <c r="E86" s="4">
        <f t="shared" si="4"/>
        <v>1</v>
      </c>
      <c r="F86" s="4">
        <f t="shared" si="5"/>
        <v>31</v>
      </c>
      <c r="G86" s="4">
        <f t="shared" si="6"/>
        <v>1.7701560168726628E-2</v>
      </c>
      <c r="H86" s="4">
        <f t="shared" si="7"/>
        <v>961</v>
      </c>
      <c r="I86" s="5">
        <f>SQRT(SUM('p-pi-multi'!$C$3:C86)/COUNTIF($A$3:A86,"&lt;&gt;0"))</f>
        <v>14.019119597382508</v>
      </c>
    </row>
    <row r="87" spans="1:9">
      <c r="A87">
        <v>85</v>
      </c>
      <c r="B87">
        <v>233</v>
      </c>
      <c r="C87">
        <v>237</v>
      </c>
      <c r="D87">
        <v>217</v>
      </c>
      <c r="E87" s="4">
        <f t="shared" si="4"/>
        <v>1</v>
      </c>
      <c r="F87" s="4">
        <f t="shared" si="5"/>
        <v>4</v>
      </c>
      <c r="G87" s="4">
        <f t="shared" si="6"/>
        <v>2.94719003849767E-4</v>
      </c>
      <c r="H87" s="4">
        <f t="shared" si="7"/>
        <v>16</v>
      </c>
      <c r="I87" s="5">
        <f>SQRT(SUM('p-pi-multi'!$C$3:C87)/COUNTIF($A$3:A87,"&lt;&gt;0"))</f>
        <v>14.036087941655337</v>
      </c>
    </row>
    <row r="88" spans="1:9">
      <c r="A88">
        <v>86</v>
      </c>
      <c r="B88">
        <v>233</v>
      </c>
      <c r="C88">
        <v>243</v>
      </c>
      <c r="D88">
        <v>225</v>
      </c>
      <c r="E88" s="4">
        <f t="shared" si="4"/>
        <v>1</v>
      </c>
      <c r="F88" s="4">
        <f t="shared" si="5"/>
        <v>10</v>
      </c>
      <c r="G88" s="4">
        <f t="shared" si="6"/>
        <v>1.8419937740610437E-3</v>
      </c>
      <c r="H88" s="4">
        <f t="shared" si="7"/>
        <v>100</v>
      </c>
      <c r="I88" s="5">
        <f>SQRT(SUM('p-pi-multi'!$C$3:C88)/COUNTIF($A$3:A88,"&lt;&gt;0"))</f>
        <v>14.055124034597025</v>
      </c>
    </row>
    <row r="89" spans="1:9">
      <c r="A89">
        <v>87</v>
      </c>
      <c r="B89">
        <v>233</v>
      </c>
      <c r="C89">
        <v>198</v>
      </c>
      <c r="D89">
        <v>223</v>
      </c>
      <c r="E89" s="4">
        <f t="shared" si="4"/>
        <v>1</v>
      </c>
      <c r="F89" s="4">
        <f t="shared" si="5"/>
        <v>35</v>
      </c>
      <c r="G89" s="4">
        <f t="shared" si="6"/>
        <v>2.2564423732247787E-2</v>
      </c>
      <c r="H89" s="4">
        <f t="shared" si="7"/>
        <v>1225</v>
      </c>
      <c r="I89" s="5">
        <f>SQRT(SUM('p-pi-multi'!$C$3:C89)/COUNTIF($A$3:A89,"&lt;&gt;0"))</f>
        <v>14.055309464324543</v>
      </c>
    </row>
    <row r="90" spans="1:9">
      <c r="A90">
        <v>88</v>
      </c>
      <c r="B90">
        <v>233</v>
      </c>
      <c r="C90">
        <v>207</v>
      </c>
      <c r="D90">
        <v>238</v>
      </c>
      <c r="E90" s="4">
        <f t="shared" si="4"/>
        <v>1</v>
      </c>
      <c r="F90" s="4">
        <f t="shared" si="5"/>
        <v>26</v>
      </c>
      <c r="G90" s="4">
        <f t="shared" si="6"/>
        <v>1.2451877912652657E-2</v>
      </c>
      <c r="H90" s="4">
        <f t="shared" si="7"/>
        <v>676</v>
      </c>
      <c r="I90" s="5">
        <f>SQRT(SUM('p-pi-multi'!$C$3:C90)/COUNTIF($A$3:A90,"&lt;&gt;0"))</f>
        <v>14.059128383690467</v>
      </c>
    </row>
    <row r="91" spans="1:9">
      <c r="A91">
        <v>89</v>
      </c>
      <c r="B91">
        <v>233</v>
      </c>
      <c r="C91">
        <v>210</v>
      </c>
      <c r="D91">
        <v>238</v>
      </c>
      <c r="E91" s="4">
        <f t="shared" si="4"/>
        <v>1</v>
      </c>
      <c r="F91" s="4">
        <f t="shared" si="5"/>
        <v>23</v>
      </c>
      <c r="G91" s="4">
        <f t="shared" si="6"/>
        <v>9.7441470647829202E-3</v>
      </c>
      <c r="H91" s="4">
        <f t="shared" si="7"/>
        <v>529</v>
      </c>
      <c r="I91" s="5">
        <f>SQRT(SUM('p-pi-multi'!$C$3:C91)/COUNTIF($A$3:A91,"&lt;&gt;0"))</f>
        <v>14.064058902357768</v>
      </c>
    </row>
    <row r="92" spans="1:9">
      <c r="A92">
        <v>90</v>
      </c>
      <c r="B92">
        <v>233</v>
      </c>
      <c r="C92">
        <v>238</v>
      </c>
      <c r="D92">
        <v>239</v>
      </c>
      <c r="E92" s="4">
        <f t="shared" si="4"/>
        <v>1</v>
      </c>
      <c r="F92" s="4">
        <f t="shared" si="5"/>
        <v>5</v>
      </c>
      <c r="G92" s="4">
        <f t="shared" si="6"/>
        <v>4.6049844351526092E-4</v>
      </c>
      <c r="H92" s="4">
        <f t="shared" si="7"/>
        <v>25</v>
      </c>
      <c r="I92" s="5">
        <f>SQRT(SUM('p-pi-multi'!$C$3:C92)/COUNTIF($A$3:A92,"&lt;&gt;0"))</f>
        <v>14.079930555384299</v>
      </c>
    </row>
    <row r="93" spans="1:9">
      <c r="A93">
        <v>91</v>
      </c>
      <c r="B93">
        <v>233</v>
      </c>
      <c r="C93">
        <v>251</v>
      </c>
      <c r="D93">
        <v>230</v>
      </c>
      <c r="E93" s="4">
        <f t="shared" si="4"/>
        <v>1</v>
      </c>
      <c r="F93" s="4">
        <f t="shared" si="5"/>
        <v>18</v>
      </c>
      <c r="G93" s="4">
        <f t="shared" si="6"/>
        <v>5.9680598279577826E-3</v>
      </c>
      <c r="H93" s="4">
        <f t="shared" si="7"/>
        <v>324</v>
      </c>
      <c r="I93" s="5">
        <f>SQRT(SUM('p-pi-multi'!$C$3:C93)/COUNTIF($A$3:A93,"&lt;&gt;0"))</f>
        <v>14.100502679840028</v>
      </c>
    </row>
    <row r="94" spans="1:9">
      <c r="A94">
        <v>92</v>
      </c>
      <c r="B94">
        <v>233</v>
      </c>
      <c r="C94">
        <v>200</v>
      </c>
      <c r="D94">
        <v>224</v>
      </c>
      <c r="E94" s="4">
        <f t="shared" si="4"/>
        <v>1</v>
      </c>
      <c r="F94" s="4">
        <f t="shared" si="5"/>
        <v>33</v>
      </c>
      <c r="G94" s="4">
        <f t="shared" si="6"/>
        <v>2.0059312199524768E-2</v>
      </c>
      <c r="H94" s="4">
        <f t="shared" si="7"/>
        <v>1089</v>
      </c>
      <c r="I94" s="5">
        <f>SQRT(SUM('p-pi-multi'!$C$3:C94)/COUNTIF($A$3:A94,"&lt;&gt;0"))</f>
        <v>14.100955872625768</v>
      </c>
    </row>
    <row r="95" spans="1:9">
      <c r="A95">
        <v>93</v>
      </c>
      <c r="B95">
        <v>233</v>
      </c>
      <c r="C95">
        <v>250</v>
      </c>
      <c r="D95">
        <v>242</v>
      </c>
      <c r="E95" s="4">
        <f t="shared" si="4"/>
        <v>1</v>
      </c>
      <c r="F95" s="4">
        <f t="shared" si="5"/>
        <v>17</v>
      </c>
      <c r="G95" s="4">
        <f t="shared" si="6"/>
        <v>5.3233620070364165E-3</v>
      </c>
      <c r="H95" s="4">
        <f t="shared" si="7"/>
        <v>289</v>
      </c>
      <c r="I95" s="5">
        <f>SQRT(SUM('p-pi-multi'!$C$3:C95)/COUNTIF($A$3:A95,"&lt;&gt;0"))</f>
        <v>14.120449595327818</v>
      </c>
    </row>
    <row r="96" spans="1:9">
      <c r="A96">
        <v>94</v>
      </c>
      <c r="B96">
        <v>233</v>
      </c>
      <c r="C96">
        <v>204</v>
      </c>
      <c r="D96">
        <v>226</v>
      </c>
      <c r="E96" s="4">
        <f t="shared" si="4"/>
        <v>1</v>
      </c>
      <c r="F96" s="4">
        <f t="shared" si="5"/>
        <v>29</v>
      </c>
      <c r="G96" s="4">
        <f t="shared" si="6"/>
        <v>1.5491167639853379E-2</v>
      </c>
      <c r="H96" s="4">
        <f t="shared" si="7"/>
        <v>841</v>
      </c>
      <c r="I96" s="5">
        <f>SQRT(SUM('p-pi-multi'!$C$3:C96)/COUNTIF($A$3:A96,"&lt;&gt;0"))</f>
        <v>14.122187161086838</v>
      </c>
    </row>
    <row r="97" spans="1:9">
      <c r="A97">
        <v>95</v>
      </c>
      <c r="B97">
        <v>233</v>
      </c>
      <c r="C97">
        <v>258</v>
      </c>
      <c r="D97">
        <v>242</v>
      </c>
      <c r="E97" s="4">
        <f t="shared" si="4"/>
        <v>1</v>
      </c>
      <c r="F97" s="4">
        <f t="shared" si="5"/>
        <v>25</v>
      </c>
      <c r="G97" s="4">
        <f t="shared" si="6"/>
        <v>1.1512461087881523E-2</v>
      </c>
      <c r="H97" s="4">
        <f t="shared" si="7"/>
        <v>625</v>
      </c>
      <c r="I97" s="5">
        <f>SQRT(SUM('p-pi-multi'!$C$3:C97)/COUNTIF($A$3:A97,"&lt;&gt;0"))</f>
        <v>14.143996308644434</v>
      </c>
    </row>
    <row r="98" spans="1:9">
      <c r="A98">
        <v>96</v>
      </c>
      <c r="B98">
        <v>233</v>
      </c>
      <c r="C98">
        <v>227</v>
      </c>
      <c r="D98">
        <v>224</v>
      </c>
      <c r="E98" s="4">
        <f t="shared" si="4"/>
        <v>1</v>
      </c>
      <c r="F98" s="4">
        <f t="shared" si="5"/>
        <v>6</v>
      </c>
      <c r="G98" s="4">
        <f t="shared" si="6"/>
        <v>6.6311775866197576E-4</v>
      </c>
      <c r="H98" s="4">
        <f t="shared" si="7"/>
        <v>36</v>
      </c>
      <c r="I98" s="5">
        <f>SQRT(SUM('p-pi-multi'!$C$3:C98)/COUNTIF($A$3:A98,"&lt;&gt;0"))</f>
        <v>14.153915830374764</v>
      </c>
    </row>
    <row r="99" spans="1:9">
      <c r="A99">
        <v>97</v>
      </c>
      <c r="B99">
        <v>233</v>
      </c>
      <c r="C99">
        <v>264</v>
      </c>
      <c r="D99">
        <v>233</v>
      </c>
      <c r="E99" s="4">
        <f t="shared" si="4"/>
        <v>1</v>
      </c>
      <c r="F99" s="4">
        <f t="shared" si="5"/>
        <v>31</v>
      </c>
      <c r="G99" s="4">
        <f t="shared" si="6"/>
        <v>1.7701560168726628E-2</v>
      </c>
      <c r="H99" s="4">
        <f t="shared" si="7"/>
        <v>961</v>
      </c>
      <c r="I99" s="5">
        <f>SQRT(SUM('p-pi-multi'!$C$3:C99)/COUNTIF($A$3:A99,"&lt;&gt;0"))</f>
        <v>14.177083293881344</v>
      </c>
    </row>
    <row r="100" spans="1:9">
      <c r="A100">
        <v>98</v>
      </c>
      <c r="B100">
        <v>233</v>
      </c>
      <c r="C100">
        <v>238</v>
      </c>
      <c r="D100">
        <v>220</v>
      </c>
      <c r="E100" s="4">
        <f t="shared" si="4"/>
        <v>1</v>
      </c>
      <c r="F100" s="4">
        <f t="shared" si="5"/>
        <v>5</v>
      </c>
      <c r="G100" s="4">
        <f t="shared" si="6"/>
        <v>4.6049844351526092E-4</v>
      </c>
      <c r="H100" s="4">
        <f t="shared" si="7"/>
        <v>25</v>
      </c>
      <c r="I100" s="5">
        <f>SQRT(SUM('p-pi-multi'!$C$3:C100)/COUNTIF($A$3:A100,"&lt;&gt;0"))</f>
        <v>14.190396292520358</v>
      </c>
    </row>
    <row r="101" spans="1:9">
      <c r="A101">
        <v>99</v>
      </c>
      <c r="B101">
        <v>233</v>
      </c>
      <c r="C101">
        <v>265</v>
      </c>
      <c r="D101">
        <v>227</v>
      </c>
      <c r="E101" s="4">
        <f t="shared" si="4"/>
        <v>1</v>
      </c>
      <c r="F101" s="4">
        <f t="shared" si="5"/>
        <v>32</v>
      </c>
      <c r="G101" s="4">
        <f t="shared" si="6"/>
        <v>1.8862016246385088E-2</v>
      </c>
      <c r="H101" s="4">
        <f t="shared" si="7"/>
        <v>1024</v>
      </c>
      <c r="I101" s="5">
        <f>SQRT(SUM('p-pi-multi'!$C$3:C101)/COUNTIF($A$3:A101,"&lt;&gt;0"))</f>
        <v>14.213025751404977</v>
      </c>
    </row>
    <row r="102" spans="1:9">
      <c r="A102">
        <v>100</v>
      </c>
      <c r="B102">
        <v>233</v>
      </c>
      <c r="C102">
        <v>219</v>
      </c>
      <c r="D102">
        <v>217</v>
      </c>
      <c r="E102" s="4">
        <f t="shared" si="4"/>
        <v>1</v>
      </c>
      <c r="F102" s="4">
        <f t="shared" si="5"/>
        <v>14</v>
      </c>
      <c r="G102" s="4">
        <f t="shared" si="6"/>
        <v>3.6103077971596457E-3</v>
      </c>
      <c r="H102" s="4">
        <f t="shared" si="7"/>
        <v>196</v>
      </c>
      <c r="I102" s="5">
        <f>SQRT(SUM('p-pi-multi'!$C$3:C102)/COUNTIF($A$3:A102,"&lt;&gt;0"))</f>
        <v>14.219001371404392</v>
      </c>
    </row>
    <row r="103" spans="1:9">
      <c r="A103">
        <v>101</v>
      </c>
      <c r="B103">
        <v>233</v>
      </c>
      <c r="C103">
        <v>225</v>
      </c>
      <c r="D103">
        <v>232</v>
      </c>
      <c r="E103" s="4">
        <f t="shared" si="4"/>
        <v>1</v>
      </c>
      <c r="F103" s="4">
        <f t="shared" si="5"/>
        <v>8</v>
      </c>
      <c r="G103" s="4">
        <f t="shared" si="6"/>
        <v>1.178876015399068E-3</v>
      </c>
      <c r="H103" s="4">
        <f t="shared" si="7"/>
        <v>64</v>
      </c>
      <c r="I103" s="5">
        <f>SQRT(SUM('p-pi-multi'!$C$3:C103)/COUNTIF($A$3:A103,"&lt;&gt;0"))</f>
        <v>14.226944176247386</v>
      </c>
    </row>
    <row r="104" spans="1:9">
      <c r="A104">
        <v>102</v>
      </c>
      <c r="B104">
        <v>233</v>
      </c>
      <c r="C104">
        <v>250</v>
      </c>
      <c r="D104">
        <v>230</v>
      </c>
      <c r="E104" s="4">
        <f t="shared" si="4"/>
        <v>1</v>
      </c>
      <c r="F104" s="4">
        <f t="shared" si="5"/>
        <v>17</v>
      </c>
      <c r="G104" s="4">
        <f t="shared" si="6"/>
        <v>5.3233620070364165E-3</v>
      </c>
      <c r="H104" s="4">
        <f t="shared" si="7"/>
        <v>289</v>
      </c>
      <c r="I104" s="5">
        <f>SQRT(SUM('p-pi-multi'!$C$3:C104)/COUNTIF($A$3:A104,"&lt;&gt;0"))</f>
        <v>14.24333349394052</v>
      </c>
    </row>
    <row r="105" spans="1:9">
      <c r="A105">
        <v>103</v>
      </c>
      <c r="B105">
        <v>233</v>
      </c>
      <c r="C105">
        <v>243</v>
      </c>
      <c r="D105">
        <v>222</v>
      </c>
      <c r="E105" s="4">
        <f t="shared" si="4"/>
        <v>1</v>
      </c>
      <c r="F105" s="4">
        <f t="shared" si="5"/>
        <v>10</v>
      </c>
      <c r="G105" s="4">
        <f t="shared" si="6"/>
        <v>1.8419937740610437E-3</v>
      </c>
      <c r="H105" s="4">
        <f t="shared" si="7"/>
        <v>100</v>
      </c>
      <c r="I105" s="5">
        <f>SQRT(SUM('p-pi-multi'!$C$3:C105)/COUNTIF($A$3:A105,"&lt;&gt;0"))</f>
        <v>14.25700304840853</v>
      </c>
    </row>
    <row r="106" spans="1:9">
      <c r="A106">
        <v>104</v>
      </c>
      <c r="B106">
        <v>233</v>
      </c>
      <c r="C106">
        <v>198</v>
      </c>
      <c r="D106">
        <v>223</v>
      </c>
      <c r="E106" s="4">
        <f t="shared" si="4"/>
        <v>1</v>
      </c>
      <c r="F106" s="4">
        <f t="shared" si="5"/>
        <v>35</v>
      </c>
      <c r="G106" s="4">
        <f t="shared" si="6"/>
        <v>2.2564423732247787E-2</v>
      </c>
      <c r="H106" s="4">
        <f t="shared" si="7"/>
        <v>1225</v>
      </c>
      <c r="I106" s="5">
        <f>SQRT(SUM('p-pi-multi'!$C$3:C106)/COUNTIF($A$3:A106,"&lt;&gt;0"))</f>
        <v>14.255228460517161</v>
      </c>
    </row>
    <row r="107" spans="1:9">
      <c r="A107">
        <v>105</v>
      </c>
      <c r="B107">
        <v>233</v>
      </c>
      <c r="C107">
        <v>208</v>
      </c>
      <c r="D107">
        <v>239</v>
      </c>
      <c r="E107" s="4">
        <f t="shared" si="4"/>
        <v>1</v>
      </c>
      <c r="F107" s="4">
        <f t="shared" si="5"/>
        <v>25</v>
      </c>
      <c r="G107" s="4">
        <f t="shared" si="6"/>
        <v>1.1512461087881523E-2</v>
      </c>
      <c r="H107" s="4">
        <f t="shared" si="7"/>
        <v>625</v>
      </c>
      <c r="I107" s="5">
        <f>SQRT(SUM('p-pi-multi'!$C$3:C107)/COUNTIF($A$3:A107,"&lt;&gt;0"))</f>
        <v>14.256827938119436</v>
      </c>
    </row>
    <row r="108" spans="1:9">
      <c r="A108">
        <v>106</v>
      </c>
      <c r="B108">
        <v>233</v>
      </c>
      <c r="C108">
        <v>258</v>
      </c>
      <c r="D108">
        <v>238</v>
      </c>
      <c r="E108" s="4">
        <f t="shared" si="4"/>
        <v>1</v>
      </c>
      <c r="F108" s="4">
        <f t="shared" si="5"/>
        <v>25</v>
      </c>
      <c r="G108" s="4">
        <f t="shared" si="6"/>
        <v>1.1512461087881523E-2</v>
      </c>
      <c r="H108" s="4">
        <f t="shared" si="7"/>
        <v>625</v>
      </c>
      <c r="I108" s="5">
        <f>SQRT(SUM('p-pi-multi'!$C$3:C108)/COUNTIF($A$3:A108,"&lt;&gt;0"))</f>
        <v>14.274928542926595</v>
      </c>
    </row>
    <row r="109" spans="1:9">
      <c r="A109">
        <v>107</v>
      </c>
      <c r="B109">
        <v>233</v>
      </c>
      <c r="C109">
        <v>224</v>
      </c>
      <c r="D109">
        <v>221</v>
      </c>
      <c r="E109" s="4">
        <f t="shared" si="4"/>
        <v>1</v>
      </c>
      <c r="F109" s="4">
        <f t="shared" si="5"/>
        <v>9</v>
      </c>
      <c r="G109" s="4">
        <f t="shared" si="6"/>
        <v>1.4920149569894456E-3</v>
      </c>
      <c r="H109" s="4">
        <f t="shared" si="7"/>
        <v>81</v>
      </c>
      <c r="I109" s="5">
        <f>SQRT(SUM('p-pi-multi'!$C$3:C109)/COUNTIF($A$3:A109,"&lt;&gt;0"))</f>
        <v>14.281548124150614</v>
      </c>
    </row>
    <row r="110" spans="1:9">
      <c r="A110">
        <v>108</v>
      </c>
      <c r="B110">
        <v>233</v>
      </c>
      <c r="C110">
        <v>249</v>
      </c>
      <c r="D110">
        <v>232</v>
      </c>
      <c r="E110" s="4">
        <f t="shared" si="4"/>
        <v>1</v>
      </c>
      <c r="F110" s="4">
        <f t="shared" si="5"/>
        <v>16</v>
      </c>
      <c r="G110" s="4">
        <f t="shared" si="6"/>
        <v>4.7155040615962721E-3</v>
      </c>
      <c r="H110" s="4">
        <f t="shared" si="7"/>
        <v>256</v>
      </c>
      <c r="I110" s="5">
        <f>SQRT(SUM('p-pi-multi'!$C$3:C110)/COUNTIF($A$3:A110,"&lt;&gt;0"))</f>
        <v>14.296140375277155</v>
      </c>
    </row>
    <row r="111" spans="1:9">
      <c r="A111">
        <v>109</v>
      </c>
      <c r="B111">
        <v>233</v>
      </c>
      <c r="C111">
        <v>269</v>
      </c>
      <c r="D111">
        <v>223</v>
      </c>
      <c r="E111" s="4">
        <f t="shared" si="4"/>
        <v>1</v>
      </c>
      <c r="F111" s="4">
        <f t="shared" si="5"/>
        <v>36</v>
      </c>
      <c r="G111" s="4">
        <f t="shared" si="6"/>
        <v>2.387223931183113E-2</v>
      </c>
      <c r="H111" s="4">
        <f t="shared" si="7"/>
        <v>1296</v>
      </c>
      <c r="I111" s="5">
        <f>SQRT(SUM('p-pi-multi'!$C$3:C111)/COUNTIF($A$3:A111,"&lt;&gt;0"))</f>
        <v>14.316859888405006</v>
      </c>
    </row>
    <row r="112" spans="1:9">
      <c r="A112">
        <v>110</v>
      </c>
      <c r="B112">
        <v>233</v>
      </c>
      <c r="C112">
        <v>258</v>
      </c>
      <c r="D112">
        <v>214</v>
      </c>
      <c r="E112" s="4">
        <f t="shared" si="4"/>
        <v>1</v>
      </c>
      <c r="F112" s="4">
        <f t="shared" si="5"/>
        <v>25</v>
      </c>
      <c r="G112" s="4">
        <f t="shared" si="6"/>
        <v>1.1512461087881523E-2</v>
      </c>
      <c r="H112" s="4">
        <f t="shared" si="7"/>
        <v>625</v>
      </c>
      <c r="I112" s="5">
        <f>SQRT(SUM('p-pi-multi'!$C$3:C112)/COUNTIF($A$3:A112,"&lt;&gt;0"))</f>
        <v>14.33368568981982</v>
      </c>
    </row>
    <row r="113" spans="1:9">
      <c r="A113">
        <v>111</v>
      </c>
      <c r="B113">
        <v>233</v>
      </c>
      <c r="C113">
        <v>256</v>
      </c>
      <c r="D113">
        <v>216</v>
      </c>
      <c r="E113" s="4">
        <f t="shared" si="4"/>
        <v>1</v>
      </c>
      <c r="F113" s="4">
        <f t="shared" si="5"/>
        <v>23</v>
      </c>
      <c r="G113" s="4">
        <f t="shared" si="6"/>
        <v>9.7441470647829202E-3</v>
      </c>
      <c r="H113" s="4">
        <f t="shared" si="7"/>
        <v>529</v>
      </c>
      <c r="I113" s="5">
        <f>SQRT(SUM('p-pi-multi'!$C$3:C113)/COUNTIF($A$3:A113,"&lt;&gt;0"))</f>
        <v>14.349561314197375</v>
      </c>
    </row>
    <row r="114" spans="1:9">
      <c r="A114">
        <v>112</v>
      </c>
      <c r="B114">
        <v>233</v>
      </c>
      <c r="C114">
        <v>255</v>
      </c>
      <c r="D114">
        <v>215</v>
      </c>
      <c r="E114" s="4">
        <f t="shared" si="4"/>
        <v>1</v>
      </c>
      <c r="F114" s="4">
        <f t="shared" si="5"/>
        <v>22</v>
      </c>
      <c r="G114" s="4">
        <f t="shared" si="6"/>
        <v>8.9152498664554526E-3</v>
      </c>
      <c r="H114" s="4">
        <f t="shared" si="7"/>
        <v>484</v>
      </c>
      <c r="I114" s="5">
        <f>SQRT(SUM('p-pi-multi'!$C$3:C114)/COUNTIF($A$3:A114,"&lt;&gt;0"))</f>
        <v>14.364825591900317</v>
      </c>
    </row>
    <row r="115" spans="1:9">
      <c r="A115">
        <v>113</v>
      </c>
      <c r="B115">
        <v>233</v>
      </c>
      <c r="C115">
        <v>256</v>
      </c>
      <c r="D115">
        <v>213</v>
      </c>
      <c r="E115" s="4">
        <f t="shared" si="4"/>
        <v>1</v>
      </c>
      <c r="F115" s="4">
        <f t="shared" si="5"/>
        <v>23</v>
      </c>
      <c r="G115" s="4">
        <f t="shared" si="6"/>
        <v>9.7441470647829202E-3</v>
      </c>
      <c r="H115" s="4">
        <f t="shared" si="7"/>
        <v>529</v>
      </c>
      <c r="I115" s="5">
        <f>SQRT(SUM('p-pi-multi'!$C$3:C115)/COUNTIF($A$3:A115,"&lt;&gt;0"))</f>
        <v>14.380111634457815</v>
      </c>
    </row>
    <row r="116" spans="1:9">
      <c r="A116">
        <v>114</v>
      </c>
      <c r="B116">
        <v>233</v>
      </c>
      <c r="C116">
        <v>251</v>
      </c>
      <c r="D116">
        <v>211</v>
      </c>
      <c r="E116" s="4">
        <f t="shared" si="4"/>
        <v>1</v>
      </c>
      <c r="F116" s="4">
        <f t="shared" si="5"/>
        <v>18</v>
      </c>
      <c r="G116" s="4">
        <f t="shared" si="6"/>
        <v>5.9680598279577826E-3</v>
      </c>
      <c r="H116" s="4">
        <f t="shared" si="7"/>
        <v>324</v>
      </c>
      <c r="I116" s="5">
        <f>SQRT(SUM('p-pi-multi'!$C$3:C116)/COUNTIF($A$3:A116,"&lt;&gt;0"))</f>
        <v>14.39359019134876</v>
      </c>
    </row>
    <row r="117" spans="1:9">
      <c r="A117">
        <v>115</v>
      </c>
      <c r="B117">
        <v>233</v>
      </c>
      <c r="C117">
        <v>231</v>
      </c>
      <c r="D117">
        <v>211</v>
      </c>
      <c r="E117" s="4">
        <f t="shared" si="4"/>
        <v>1</v>
      </c>
      <c r="F117" s="4">
        <f t="shared" si="5"/>
        <v>2</v>
      </c>
      <c r="G117" s="4">
        <f t="shared" si="6"/>
        <v>7.3679750962441751E-5</v>
      </c>
      <c r="H117" s="4">
        <f t="shared" si="7"/>
        <v>4</v>
      </c>
      <c r="I117" s="5">
        <f>SQRT(SUM('p-pi-multi'!$C$3:C117)/COUNTIF($A$3:A117,"&lt;&gt;0"))</f>
        <v>14.400785002757738</v>
      </c>
    </row>
    <row r="118" spans="1:9">
      <c r="A118">
        <v>116</v>
      </c>
      <c r="B118">
        <v>233</v>
      </c>
      <c r="C118">
        <v>216</v>
      </c>
      <c r="D118">
        <v>218</v>
      </c>
      <c r="E118" s="4">
        <f t="shared" si="4"/>
        <v>1</v>
      </c>
      <c r="F118" s="4">
        <f t="shared" si="5"/>
        <v>17</v>
      </c>
      <c r="G118" s="4">
        <f t="shared" si="6"/>
        <v>5.3233620070364165E-3</v>
      </c>
      <c r="H118" s="4">
        <f t="shared" si="7"/>
        <v>289</v>
      </c>
      <c r="I118" s="5">
        <f>SQRT(SUM('p-pi-multi'!$C$3:C118)/COUNTIF($A$3:A118,"&lt;&gt;0"))</f>
        <v>14.403364070651138</v>
      </c>
    </row>
    <row r="119" spans="1:9">
      <c r="A119">
        <v>117</v>
      </c>
      <c r="B119">
        <v>233</v>
      </c>
      <c r="C119">
        <v>222</v>
      </c>
      <c r="D119">
        <v>223</v>
      </c>
      <c r="E119" s="4">
        <f t="shared" si="4"/>
        <v>1</v>
      </c>
      <c r="F119" s="4">
        <f t="shared" si="5"/>
        <v>11</v>
      </c>
      <c r="G119" s="4">
        <f t="shared" si="6"/>
        <v>2.2288124666138632E-3</v>
      </c>
      <c r="H119" s="4">
        <f t="shared" si="7"/>
        <v>121</v>
      </c>
      <c r="I119" s="5">
        <f>SQRT(SUM('p-pi-multi'!$C$3:C119)/COUNTIF($A$3:A119,"&lt;&gt;0"))</f>
        <v>14.407678389705838</v>
      </c>
    </row>
    <row r="120" spans="1:9">
      <c r="A120">
        <v>118</v>
      </c>
      <c r="B120">
        <v>233</v>
      </c>
      <c r="C120">
        <v>262</v>
      </c>
      <c r="D120">
        <v>222</v>
      </c>
      <c r="E120" s="4">
        <f t="shared" si="4"/>
        <v>1</v>
      </c>
      <c r="F120" s="4">
        <f t="shared" si="5"/>
        <v>29</v>
      </c>
      <c r="G120" s="4">
        <f t="shared" si="6"/>
        <v>1.5491167639853379E-2</v>
      </c>
      <c r="H120" s="4">
        <f t="shared" si="7"/>
        <v>841</v>
      </c>
      <c r="I120" s="5">
        <f>SQRT(SUM('p-pi-multi'!$C$3:C120)/COUNTIF($A$3:A120,"&lt;&gt;0"))</f>
        <v>14.42367404239835</v>
      </c>
    </row>
    <row r="121" spans="1:9">
      <c r="A121">
        <v>119</v>
      </c>
      <c r="B121">
        <v>233</v>
      </c>
      <c r="C121">
        <v>210</v>
      </c>
      <c r="D121">
        <v>208</v>
      </c>
      <c r="E121" s="4">
        <f t="shared" si="4"/>
        <v>1</v>
      </c>
      <c r="F121" s="4">
        <f t="shared" si="5"/>
        <v>23</v>
      </c>
      <c r="G121" s="4">
        <f t="shared" si="6"/>
        <v>9.7441470647829202E-3</v>
      </c>
      <c r="H121" s="4">
        <f t="shared" si="7"/>
        <v>529</v>
      </c>
      <c r="I121" s="5">
        <f>SQRT(SUM('p-pi-multi'!$C$3:C121)/COUNTIF($A$3:A121,"&lt;&gt;0"))</f>
        <v>14.42424429664902</v>
      </c>
    </row>
    <row r="122" spans="1:9">
      <c r="A122">
        <v>120</v>
      </c>
      <c r="B122">
        <v>233</v>
      </c>
      <c r="C122">
        <v>261</v>
      </c>
      <c r="D122">
        <v>225</v>
      </c>
      <c r="E122" s="4">
        <f t="shared" si="4"/>
        <v>1</v>
      </c>
      <c r="F122" s="4">
        <f t="shared" si="5"/>
        <v>28</v>
      </c>
      <c r="G122" s="4">
        <f t="shared" si="6"/>
        <v>1.4441231188638583E-2</v>
      </c>
      <c r="H122" s="4">
        <f t="shared" si="7"/>
        <v>784</v>
      </c>
      <c r="I122" s="5">
        <f>SQRT(SUM('p-pi-multi'!$C$3:C122)/COUNTIF($A$3:A122,"&lt;&gt;0"))</f>
        <v>14.439529078193651</v>
      </c>
    </row>
    <row r="123" spans="1:9">
      <c r="A123">
        <v>121</v>
      </c>
      <c r="B123">
        <v>233</v>
      </c>
      <c r="C123">
        <v>228</v>
      </c>
      <c r="D123">
        <v>208</v>
      </c>
      <c r="E123" s="4">
        <f t="shared" si="4"/>
        <v>1</v>
      </c>
      <c r="F123" s="4">
        <f t="shared" si="5"/>
        <v>5</v>
      </c>
      <c r="G123" s="4">
        <f t="shared" si="6"/>
        <v>4.6049844351526092E-4</v>
      </c>
      <c r="H123" s="4">
        <f t="shared" si="7"/>
        <v>25</v>
      </c>
      <c r="I123" s="5">
        <f>SQRT(SUM('p-pi-multi'!$C$3:C123)/COUNTIF($A$3:A123,"&lt;&gt;0"))</f>
        <v>14.445108411666331</v>
      </c>
    </row>
    <row r="124" spans="1:9">
      <c r="A124">
        <v>122</v>
      </c>
      <c r="B124">
        <v>233</v>
      </c>
      <c r="C124">
        <v>256</v>
      </c>
      <c r="D124">
        <v>218</v>
      </c>
      <c r="E124" s="4">
        <f t="shared" si="4"/>
        <v>1</v>
      </c>
      <c r="F124" s="4">
        <f t="shared" si="5"/>
        <v>23</v>
      </c>
      <c r="G124" s="4">
        <f t="shared" si="6"/>
        <v>9.7441470647829202E-3</v>
      </c>
      <c r="H124" s="4">
        <f t="shared" si="7"/>
        <v>529</v>
      </c>
      <c r="I124" s="5">
        <f>SQRT(SUM('p-pi-multi'!$C$3:C124)/COUNTIF($A$3:A124,"&lt;&gt;0"))</f>
        <v>14.458533131955981</v>
      </c>
    </row>
    <row r="125" spans="1:9">
      <c r="A125">
        <v>123</v>
      </c>
      <c r="B125">
        <v>233</v>
      </c>
      <c r="C125">
        <v>251</v>
      </c>
      <c r="D125">
        <v>208</v>
      </c>
      <c r="E125" s="4">
        <f t="shared" si="4"/>
        <v>1</v>
      </c>
      <c r="F125" s="4">
        <f t="shared" si="5"/>
        <v>18</v>
      </c>
      <c r="G125" s="4">
        <f t="shared" si="6"/>
        <v>5.9680598279577826E-3</v>
      </c>
      <c r="H125" s="4">
        <f t="shared" si="7"/>
        <v>324</v>
      </c>
      <c r="I125" s="5">
        <f>SQRT(SUM('p-pi-multi'!$C$3:C125)/COUNTIF($A$3:A125,"&lt;&gt;0"))</f>
        <v>14.470322867940405</v>
      </c>
    </row>
    <row r="126" spans="1:9">
      <c r="A126">
        <v>124</v>
      </c>
      <c r="B126">
        <v>233</v>
      </c>
      <c r="C126">
        <v>249</v>
      </c>
      <c r="D126">
        <v>208</v>
      </c>
      <c r="E126" s="4">
        <f t="shared" si="4"/>
        <v>1</v>
      </c>
      <c r="F126" s="4">
        <f t="shared" si="5"/>
        <v>16</v>
      </c>
      <c r="G126" s="4">
        <f t="shared" si="6"/>
        <v>4.7155040615962721E-3</v>
      </c>
      <c r="H126" s="4">
        <f t="shared" si="7"/>
        <v>256</v>
      </c>
      <c r="I126" s="5">
        <f>SQRT(SUM('p-pi-multi'!$C$3:C126)/COUNTIF($A$3:A126,"&lt;&gt;0"))</f>
        <v>14.481356200969399</v>
      </c>
    </row>
    <row r="127" spans="1:9">
      <c r="A127">
        <v>125</v>
      </c>
      <c r="B127">
        <v>233</v>
      </c>
      <c r="C127">
        <v>227</v>
      </c>
      <c r="D127">
        <v>207</v>
      </c>
      <c r="E127" s="4">
        <f t="shared" si="4"/>
        <v>1</v>
      </c>
      <c r="F127" s="4">
        <f t="shared" si="5"/>
        <v>6</v>
      </c>
      <c r="G127" s="4">
        <f t="shared" si="6"/>
        <v>6.6311775866197576E-4</v>
      </c>
      <c r="H127" s="4">
        <f t="shared" si="7"/>
        <v>36</v>
      </c>
      <c r="I127" s="5">
        <f>SQRT(SUM('p-pi-multi'!$C$3:C127)/COUNTIF($A$3:A127,"&lt;&gt;0"))</f>
        <v>14.486131298590387</v>
      </c>
    </row>
    <row r="128" spans="1:9">
      <c r="A128">
        <v>126</v>
      </c>
      <c r="B128">
        <v>233</v>
      </c>
      <c r="C128">
        <v>213</v>
      </c>
      <c r="D128">
        <v>215</v>
      </c>
      <c r="E128" s="4">
        <f t="shared" si="4"/>
        <v>1</v>
      </c>
      <c r="F128" s="4">
        <f t="shared" si="5"/>
        <v>20</v>
      </c>
      <c r="G128" s="4">
        <f t="shared" si="6"/>
        <v>7.3679750962441747E-3</v>
      </c>
      <c r="H128" s="4">
        <f t="shared" si="7"/>
        <v>400</v>
      </c>
      <c r="I128" s="5">
        <f>SQRT(SUM('p-pi-multi'!$C$3:C128)/COUNTIF($A$3:A128,"&lt;&gt;0"))</f>
        <v>14.486994715019947</v>
      </c>
    </row>
    <row r="129" spans="1:9">
      <c r="A129">
        <v>127</v>
      </c>
      <c r="B129">
        <v>233</v>
      </c>
      <c r="C129">
        <v>219</v>
      </c>
      <c r="D129">
        <v>220</v>
      </c>
      <c r="E129" s="4">
        <f t="shared" si="4"/>
        <v>1</v>
      </c>
      <c r="F129" s="4">
        <f t="shared" si="5"/>
        <v>14</v>
      </c>
      <c r="G129" s="4">
        <f t="shared" si="6"/>
        <v>3.6103077971596457E-3</v>
      </c>
      <c r="H129" s="4">
        <f t="shared" si="7"/>
        <v>196</v>
      </c>
      <c r="I129" s="5">
        <f>SQRT(SUM('p-pi-multi'!$C$3:C129)/COUNTIF($A$3:A129,"&lt;&gt;0"))</f>
        <v>14.489474865907452</v>
      </c>
    </row>
    <row r="130" spans="1:9">
      <c r="A130">
        <v>128</v>
      </c>
      <c r="B130">
        <v>233</v>
      </c>
      <c r="C130">
        <v>240</v>
      </c>
      <c r="D130">
        <v>220</v>
      </c>
      <c r="E130" s="4">
        <f t="shared" si="4"/>
        <v>1</v>
      </c>
      <c r="F130" s="4">
        <f t="shared" si="5"/>
        <v>7</v>
      </c>
      <c r="G130" s="4">
        <f t="shared" si="6"/>
        <v>9.0257694928991142E-4</v>
      </c>
      <c r="H130" s="4">
        <f t="shared" si="7"/>
        <v>49</v>
      </c>
      <c r="I130" s="5">
        <f>SQRT(SUM('p-pi-multi'!$C$3:C130)/COUNTIF($A$3:A130,"&lt;&gt;0"))</f>
        <v>14.497575228292488</v>
      </c>
    </row>
    <row r="131" spans="1:9">
      <c r="A131">
        <v>129</v>
      </c>
      <c r="B131">
        <v>233</v>
      </c>
      <c r="C131">
        <v>257</v>
      </c>
      <c r="D131">
        <v>213</v>
      </c>
      <c r="E131" s="4">
        <f t="shared" si="4"/>
        <v>1</v>
      </c>
      <c r="F131" s="4">
        <f t="shared" si="5"/>
        <v>24</v>
      </c>
      <c r="G131" s="4">
        <f t="shared" si="6"/>
        <v>1.0609884138591612E-2</v>
      </c>
      <c r="H131" s="4">
        <f t="shared" si="7"/>
        <v>576</v>
      </c>
      <c r="I131" s="5">
        <f>SQRT(SUM('p-pi-multi'!$C$3:C131)/COUNTIF($A$3:A131,"&lt;&gt;0"))</f>
        <v>14.510087375991736</v>
      </c>
    </row>
    <row r="132" spans="1:9">
      <c r="A132">
        <v>130</v>
      </c>
      <c r="B132">
        <v>233</v>
      </c>
      <c r="C132">
        <v>248</v>
      </c>
      <c r="D132">
        <v>206</v>
      </c>
      <c r="E132" s="4">
        <f t="shared" ref="E132:E152" si="8">IF(AND(C132&lt;=B132*1.2,C132&gt;=B132*0.8),1,0)</f>
        <v>1</v>
      </c>
      <c r="F132" s="4">
        <f t="shared" ref="F132:F152" si="9">ABS(B132-C132)</f>
        <v>15</v>
      </c>
      <c r="G132" s="4">
        <f t="shared" ref="G132:G195" si="10">POWER(ABS(B132-C132)/B132,2)</f>
        <v>4.1444859916373476E-3</v>
      </c>
      <c r="H132" s="4">
        <f t="shared" ref="H132:H152" si="11">POWER(F132,2)</f>
        <v>225</v>
      </c>
      <c r="I132" s="5">
        <f>SQRT(SUM('p-pi-multi'!$C$3:C132)/COUNTIF($A$3:A132,"&lt;&gt;0"))</f>
        <v>14.520012714552601</v>
      </c>
    </row>
    <row r="133" spans="1:9">
      <c r="A133">
        <v>131</v>
      </c>
      <c r="B133">
        <v>233</v>
      </c>
      <c r="C133">
        <v>227</v>
      </c>
      <c r="D133">
        <v>207</v>
      </c>
      <c r="E133" s="4">
        <f t="shared" si="8"/>
        <v>1</v>
      </c>
      <c r="F133" s="4">
        <f t="shared" si="9"/>
        <v>6</v>
      </c>
      <c r="G133" s="4">
        <f t="shared" si="10"/>
        <v>6.6311775866197576E-4</v>
      </c>
      <c r="H133" s="4">
        <f t="shared" si="11"/>
        <v>36</v>
      </c>
      <c r="I133" s="5">
        <f>SQRT(SUM('p-pi-multi'!$C$3:C133)/COUNTIF($A$3:A133,"&lt;&gt;0"))</f>
        <v>14.52426240720273</v>
      </c>
    </row>
    <row r="134" spans="1:9">
      <c r="A134">
        <v>132</v>
      </c>
      <c r="B134">
        <v>233</v>
      </c>
      <c r="C134">
        <v>255</v>
      </c>
      <c r="D134">
        <v>214</v>
      </c>
      <c r="E134" s="4">
        <f t="shared" si="8"/>
        <v>1</v>
      </c>
      <c r="F134" s="4">
        <f t="shared" si="9"/>
        <v>22</v>
      </c>
      <c r="G134" s="4">
        <f t="shared" si="10"/>
        <v>8.9152498664554526E-3</v>
      </c>
      <c r="H134" s="4">
        <f t="shared" si="11"/>
        <v>484</v>
      </c>
      <c r="I134" s="5">
        <f>SQRT(SUM('p-pi-multi'!$C$3:C134)/COUNTIF($A$3:A134,"&lt;&gt;0"))</f>
        <v>14.535744865258154</v>
      </c>
    </row>
    <row r="135" spans="1:9">
      <c r="A135">
        <v>133</v>
      </c>
      <c r="B135">
        <v>233</v>
      </c>
      <c r="C135">
        <v>206</v>
      </c>
      <c r="D135">
        <v>204</v>
      </c>
      <c r="E135" s="4">
        <f t="shared" si="8"/>
        <v>1</v>
      </c>
      <c r="F135" s="4">
        <f t="shared" si="9"/>
        <v>27</v>
      </c>
      <c r="G135" s="4">
        <f t="shared" si="10"/>
        <v>1.3428134612905008E-2</v>
      </c>
      <c r="H135" s="4">
        <f t="shared" si="11"/>
        <v>729</v>
      </c>
      <c r="I135" s="5">
        <f>SQRT(SUM('p-pi-multi'!$C$3:C135)/COUNTIF($A$3:A135,"&lt;&gt;0"))</f>
        <v>14.534377189984848</v>
      </c>
    </row>
    <row r="136" spans="1:9">
      <c r="A136">
        <v>134</v>
      </c>
      <c r="B136">
        <v>233</v>
      </c>
      <c r="C136">
        <v>257</v>
      </c>
      <c r="D136">
        <v>221</v>
      </c>
      <c r="E136" s="4">
        <f t="shared" si="8"/>
        <v>1</v>
      </c>
      <c r="F136" s="4">
        <f t="shared" si="9"/>
        <v>24</v>
      </c>
      <c r="G136" s="4">
        <f t="shared" si="10"/>
        <v>1.0609884138591612E-2</v>
      </c>
      <c r="H136" s="4">
        <f t="shared" si="11"/>
        <v>576</v>
      </c>
      <c r="I136" s="5">
        <f>SQRT(SUM('p-pi-multi'!$C$3:C136)/COUNTIF($A$3:A136,"&lt;&gt;0"))</f>
        <v>14.546118115800034</v>
      </c>
    </row>
    <row r="137" spans="1:9">
      <c r="A137">
        <v>135</v>
      </c>
      <c r="B137">
        <v>233</v>
      </c>
      <c r="C137">
        <v>247</v>
      </c>
      <c r="D137">
        <v>203</v>
      </c>
      <c r="E137" s="4">
        <f t="shared" si="8"/>
        <v>1</v>
      </c>
      <c r="F137" s="4">
        <f t="shared" si="9"/>
        <v>14</v>
      </c>
      <c r="G137" s="4">
        <f t="shared" si="10"/>
        <v>3.6103077971596457E-3</v>
      </c>
      <c r="H137" s="4">
        <f t="shared" si="11"/>
        <v>196</v>
      </c>
      <c r="I137" s="5">
        <f>SQRT(SUM('p-pi-multi'!$C$3:C137)/COUNTIF($A$3:A137,"&lt;&gt;0"))</f>
        <v>14.555131461166946</v>
      </c>
    </row>
    <row r="138" spans="1:9">
      <c r="A138">
        <v>136</v>
      </c>
      <c r="B138">
        <v>233</v>
      </c>
      <c r="C138">
        <v>225</v>
      </c>
      <c r="D138">
        <v>206</v>
      </c>
      <c r="E138" s="4">
        <f t="shared" si="8"/>
        <v>1</v>
      </c>
      <c r="F138" s="4">
        <f t="shared" si="9"/>
        <v>8</v>
      </c>
      <c r="G138" s="4">
        <f t="shared" si="10"/>
        <v>1.178876015399068E-3</v>
      </c>
      <c r="H138" s="4">
        <f t="shared" si="11"/>
        <v>64</v>
      </c>
      <c r="I138" s="5">
        <f>SQRT(SUM('p-pi-multi'!$C$3:C138)/COUNTIF($A$3:A138,"&lt;&gt;0"))</f>
        <v>14.558452164009905</v>
      </c>
    </row>
    <row r="139" spans="1:9">
      <c r="A139">
        <v>137</v>
      </c>
      <c r="B139">
        <v>233</v>
      </c>
      <c r="C139">
        <v>211</v>
      </c>
      <c r="D139">
        <v>213</v>
      </c>
      <c r="E139" s="4">
        <f t="shared" si="8"/>
        <v>1</v>
      </c>
      <c r="F139" s="4">
        <f t="shared" si="9"/>
        <v>22</v>
      </c>
      <c r="G139" s="4">
        <f t="shared" si="10"/>
        <v>8.9152498664554526E-3</v>
      </c>
      <c r="H139" s="4">
        <f t="shared" si="11"/>
        <v>484</v>
      </c>
      <c r="I139" s="5">
        <f>SQRT(SUM('p-pi-multi'!$C$3:C139)/COUNTIF($A$3:A139,"&lt;&gt;0"))</f>
        <v>14.558214376750195</v>
      </c>
    </row>
    <row r="140" spans="1:9">
      <c r="A140">
        <v>138</v>
      </c>
      <c r="B140">
        <v>233</v>
      </c>
      <c r="C140">
        <v>260</v>
      </c>
      <c r="D140">
        <v>218</v>
      </c>
      <c r="E140" s="4">
        <f t="shared" si="8"/>
        <v>1</v>
      </c>
      <c r="F140" s="4">
        <f t="shared" si="9"/>
        <v>27</v>
      </c>
      <c r="G140" s="4">
        <f t="shared" si="10"/>
        <v>1.3428134612905008E-2</v>
      </c>
      <c r="H140" s="4">
        <f t="shared" si="11"/>
        <v>729</v>
      </c>
      <c r="I140" s="5">
        <f>SQRT(SUM('p-pi-multi'!$C$3:C140)/COUNTIF($A$3:A140,"&lt;&gt;0"))</f>
        <v>14.570170042674992</v>
      </c>
    </row>
    <row r="141" spans="1:9">
      <c r="A141">
        <v>139</v>
      </c>
      <c r="B141">
        <v>233</v>
      </c>
      <c r="C141">
        <v>205</v>
      </c>
      <c r="D141">
        <v>202</v>
      </c>
      <c r="E141" s="4">
        <f t="shared" si="8"/>
        <v>1</v>
      </c>
      <c r="F141" s="4">
        <f t="shared" si="9"/>
        <v>28</v>
      </c>
      <c r="G141" s="4">
        <f t="shared" si="10"/>
        <v>1.4441231188638583E-2</v>
      </c>
      <c r="H141" s="4">
        <f t="shared" si="11"/>
        <v>784</v>
      </c>
      <c r="I141" s="5">
        <f>SQRT(SUM('p-pi-multi'!$C$3:C141)/COUNTIF($A$3:A141,"&lt;&gt;0"))</f>
        <v>14.568370192713475</v>
      </c>
    </row>
    <row r="142" spans="1:9">
      <c r="A142">
        <v>140</v>
      </c>
      <c r="B142">
        <v>233</v>
      </c>
      <c r="C142">
        <v>240</v>
      </c>
      <c r="D142">
        <v>220</v>
      </c>
      <c r="E142" s="4">
        <f t="shared" si="8"/>
        <v>1</v>
      </c>
      <c r="F142" s="4">
        <f t="shared" si="9"/>
        <v>7</v>
      </c>
      <c r="G142" s="4">
        <f t="shared" si="10"/>
        <v>9.0257694928991142E-4</v>
      </c>
      <c r="H142" s="4">
        <f t="shared" si="11"/>
        <v>49</v>
      </c>
      <c r="I142" s="5">
        <f>SQRT(SUM('p-pi-multi'!$C$3:C142)/COUNTIF($A$3:A142,"&lt;&gt;0"))</f>
        <v>14.575174588515717</v>
      </c>
    </row>
    <row r="143" spans="1:9">
      <c r="A143">
        <v>141</v>
      </c>
      <c r="B143">
        <v>233</v>
      </c>
      <c r="C143">
        <v>211</v>
      </c>
      <c r="D143">
        <v>209</v>
      </c>
      <c r="E143" s="4">
        <f t="shared" si="8"/>
        <v>1</v>
      </c>
      <c r="F143" s="4">
        <f t="shared" si="9"/>
        <v>22</v>
      </c>
      <c r="G143" s="4">
        <f t="shared" si="10"/>
        <v>8.9152498664554526E-3</v>
      </c>
      <c r="H143" s="4">
        <f t="shared" si="11"/>
        <v>484</v>
      </c>
      <c r="I143" s="5">
        <f>SQRT(SUM('p-pi-multi'!$C$3:C143)/COUNTIF($A$3:A143,"&lt;&gt;0"))</f>
        <v>14.574825279052014</v>
      </c>
    </row>
    <row r="144" spans="1:9">
      <c r="A144">
        <v>142</v>
      </c>
      <c r="B144">
        <v>233</v>
      </c>
      <c r="C144">
        <v>217</v>
      </c>
      <c r="D144">
        <v>220</v>
      </c>
      <c r="E144" s="4">
        <f t="shared" si="8"/>
        <v>1</v>
      </c>
      <c r="F144" s="4">
        <f t="shared" si="9"/>
        <v>16</v>
      </c>
      <c r="G144" s="4">
        <f t="shared" si="10"/>
        <v>4.7155040615962721E-3</v>
      </c>
      <c r="H144" s="4">
        <f t="shared" si="11"/>
        <v>256</v>
      </c>
      <c r="I144" s="5">
        <f>SQRT(SUM('p-pi-multi'!$C$3:C144)/COUNTIF($A$3:A144,"&lt;&gt;0"))</f>
        <v>14.575930381244047</v>
      </c>
    </row>
    <row r="145" spans="1:9">
      <c r="A145">
        <v>143</v>
      </c>
      <c r="B145">
        <v>233</v>
      </c>
      <c r="C145">
        <v>259</v>
      </c>
      <c r="D145">
        <v>219</v>
      </c>
      <c r="E145" s="4">
        <f t="shared" si="8"/>
        <v>1</v>
      </c>
      <c r="F145" s="4">
        <f t="shared" si="9"/>
        <v>26</v>
      </c>
      <c r="G145" s="4">
        <f t="shared" si="10"/>
        <v>1.2451877912652657E-2</v>
      </c>
      <c r="H145" s="4">
        <f t="shared" si="11"/>
        <v>676</v>
      </c>
      <c r="I145" s="5">
        <f>SQRT(SUM('p-pi-multi'!$C$3:C145)/COUNTIF($A$3:A145,"&lt;&gt;0"))</f>
        <v>14.587090758037284</v>
      </c>
    </row>
    <row r="146" spans="1:9">
      <c r="A146">
        <v>144</v>
      </c>
      <c r="B146">
        <v>233</v>
      </c>
      <c r="C146">
        <v>247</v>
      </c>
      <c r="D146">
        <v>204</v>
      </c>
      <c r="E146" s="4">
        <f t="shared" si="8"/>
        <v>1</v>
      </c>
      <c r="F146" s="4">
        <f t="shared" si="9"/>
        <v>14</v>
      </c>
      <c r="G146" s="4">
        <f t="shared" si="10"/>
        <v>3.6103077971596457E-3</v>
      </c>
      <c r="H146" s="4">
        <f t="shared" si="11"/>
        <v>196</v>
      </c>
      <c r="I146" s="5">
        <f>SQRT(SUM('p-pi-multi'!$C$3:C146)/COUNTIF($A$3:A146,"&lt;&gt;0"))</f>
        <v>14.595233240114162</v>
      </c>
    </row>
    <row r="147" spans="1:9">
      <c r="A147">
        <v>145</v>
      </c>
      <c r="B147">
        <v>233</v>
      </c>
      <c r="C147">
        <v>246</v>
      </c>
      <c r="D147">
        <v>207</v>
      </c>
      <c r="E147" s="4">
        <f t="shared" si="8"/>
        <v>1</v>
      </c>
      <c r="F147" s="4">
        <f t="shared" si="9"/>
        <v>13</v>
      </c>
      <c r="G147" s="4">
        <f t="shared" si="10"/>
        <v>3.1129694781631642E-3</v>
      </c>
      <c r="H147" s="4">
        <f t="shared" si="11"/>
        <v>169</v>
      </c>
      <c r="I147" s="5">
        <f>SQRT(SUM('p-pi-multi'!$C$3:C147)/COUNTIF($A$3:A147,"&lt;&gt;0"))</f>
        <v>14.603022833032515</v>
      </c>
    </row>
    <row r="148" spans="1:9">
      <c r="A148">
        <v>146</v>
      </c>
      <c r="B148">
        <v>233</v>
      </c>
      <c r="C148">
        <v>206</v>
      </c>
      <c r="D148">
        <v>206</v>
      </c>
      <c r="E148" s="4">
        <f t="shared" si="8"/>
        <v>1</v>
      </c>
      <c r="F148" s="4">
        <f t="shared" si="9"/>
        <v>27</v>
      </c>
      <c r="G148" s="4">
        <f t="shared" si="10"/>
        <v>1.3428134612905008E-2</v>
      </c>
      <c r="H148" s="4">
        <f t="shared" si="11"/>
        <v>729</v>
      </c>
      <c r="I148" s="5">
        <f>SQRT(SUM('p-pi-multi'!$C$3:C148)/COUNTIF($A$3:A148,"&lt;&gt;0"))</f>
        <v>14.601322889963988</v>
      </c>
    </row>
    <row r="149" spans="1:9">
      <c r="A149">
        <v>147</v>
      </c>
      <c r="B149">
        <v>233</v>
      </c>
      <c r="C149">
        <v>217</v>
      </c>
      <c r="D149">
        <v>220</v>
      </c>
      <c r="E149" s="4">
        <f t="shared" si="8"/>
        <v>1</v>
      </c>
      <c r="F149" s="4">
        <f t="shared" si="9"/>
        <v>16</v>
      </c>
      <c r="G149" s="4">
        <f t="shared" si="10"/>
        <v>4.7155040615962721E-3</v>
      </c>
      <c r="H149" s="4">
        <f t="shared" si="11"/>
        <v>256</v>
      </c>
      <c r="I149" s="5">
        <f>SQRT(SUM('p-pi-multi'!$C$3:C149)/COUNTIF($A$3:A149,"&lt;&gt;0"))</f>
        <v>14.602208387635015</v>
      </c>
    </row>
    <row r="150" spans="1:9">
      <c r="A150">
        <v>148</v>
      </c>
      <c r="B150">
        <v>233</v>
      </c>
      <c r="C150">
        <v>218</v>
      </c>
      <c r="D150">
        <v>218</v>
      </c>
      <c r="E150" s="4">
        <f t="shared" si="8"/>
        <v>1</v>
      </c>
      <c r="F150" s="4">
        <f t="shared" si="9"/>
        <v>15</v>
      </c>
      <c r="G150" s="4">
        <f t="shared" si="10"/>
        <v>4.1444859916373476E-3</v>
      </c>
      <c r="H150" s="4">
        <f t="shared" si="11"/>
        <v>225</v>
      </c>
      <c r="I150" s="5">
        <f>SQRT(SUM('p-pi-multi'!$C$3:C150)/COUNTIF($A$3:A150,"&lt;&gt;0"))</f>
        <v>14.60331321162279</v>
      </c>
    </row>
    <row r="151" spans="1:9">
      <c r="A151">
        <v>149</v>
      </c>
      <c r="B151">
        <v>233</v>
      </c>
      <c r="C151">
        <v>258</v>
      </c>
      <c r="D151">
        <v>219</v>
      </c>
      <c r="E151" s="4">
        <f t="shared" si="8"/>
        <v>1</v>
      </c>
      <c r="F151" s="4">
        <f t="shared" si="9"/>
        <v>25</v>
      </c>
      <c r="G151" s="4">
        <f t="shared" si="10"/>
        <v>1.1512461087881523E-2</v>
      </c>
      <c r="H151" s="4">
        <f t="shared" si="11"/>
        <v>625</v>
      </c>
      <c r="I151" s="5">
        <f>SQRT(SUM('p-pi-multi'!$C$3:C151)/COUNTIF($A$3:A151,"&lt;&gt;0"))</f>
        <v>14.613591173283375</v>
      </c>
    </row>
    <row r="152" spans="1:9">
      <c r="A152">
        <v>150</v>
      </c>
      <c r="B152">
        <v>233</v>
      </c>
      <c r="C152">
        <v>207</v>
      </c>
      <c r="D152">
        <v>205</v>
      </c>
      <c r="E152" s="4">
        <f t="shared" si="8"/>
        <v>1</v>
      </c>
      <c r="F152" s="4">
        <f t="shared" si="9"/>
        <v>26</v>
      </c>
      <c r="G152" s="4">
        <f t="shared" si="10"/>
        <v>1.2451877912652657E-2</v>
      </c>
      <c r="H152" s="4">
        <f t="shared" si="11"/>
        <v>676</v>
      </c>
      <c r="I152" s="5">
        <f>SQRT(SUM('p-pi-multi'!$C$3:C152)/COUNTIF($A$3:A152,"&lt;&gt;0"))</f>
        <v>14.612095446353111</v>
      </c>
    </row>
    <row r="153" spans="1:9">
      <c r="A153">
        <v>151</v>
      </c>
      <c r="B153">
        <v>498</v>
      </c>
      <c r="C153">
        <v>218</v>
      </c>
      <c r="D153">
        <v>222</v>
      </c>
      <c r="E153" s="4">
        <f t="shared" ref="E153:E216" si="12">IF(AND(C153&lt;=B153*1.2,C153&gt;=B153*0.8),1,0)</f>
        <v>0</v>
      </c>
      <c r="F153" s="4">
        <f t="shared" ref="F153:F216" si="13">ABS(B153-C153)</f>
        <v>280</v>
      </c>
      <c r="G153" s="4">
        <f t="shared" si="10"/>
        <v>0.31612393348494378</v>
      </c>
      <c r="H153" s="4">
        <f t="shared" ref="H153:H216" si="14">POWER(F153,2)</f>
        <v>78400</v>
      </c>
      <c r="I153" s="5">
        <f>SQRT(SUM('p-pi-multi'!$C$3:C153)/COUNTIF($A$3:A153,"&lt;&gt;0"))</f>
        <v>14.613112137994969</v>
      </c>
    </row>
    <row r="154" spans="1:9">
      <c r="A154">
        <v>152</v>
      </c>
      <c r="B154">
        <v>498</v>
      </c>
      <c r="C154">
        <v>299</v>
      </c>
      <c r="D154">
        <v>319</v>
      </c>
      <c r="E154" s="4">
        <f t="shared" si="12"/>
        <v>0</v>
      </c>
      <c r="F154" s="4">
        <f t="shared" si="13"/>
        <v>199</v>
      </c>
      <c r="G154" s="4">
        <f t="shared" si="10"/>
        <v>0.15967887614715889</v>
      </c>
      <c r="H154" s="4">
        <f t="shared" si="14"/>
        <v>39601</v>
      </c>
      <c r="I154" s="5">
        <f>SQRT(SUM('p-pi-multi'!$C$3:C154)/COUNTIF($A$3:A154,"&lt;&gt;0"))</f>
        <v>14.632336216677594</v>
      </c>
    </row>
    <row r="155" spans="1:9">
      <c r="A155">
        <v>153</v>
      </c>
      <c r="B155">
        <v>498</v>
      </c>
      <c r="C155">
        <v>351</v>
      </c>
      <c r="D155">
        <v>310</v>
      </c>
      <c r="E155" s="4">
        <f t="shared" si="12"/>
        <v>0</v>
      </c>
      <c r="F155" s="4">
        <f t="shared" si="13"/>
        <v>147</v>
      </c>
      <c r="G155" s="4">
        <f t="shared" si="10"/>
        <v>8.7131659166787639E-2</v>
      </c>
      <c r="H155" s="4">
        <f t="shared" si="14"/>
        <v>21609</v>
      </c>
      <c r="I155" s="5">
        <f>SQRT(SUM('p-pi-multi'!$C$3:C155)/COUNTIF($A$3:A155,"&lt;&gt;0"))</f>
        <v>14.66287829861518</v>
      </c>
    </row>
    <row r="156" spans="1:9">
      <c r="A156">
        <v>154</v>
      </c>
      <c r="B156">
        <v>498</v>
      </c>
      <c r="C156">
        <v>366</v>
      </c>
      <c r="D156">
        <v>305</v>
      </c>
      <c r="E156" s="4">
        <f t="shared" si="12"/>
        <v>0</v>
      </c>
      <c r="F156" s="4">
        <f t="shared" si="13"/>
        <v>132</v>
      </c>
      <c r="G156" s="4">
        <f t="shared" si="10"/>
        <v>7.0256931339817114E-2</v>
      </c>
      <c r="H156" s="4">
        <f t="shared" si="14"/>
        <v>17424</v>
      </c>
      <c r="I156" s="5">
        <f>SQRT(SUM('p-pi-multi'!$C$3:C156)/COUNTIF($A$3:A156,"&lt;&gt;0"))</f>
        <v>14.696275701024375</v>
      </c>
    </row>
    <row r="157" spans="1:9">
      <c r="A157">
        <v>155</v>
      </c>
      <c r="B157">
        <v>498</v>
      </c>
      <c r="C157">
        <v>349</v>
      </c>
      <c r="D157">
        <v>311</v>
      </c>
      <c r="E157" s="4">
        <f t="shared" si="12"/>
        <v>0</v>
      </c>
      <c r="F157" s="4">
        <f t="shared" si="13"/>
        <v>149</v>
      </c>
      <c r="G157" s="4">
        <f t="shared" si="10"/>
        <v>8.9518717440041293E-2</v>
      </c>
      <c r="H157" s="4">
        <f t="shared" si="14"/>
        <v>22201</v>
      </c>
      <c r="I157" s="5">
        <f>SQRT(SUM('p-pi-multi'!$C$3:C157)/COUNTIF($A$3:A157,"&lt;&gt;0"))</f>
        <v>14.725444294737574</v>
      </c>
    </row>
    <row r="158" spans="1:9">
      <c r="A158">
        <v>156</v>
      </c>
      <c r="B158">
        <v>498</v>
      </c>
      <c r="C158">
        <v>347</v>
      </c>
      <c r="D158">
        <v>327</v>
      </c>
      <c r="E158" s="4">
        <f t="shared" si="12"/>
        <v>0</v>
      </c>
      <c r="F158" s="4">
        <f t="shared" si="13"/>
        <v>151</v>
      </c>
      <c r="G158" s="4">
        <f t="shared" si="10"/>
        <v>9.1938033257528098E-2</v>
      </c>
      <c r="H158" s="4">
        <f t="shared" si="14"/>
        <v>22801</v>
      </c>
      <c r="I158" s="5">
        <f>SQRT(SUM('p-pi-multi'!$C$3:C158)/COUNTIF($A$3:A158,"&lt;&gt;0"))</f>
        <v>14.753747894114124</v>
      </c>
    </row>
    <row r="159" spans="1:9">
      <c r="A159">
        <v>157</v>
      </c>
      <c r="B159">
        <v>498</v>
      </c>
      <c r="C159">
        <v>356</v>
      </c>
      <c r="D159">
        <v>339</v>
      </c>
      <c r="E159" s="4">
        <f t="shared" si="12"/>
        <v>0</v>
      </c>
      <c r="F159" s="4">
        <f t="shared" si="13"/>
        <v>142</v>
      </c>
      <c r="G159" s="4">
        <f t="shared" si="10"/>
        <v>8.1305140239673543E-2</v>
      </c>
      <c r="H159" s="4">
        <f t="shared" si="14"/>
        <v>20164</v>
      </c>
      <c r="I159" s="5">
        <f>SQRT(SUM('p-pi-multi'!$C$3:C159)/COUNTIF($A$3:A159,"&lt;&gt;0"))</f>
        <v>14.783576702793832</v>
      </c>
    </row>
    <row r="160" spans="1:9">
      <c r="A160">
        <v>158</v>
      </c>
      <c r="B160">
        <v>498</v>
      </c>
      <c r="C160">
        <v>385</v>
      </c>
      <c r="D160">
        <v>347</v>
      </c>
      <c r="E160" s="4">
        <f t="shared" si="12"/>
        <v>0</v>
      </c>
      <c r="F160" s="4">
        <f t="shared" si="13"/>
        <v>113</v>
      </c>
      <c r="G160" s="4">
        <f t="shared" si="10"/>
        <v>5.1487072789148561E-2</v>
      </c>
      <c r="H160" s="4">
        <f t="shared" si="14"/>
        <v>12769</v>
      </c>
      <c r="I160" s="5">
        <f>SQRT(SUM('p-pi-multi'!$C$3:C160)/COUNTIF($A$3:A160,"&lt;&gt;0"))</f>
        <v>14.819163098390842</v>
      </c>
    </row>
    <row r="161" spans="1:9">
      <c r="A161">
        <v>159</v>
      </c>
      <c r="B161">
        <v>498</v>
      </c>
      <c r="C161">
        <v>406</v>
      </c>
      <c r="D161">
        <v>346</v>
      </c>
      <c r="E161" s="4">
        <f t="shared" si="12"/>
        <v>1</v>
      </c>
      <c r="F161" s="4">
        <f t="shared" si="13"/>
        <v>92</v>
      </c>
      <c r="G161" s="4">
        <f t="shared" si="10"/>
        <v>3.4128481798680665E-2</v>
      </c>
      <c r="H161" s="4">
        <f t="shared" si="14"/>
        <v>8464</v>
      </c>
      <c r="I161" s="5">
        <f>SQRT(SUM('p-pi-multi'!$C$3:C161)/COUNTIF($A$3:A161,"&lt;&gt;0"))</f>
        <v>14.85866327143315</v>
      </c>
    </row>
    <row r="162" spans="1:9">
      <c r="A162">
        <v>160</v>
      </c>
      <c r="B162">
        <v>498</v>
      </c>
      <c r="C162">
        <v>386</v>
      </c>
      <c r="D162">
        <v>347</v>
      </c>
      <c r="E162" s="4">
        <f t="shared" si="12"/>
        <v>0</v>
      </c>
      <c r="F162" s="4">
        <f t="shared" si="13"/>
        <v>112</v>
      </c>
      <c r="G162" s="4">
        <f t="shared" si="10"/>
        <v>5.0579829357591005E-2</v>
      </c>
      <c r="H162" s="4">
        <f t="shared" si="14"/>
        <v>12544</v>
      </c>
      <c r="I162" s="5">
        <f>SQRT(SUM('p-pi-multi'!$C$3:C162)/COUNTIF($A$3:A162,"&lt;&gt;0"))</f>
        <v>14.893371008606479</v>
      </c>
    </row>
    <row r="163" spans="1:9">
      <c r="A163">
        <v>161</v>
      </c>
      <c r="B163">
        <v>498</v>
      </c>
      <c r="C163">
        <v>401</v>
      </c>
      <c r="D163">
        <v>361</v>
      </c>
      <c r="E163" s="4">
        <f t="shared" si="12"/>
        <v>1</v>
      </c>
      <c r="F163" s="4">
        <f t="shared" si="13"/>
        <v>97</v>
      </c>
      <c r="G163" s="4">
        <f t="shared" si="10"/>
        <v>3.7938904211222403E-2</v>
      </c>
      <c r="H163" s="4">
        <f t="shared" si="14"/>
        <v>9409</v>
      </c>
      <c r="I163" s="5">
        <f>SQRT(SUM('p-pi-multi'!$C$3:C163)/COUNTIF($A$3:A163,"&lt;&gt;0"))</f>
        <v>14.930688726194425</v>
      </c>
    </row>
    <row r="164" spans="1:9">
      <c r="A164">
        <v>162</v>
      </c>
      <c r="B164">
        <v>498</v>
      </c>
      <c r="C164">
        <v>383</v>
      </c>
      <c r="D164">
        <v>364</v>
      </c>
      <c r="E164" s="4">
        <f t="shared" si="12"/>
        <v>0</v>
      </c>
      <c r="F164" s="4">
        <f t="shared" si="13"/>
        <v>115</v>
      </c>
      <c r="G164" s="4">
        <f t="shared" si="10"/>
        <v>5.3325752810438547E-2</v>
      </c>
      <c r="H164" s="4">
        <f t="shared" si="14"/>
        <v>13225</v>
      </c>
      <c r="I164" s="5">
        <f>SQRT(SUM('p-pi-multi'!$C$3:C164)/COUNTIF($A$3:A164,"&lt;&gt;0"))</f>
        <v>14.963742187264307</v>
      </c>
    </row>
    <row r="165" spans="1:9">
      <c r="A165">
        <v>163</v>
      </c>
      <c r="B165">
        <v>498</v>
      </c>
      <c r="C165">
        <v>395</v>
      </c>
      <c r="D165">
        <v>378</v>
      </c>
      <c r="E165" s="4">
        <f t="shared" si="12"/>
        <v>0</v>
      </c>
      <c r="F165" s="4">
        <f t="shared" si="13"/>
        <v>103</v>
      </c>
      <c r="G165" s="4">
        <f t="shared" si="10"/>
        <v>4.2777535846196028E-2</v>
      </c>
      <c r="H165" s="4">
        <f t="shared" si="14"/>
        <v>10609</v>
      </c>
      <c r="I165" s="5">
        <f>SQRT(SUM('p-pi-multi'!$C$3:C165)/COUNTIF($A$3:A165,"&lt;&gt;0"))</f>
        <v>14.998772955947066</v>
      </c>
    </row>
    <row r="166" spans="1:9">
      <c r="A166">
        <v>164</v>
      </c>
      <c r="B166">
        <v>498</v>
      </c>
      <c r="C166">
        <v>421</v>
      </c>
      <c r="D166">
        <v>382</v>
      </c>
      <c r="E166" s="4">
        <f t="shared" si="12"/>
        <v>1</v>
      </c>
      <c r="F166" s="4">
        <f t="shared" si="13"/>
        <v>77</v>
      </c>
      <c r="G166" s="4">
        <f t="shared" si="10"/>
        <v>2.3906872469798876E-2</v>
      </c>
      <c r="H166" s="4">
        <f t="shared" si="14"/>
        <v>5929</v>
      </c>
      <c r="I166" s="5">
        <f>SQRT(SUM('p-pi-multi'!$C$3:C166)/COUNTIF($A$3:A166,"&lt;&gt;0"))</f>
        <v>15.038568302380577</v>
      </c>
    </row>
    <row r="167" spans="1:9">
      <c r="A167">
        <v>165</v>
      </c>
      <c r="B167">
        <v>498</v>
      </c>
      <c r="C167">
        <v>420</v>
      </c>
      <c r="D167">
        <v>380</v>
      </c>
      <c r="E167" s="4">
        <f t="shared" si="12"/>
        <v>1</v>
      </c>
      <c r="F167" s="4">
        <f t="shared" si="13"/>
        <v>78</v>
      </c>
      <c r="G167" s="4">
        <f t="shared" si="10"/>
        <v>2.4531862389316303E-2</v>
      </c>
      <c r="H167" s="4">
        <f t="shared" si="14"/>
        <v>6084</v>
      </c>
      <c r="I167" s="5">
        <f>SQRT(SUM('p-pi-multi'!$C$3:C167)/COUNTIF($A$3:A167,"&lt;&gt;0"))</f>
        <v>15.077577170531523</v>
      </c>
    </row>
    <row r="168" spans="1:9">
      <c r="A168">
        <v>166</v>
      </c>
      <c r="B168">
        <v>498</v>
      </c>
      <c r="C168">
        <v>444</v>
      </c>
      <c r="D168">
        <v>386</v>
      </c>
      <c r="E168" s="4">
        <f t="shared" si="12"/>
        <v>1</v>
      </c>
      <c r="F168" s="4">
        <f t="shared" si="13"/>
        <v>54</v>
      </c>
      <c r="G168" s="4">
        <f t="shared" si="10"/>
        <v>1.1757874872985919E-2</v>
      </c>
      <c r="H168" s="4">
        <f t="shared" si="14"/>
        <v>2916</v>
      </c>
      <c r="I168" s="5">
        <f>SQRT(SUM('p-pi-multi'!$C$3:C168)/COUNTIF($A$3:A168,"&lt;&gt;0"))</f>
        <v>15.120798729460937</v>
      </c>
    </row>
    <row r="169" spans="1:9">
      <c r="A169">
        <v>167</v>
      </c>
      <c r="B169">
        <v>498</v>
      </c>
      <c r="C169">
        <v>403</v>
      </c>
      <c r="D169">
        <v>383</v>
      </c>
      <c r="E169" s="4">
        <f t="shared" si="12"/>
        <v>1</v>
      </c>
      <c r="F169" s="4">
        <f t="shared" si="13"/>
        <v>95</v>
      </c>
      <c r="G169" s="4">
        <f t="shared" si="10"/>
        <v>3.6390542088030844E-2</v>
      </c>
      <c r="H169" s="4">
        <f t="shared" si="14"/>
        <v>9025</v>
      </c>
      <c r="I169" s="5">
        <f>SQRT(SUM('p-pi-multi'!$C$3:C169)/COUNTIF($A$3:A169,"&lt;&gt;0"))</f>
        <v>15.155284053112926</v>
      </c>
    </row>
    <row r="170" spans="1:9">
      <c r="A170">
        <v>168</v>
      </c>
      <c r="B170">
        <v>498</v>
      </c>
      <c r="C170">
        <v>418</v>
      </c>
      <c r="D170">
        <v>402</v>
      </c>
      <c r="E170" s="4">
        <f t="shared" si="12"/>
        <v>1</v>
      </c>
      <c r="F170" s="4">
        <f t="shared" si="13"/>
        <v>80</v>
      </c>
      <c r="G170" s="4">
        <f t="shared" si="10"/>
        <v>2.5806035386526024E-2</v>
      </c>
      <c r="H170" s="4">
        <f t="shared" si="14"/>
        <v>6400</v>
      </c>
      <c r="I170" s="5">
        <f>SQRT(SUM('p-pi-multi'!$C$3:C170)/COUNTIF($A$3:A170,"&lt;&gt;0"))</f>
        <v>15.192220753680859</v>
      </c>
    </row>
    <row r="171" spans="1:9">
      <c r="A171">
        <v>169</v>
      </c>
      <c r="B171">
        <v>498</v>
      </c>
      <c r="C171">
        <v>464</v>
      </c>
      <c r="D171">
        <v>404</v>
      </c>
      <c r="E171" s="4">
        <f t="shared" si="12"/>
        <v>1</v>
      </c>
      <c r="F171" s="4">
        <f t="shared" si="13"/>
        <v>34</v>
      </c>
      <c r="G171" s="4">
        <f t="shared" si="10"/>
        <v>4.6612151416912636E-3</v>
      </c>
      <c r="H171" s="4">
        <f t="shared" si="14"/>
        <v>1156</v>
      </c>
      <c r="I171" s="5">
        <f>SQRT(SUM('p-pi-multi'!$C$3:C171)/COUNTIF($A$3:A171,"&lt;&gt;0"))</f>
        <v>15.237566470820159</v>
      </c>
    </row>
    <row r="172" spans="1:9">
      <c r="A172">
        <v>170</v>
      </c>
      <c r="B172">
        <v>498</v>
      </c>
      <c r="C172">
        <v>473</v>
      </c>
      <c r="D172">
        <v>393</v>
      </c>
      <c r="E172" s="4">
        <f t="shared" si="12"/>
        <v>1</v>
      </c>
      <c r="F172" s="4">
        <f t="shared" si="13"/>
        <v>25</v>
      </c>
      <c r="G172" s="4">
        <f t="shared" si="10"/>
        <v>2.5201206432154321E-3</v>
      </c>
      <c r="H172" s="4">
        <f t="shared" si="14"/>
        <v>625</v>
      </c>
      <c r="I172" s="5">
        <f>SQRT(SUM('p-pi-multi'!$C$3:C172)/COUNTIF($A$3:A172,"&lt;&gt;0"))</f>
        <v>15.283978539634241</v>
      </c>
    </row>
    <row r="173" spans="1:9">
      <c r="A173">
        <v>171</v>
      </c>
      <c r="B173">
        <v>498</v>
      </c>
      <c r="C173">
        <v>452</v>
      </c>
      <c r="D173">
        <v>392</v>
      </c>
      <c r="E173" s="4">
        <f t="shared" si="12"/>
        <v>1</v>
      </c>
      <c r="F173" s="4">
        <f t="shared" si="13"/>
        <v>46</v>
      </c>
      <c r="G173" s="4">
        <f t="shared" si="10"/>
        <v>8.5321204496701664E-3</v>
      </c>
      <c r="H173" s="4">
        <f t="shared" si="14"/>
        <v>2116</v>
      </c>
      <c r="I173" s="5">
        <f>SQRT(SUM('p-pi-multi'!$C$3:C173)/COUNTIF($A$3:A173,"&lt;&gt;0"))</f>
        <v>15.325703670058877</v>
      </c>
    </row>
    <row r="174" spans="1:9">
      <c r="A174">
        <v>172</v>
      </c>
      <c r="B174">
        <v>498</v>
      </c>
      <c r="C174">
        <v>462</v>
      </c>
      <c r="D174">
        <v>402</v>
      </c>
      <c r="E174" s="4">
        <f t="shared" si="12"/>
        <v>1</v>
      </c>
      <c r="F174" s="4">
        <f t="shared" si="13"/>
        <v>36</v>
      </c>
      <c r="G174" s="4">
        <f t="shared" si="10"/>
        <v>5.2257221657715193E-3</v>
      </c>
      <c r="H174" s="4">
        <f t="shared" si="14"/>
        <v>1296</v>
      </c>
      <c r="I174" s="5">
        <f>SQRT(SUM('p-pi-multi'!$C$3:C174)/COUNTIF($A$3:A174,"&lt;&gt;0"))</f>
        <v>15.368723903389139</v>
      </c>
    </row>
    <row r="175" spans="1:9">
      <c r="A175">
        <v>173</v>
      </c>
      <c r="B175">
        <v>498</v>
      </c>
      <c r="C175">
        <v>421</v>
      </c>
      <c r="D175">
        <v>401</v>
      </c>
      <c r="E175" s="4">
        <f t="shared" si="12"/>
        <v>1</v>
      </c>
      <c r="F175" s="4">
        <f t="shared" si="13"/>
        <v>77</v>
      </c>
      <c r="G175" s="4">
        <f t="shared" si="10"/>
        <v>2.3906872469798876E-2</v>
      </c>
      <c r="H175" s="4">
        <f t="shared" si="14"/>
        <v>5929</v>
      </c>
      <c r="I175" s="5">
        <f>SQRT(SUM('p-pi-multi'!$C$3:C175)/COUNTIF($A$3:A175,"&lt;&gt;0"))</f>
        <v>15.403437796601031</v>
      </c>
    </row>
    <row r="176" spans="1:9">
      <c r="A176">
        <v>174</v>
      </c>
      <c r="B176">
        <v>498</v>
      </c>
      <c r="C176">
        <v>435</v>
      </c>
      <c r="D176">
        <v>419</v>
      </c>
      <c r="E176" s="4">
        <f t="shared" si="12"/>
        <v>1</v>
      </c>
      <c r="F176" s="4">
        <f t="shared" si="13"/>
        <v>63</v>
      </c>
      <c r="G176" s="4">
        <f t="shared" si="10"/>
        <v>1.6003774132675279E-2</v>
      </c>
      <c r="H176" s="4">
        <f t="shared" si="14"/>
        <v>3969</v>
      </c>
      <c r="I176" s="5">
        <f>SQRT(SUM('p-pi-multi'!$C$3:C176)/COUNTIF($A$3:A176,"&lt;&gt;0"))</f>
        <v>15.440281695959264</v>
      </c>
    </row>
    <row r="177" spans="1:9">
      <c r="A177">
        <v>175</v>
      </c>
      <c r="B177">
        <v>498</v>
      </c>
      <c r="C177">
        <v>500</v>
      </c>
      <c r="D177">
        <v>420</v>
      </c>
      <c r="E177" s="4">
        <f t="shared" si="12"/>
        <v>1</v>
      </c>
      <c r="F177" s="4">
        <f t="shared" si="13"/>
        <v>2</v>
      </c>
      <c r="G177" s="4">
        <f t="shared" si="10"/>
        <v>1.6128772116578761E-5</v>
      </c>
      <c r="H177" s="4">
        <f t="shared" si="14"/>
        <v>4</v>
      </c>
      <c r="I177" s="5">
        <f>SQRT(SUM('p-pi-multi'!$C$3:C177)/COUNTIF($A$3:A177,"&lt;&gt;0"))</f>
        <v>15.48861332906025</v>
      </c>
    </row>
    <row r="178" spans="1:9">
      <c r="A178">
        <v>176</v>
      </c>
      <c r="B178">
        <v>498</v>
      </c>
      <c r="C178">
        <v>440</v>
      </c>
      <c r="D178">
        <v>400</v>
      </c>
      <c r="E178" s="4">
        <f t="shared" si="12"/>
        <v>1</v>
      </c>
      <c r="F178" s="4">
        <f t="shared" si="13"/>
        <v>58</v>
      </c>
      <c r="G178" s="4">
        <f t="shared" si="10"/>
        <v>1.3564297350042743E-2</v>
      </c>
      <c r="H178" s="4">
        <f t="shared" si="14"/>
        <v>3364</v>
      </c>
      <c r="I178" s="5">
        <f>SQRT(SUM('p-pi-multi'!$C$3:C178)/COUNTIF($A$3:A178,"&lt;&gt;0"))</f>
        <v>15.525272651682833</v>
      </c>
    </row>
    <row r="179" spans="1:9">
      <c r="A179">
        <v>177</v>
      </c>
      <c r="B179">
        <v>498</v>
      </c>
      <c r="C179">
        <v>418</v>
      </c>
      <c r="D179">
        <v>423</v>
      </c>
      <c r="E179" s="4">
        <f t="shared" si="12"/>
        <v>1</v>
      </c>
      <c r="F179" s="4">
        <f t="shared" si="13"/>
        <v>80</v>
      </c>
      <c r="G179" s="4">
        <f t="shared" si="10"/>
        <v>2.5806035386526024E-2</v>
      </c>
      <c r="H179" s="4">
        <f t="shared" si="14"/>
        <v>6400</v>
      </c>
      <c r="I179" s="5">
        <f>SQRT(SUM('p-pi-multi'!$C$3:C179)/COUNTIF($A$3:A179,"&lt;&gt;0"))</f>
        <v>15.5574386807432</v>
      </c>
    </row>
    <row r="180" spans="1:9">
      <c r="A180">
        <v>178</v>
      </c>
      <c r="B180">
        <v>498</v>
      </c>
      <c r="C180">
        <v>495</v>
      </c>
      <c r="D180">
        <v>435</v>
      </c>
      <c r="E180" s="4">
        <f t="shared" si="12"/>
        <v>1</v>
      </c>
      <c r="F180" s="4">
        <f t="shared" si="13"/>
        <v>3</v>
      </c>
      <c r="G180" s="4">
        <f t="shared" si="10"/>
        <v>3.6289737262302225E-5</v>
      </c>
      <c r="H180" s="4">
        <f t="shared" si="14"/>
        <v>9</v>
      </c>
      <c r="I180" s="5">
        <f>SQRT(SUM('p-pi-multi'!$C$3:C180)/COUNTIF($A$3:A180,"&lt;&gt;0"))</f>
        <v>15.603046374979961</v>
      </c>
    </row>
    <row r="181" spans="1:9">
      <c r="A181">
        <v>179</v>
      </c>
      <c r="B181">
        <v>498</v>
      </c>
      <c r="C181">
        <v>492</v>
      </c>
      <c r="D181">
        <v>412</v>
      </c>
      <c r="E181" s="4">
        <f t="shared" si="12"/>
        <v>1</v>
      </c>
      <c r="F181" s="4">
        <f t="shared" si="13"/>
        <v>6</v>
      </c>
      <c r="G181" s="4">
        <f t="shared" si="10"/>
        <v>1.451589490492089E-4</v>
      </c>
      <c r="H181" s="4">
        <f t="shared" si="14"/>
        <v>36</v>
      </c>
      <c r="I181" s="5">
        <f>SQRT(SUM('p-pi-multi'!$C$3:C181)/COUNTIF($A$3:A181,"&lt;&gt;0"))</f>
        <v>15.647478244720279</v>
      </c>
    </row>
    <row r="182" spans="1:9">
      <c r="A182">
        <v>180</v>
      </c>
      <c r="B182">
        <v>498</v>
      </c>
      <c r="C182">
        <v>413</v>
      </c>
      <c r="D182">
        <v>414</v>
      </c>
      <c r="E182" s="4">
        <f t="shared" si="12"/>
        <v>1</v>
      </c>
      <c r="F182" s="4">
        <f t="shared" si="13"/>
        <v>85</v>
      </c>
      <c r="G182" s="4">
        <f t="shared" si="10"/>
        <v>2.91325946355704E-2</v>
      </c>
      <c r="H182" s="4">
        <f t="shared" si="14"/>
        <v>7225</v>
      </c>
      <c r="I182" s="5">
        <f>SQRT(SUM('p-pi-multi'!$C$3:C182)/COUNTIF($A$3:A182,"&lt;&gt;0"))</f>
        <v>15.67730135507313</v>
      </c>
    </row>
    <row r="183" spans="1:9">
      <c r="A183">
        <v>181</v>
      </c>
      <c r="B183">
        <v>498</v>
      </c>
      <c r="C183">
        <v>458</v>
      </c>
      <c r="D183">
        <v>444</v>
      </c>
      <c r="E183" s="4">
        <f t="shared" si="12"/>
        <v>1</v>
      </c>
      <c r="F183" s="4">
        <f t="shared" si="13"/>
        <v>40</v>
      </c>
      <c r="G183" s="4">
        <f t="shared" si="10"/>
        <v>6.4515088466315061E-3</v>
      </c>
      <c r="H183" s="4">
        <f t="shared" si="14"/>
        <v>1600</v>
      </c>
      <c r="I183" s="5">
        <f>SQRT(SUM('p-pi-multi'!$C$3:C183)/COUNTIF($A$3:A183,"&lt;&gt;0"))</f>
        <v>15.714651642435282</v>
      </c>
    </row>
    <row r="184" spans="1:9">
      <c r="A184">
        <v>182</v>
      </c>
      <c r="B184">
        <v>498</v>
      </c>
      <c r="C184">
        <v>513</v>
      </c>
      <c r="D184">
        <v>433</v>
      </c>
      <c r="E184" s="4">
        <f t="shared" si="12"/>
        <v>1</v>
      </c>
      <c r="F184" s="4">
        <f t="shared" si="13"/>
        <v>15</v>
      </c>
      <c r="G184" s="4">
        <f t="shared" si="10"/>
        <v>9.0724343155755549E-4</v>
      </c>
      <c r="H184" s="4">
        <f t="shared" si="14"/>
        <v>225</v>
      </c>
      <c r="I184" s="5">
        <f>SQRT(SUM('p-pi-multi'!$C$3:C184)/COUNTIF($A$3:A184,"&lt;&gt;0"))</f>
        <v>15.761094121668327</v>
      </c>
    </row>
    <row r="185" spans="1:9">
      <c r="A185">
        <v>183</v>
      </c>
      <c r="B185">
        <v>498</v>
      </c>
      <c r="C185">
        <v>436</v>
      </c>
      <c r="D185">
        <v>416</v>
      </c>
      <c r="E185" s="4">
        <f t="shared" si="12"/>
        <v>1</v>
      </c>
      <c r="F185" s="4">
        <f t="shared" si="13"/>
        <v>62</v>
      </c>
      <c r="G185" s="4">
        <f t="shared" si="10"/>
        <v>1.5499750004032191E-2</v>
      </c>
      <c r="H185" s="4">
        <f t="shared" si="14"/>
        <v>3844</v>
      </c>
      <c r="I185" s="5">
        <f>SQRT(SUM('p-pi-multi'!$C$3:C185)/COUNTIF($A$3:A185,"&lt;&gt;0"))</f>
        <v>15.793579659784077</v>
      </c>
    </row>
    <row r="186" spans="1:9">
      <c r="A186">
        <v>184</v>
      </c>
      <c r="B186">
        <v>498</v>
      </c>
      <c r="C186">
        <v>457</v>
      </c>
      <c r="D186">
        <v>443</v>
      </c>
      <c r="E186" s="4">
        <f t="shared" si="12"/>
        <v>1</v>
      </c>
      <c r="F186" s="4">
        <f t="shared" si="13"/>
        <v>41</v>
      </c>
      <c r="G186" s="4">
        <f t="shared" si="10"/>
        <v>6.7781164819922255E-3</v>
      </c>
      <c r="H186" s="4">
        <f t="shared" si="14"/>
        <v>1681</v>
      </c>
      <c r="I186" s="5">
        <f>SQRT(SUM('p-pi-multi'!$C$3:C186)/COUNTIF($A$3:A186,"&lt;&gt;0"))</f>
        <v>15.829251952992104</v>
      </c>
    </row>
    <row r="187" spans="1:9">
      <c r="A187">
        <v>185</v>
      </c>
      <c r="B187">
        <v>498</v>
      </c>
      <c r="C187">
        <v>520</v>
      </c>
      <c r="D187">
        <v>440</v>
      </c>
      <c r="E187" s="4">
        <f t="shared" si="12"/>
        <v>1</v>
      </c>
      <c r="F187" s="4">
        <f t="shared" si="13"/>
        <v>22</v>
      </c>
      <c r="G187" s="4">
        <f t="shared" si="10"/>
        <v>1.9515814261060306E-3</v>
      </c>
      <c r="H187" s="4">
        <f t="shared" si="14"/>
        <v>484</v>
      </c>
      <c r="I187" s="5">
        <f>SQRT(SUM('p-pi-multi'!$C$3:C187)/COUNTIF($A$3:A187,"&lt;&gt;0"))</f>
        <v>15.875188868848824</v>
      </c>
    </row>
    <row r="188" spans="1:9">
      <c r="A188">
        <v>186</v>
      </c>
      <c r="B188">
        <v>498</v>
      </c>
      <c r="C188">
        <v>440</v>
      </c>
      <c r="D188">
        <v>420</v>
      </c>
      <c r="E188" s="4">
        <f t="shared" si="12"/>
        <v>1</v>
      </c>
      <c r="F188" s="4">
        <f t="shared" si="13"/>
        <v>58</v>
      </c>
      <c r="G188" s="4">
        <f t="shared" si="10"/>
        <v>1.3564297350042743E-2</v>
      </c>
      <c r="H188" s="4">
        <f t="shared" si="14"/>
        <v>3364</v>
      </c>
      <c r="I188" s="5">
        <f>SQRT(SUM('p-pi-multi'!$C$3:C188)/COUNTIF($A$3:A188,"&lt;&gt;0"))</f>
        <v>15.906987711836459</v>
      </c>
    </row>
    <row r="189" spans="1:9">
      <c r="A189">
        <v>187</v>
      </c>
      <c r="B189">
        <v>498</v>
      </c>
      <c r="C189">
        <v>482</v>
      </c>
      <c r="D189">
        <v>448</v>
      </c>
      <c r="E189" s="4">
        <f t="shared" si="12"/>
        <v>1</v>
      </c>
      <c r="F189" s="4">
        <f t="shared" si="13"/>
        <v>16</v>
      </c>
      <c r="G189" s="4">
        <f t="shared" si="10"/>
        <v>1.0322414154610407E-3</v>
      </c>
      <c r="H189" s="4">
        <f t="shared" si="14"/>
        <v>256</v>
      </c>
      <c r="I189" s="5">
        <f>SQRT(SUM('p-pi-multi'!$C$3:C189)/COUNTIF($A$3:A189,"&lt;&gt;0"))</f>
        <v>15.945428325760917</v>
      </c>
    </row>
    <row r="190" spans="1:9">
      <c r="A190">
        <v>188</v>
      </c>
      <c r="B190">
        <v>498</v>
      </c>
      <c r="C190">
        <v>438</v>
      </c>
      <c r="D190">
        <v>436</v>
      </c>
      <c r="E190" s="4">
        <f t="shared" si="12"/>
        <v>1</v>
      </c>
      <c r="F190" s="4">
        <f t="shared" si="13"/>
        <v>60</v>
      </c>
      <c r="G190" s="4">
        <f t="shared" si="10"/>
        <v>1.4515894904920888E-2</v>
      </c>
      <c r="H190" s="4">
        <f t="shared" si="14"/>
        <v>3600</v>
      </c>
      <c r="I190" s="5">
        <f>SQRT(SUM('p-pi-multi'!$C$3:C190)/COUNTIF($A$3:A190,"&lt;&gt;0"))</f>
        <v>15.976045898569254</v>
      </c>
    </row>
    <row r="191" spans="1:9">
      <c r="A191">
        <v>189</v>
      </c>
      <c r="B191">
        <v>498</v>
      </c>
      <c r="C191">
        <v>514</v>
      </c>
      <c r="D191">
        <v>454</v>
      </c>
      <c r="E191" s="4">
        <f t="shared" si="12"/>
        <v>1</v>
      </c>
      <c r="F191" s="4">
        <f t="shared" si="13"/>
        <v>16</v>
      </c>
      <c r="G191" s="4">
        <f t="shared" si="10"/>
        <v>1.0322414154610407E-3</v>
      </c>
      <c r="H191" s="4">
        <f t="shared" si="14"/>
        <v>256</v>
      </c>
      <c r="I191" s="5">
        <f>SQRT(SUM('p-pi-multi'!$C$3:C191)/COUNTIF($A$3:A191,"&lt;&gt;0"))</f>
        <v>16.018838116516896</v>
      </c>
    </row>
    <row r="192" spans="1:9">
      <c r="A192">
        <v>190</v>
      </c>
      <c r="B192">
        <v>498</v>
      </c>
      <c r="C192">
        <v>454</v>
      </c>
      <c r="D192">
        <v>430</v>
      </c>
      <c r="E192" s="4">
        <f t="shared" si="12"/>
        <v>1</v>
      </c>
      <c r="F192" s="4">
        <f t="shared" si="13"/>
        <v>44</v>
      </c>
      <c r="G192" s="4">
        <f t="shared" si="10"/>
        <v>7.8063257044241226E-3</v>
      </c>
      <c r="H192" s="4">
        <f t="shared" si="14"/>
        <v>1936</v>
      </c>
      <c r="I192" s="5">
        <f>SQRT(SUM('p-pi-multi'!$C$3:C192)/COUNTIF($A$3:A192,"&lt;&gt;0"))</f>
        <v>16.05123376140158</v>
      </c>
    </row>
    <row r="193" spans="1:9">
      <c r="A193">
        <v>191</v>
      </c>
      <c r="B193">
        <v>498</v>
      </c>
      <c r="C193">
        <v>466</v>
      </c>
      <c r="D193">
        <v>451</v>
      </c>
      <c r="E193" s="4">
        <f t="shared" si="12"/>
        <v>1</v>
      </c>
      <c r="F193" s="4">
        <f t="shared" si="13"/>
        <v>32</v>
      </c>
      <c r="G193" s="4">
        <f t="shared" si="10"/>
        <v>4.1289656618441629E-3</v>
      </c>
      <c r="H193" s="4">
        <f t="shared" si="14"/>
        <v>1024</v>
      </c>
      <c r="I193" s="5">
        <f>SQRT(SUM('p-pi-multi'!$C$3:C193)/COUNTIF($A$3:A193,"&lt;&gt;0"))</f>
        <v>16.085179025835981</v>
      </c>
    </row>
    <row r="194" spans="1:9">
      <c r="A194">
        <v>192</v>
      </c>
      <c r="B194">
        <v>498</v>
      </c>
      <c r="C194">
        <v>470</v>
      </c>
      <c r="D194">
        <v>450</v>
      </c>
      <c r="E194" s="4">
        <f t="shared" si="12"/>
        <v>1</v>
      </c>
      <c r="F194" s="4">
        <f t="shared" si="13"/>
        <v>28</v>
      </c>
      <c r="G194" s="4">
        <f t="shared" si="10"/>
        <v>3.1612393348494378E-3</v>
      </c>
      <c r="H194" s="4">
        <f t="shared" si="14"/>
        <v>784</v>
      </c>
      <c r="I194" s="5">
        <f>SQRT(SUM('p-pi-multi'!$C$3:C194)/COUNTIF($A$3:A194,"&lt;&gt;0"))</f>
        <v>16.119346554166931</v>
      </c>
    </row>
    <row r="195" spans="1:9">
      <c r="A195">
        <v>193</v>
      </c>
      <c r="B195">
        <v>498</v>
      </c>
      <c r="C195">
        <v>470</v>
      </c>
      <c r="D195">
        <v>451</v>
      </c>
      <c r="E195" s="4">
        <f t="shared" si="12"/>
        <v>1</v>
      </c>
      <c r="F195" s="4">
        <f t="shared" si="13"/>
        <v>28</v>
      </c>
      <c r="G195" s="4">
        <f t="shared" si="10"/>
        <v>3.1612393348494378E-3</v>
      </c>
      <c r="H195" s="4">
        <f t="shared" si="14"/>
        <v>784</v>
      </c>
      <c r="I195" s="5">
        <f>SQRT(SUM('p-pi-multi'!$C$3:C195)/COUNTIF($A$3:A195,"&lt;&gt;0"))</f>
        <v>16.153088862280988</v>
      </c>
    </row>
    <row r="196" spans="1:9">
      <c r="A196">
        <v>194</v>
      </c>
      <c r="B196">
        <v>498</v>
      </c>
      <c r="C196">
        <v>533</v>
      </c>
      <c r="D196">
        <v>453</v>
      </c>
      <c r="E196" s="4">
        <f t="shared" si="12"/>
        <v>1</v>
      </c>
      <c r="F196" s="4">
        <f t="shared" si="13"/>
        <v>35</v>
      </c>
      <c r="G196" s="4">
        <f t="shared" ref="G196:G259" si="15">POWER(ABS(B196-C196)/B196,2)</f>
        <v>4.9394364607022465E-3</v>
      </c>
      <c r="H196" s="4">
        <f t="shared" si="14"/>
        <v>1225</v>
      </c>
      <c r="I196" s="5">
        <f>SQRT(SUM('p-pi-multi'!$C$3:C196)/COUNTIF($A$3:A196,"&lt;&gt;0"))</f>
        <v>16.196442271932476</v>
      </c>
    </row>
    <row r="197" spans="1:9">
      <c r="A197">
        <v>195</v>
      </c>
      <c r="B197">
        <v>498</v>
      </c>
      <c r="C197">
        <v>512</v>
      </c>
      <c r="D197">
        <v>432</v>
      </c>
      <c r="E197" s="4">
        <f t="shared" si="12"/>
        <v>1</v>
      </c>
      <c r="F197" s="4">
        <f t="shared" si="13"/>
        <v>14</v>
      </c>
      <c r="G197" s="4">
        <f t="shared" si="15"/>
        <v>7.9030983371235946E-4</v>
      </c>
      <c r="H197" s="4">
        <f t="shared" si="14"/>
        <v>196</v>
      </c>
      <c r="I197" s="5">
        <f>SQRT(SUM('p-pi-multi'!$C$3:C197)/COUNTIF($A$3:A197,"&lt;&gt;0"))</f>
        <v>16.2359209226064</v>
      </c>
    </row>
    <row r="198" spans="1:9">
      <c r="A198">
        <v>196</v>
      </c>
      <c r="B198">
        <v>498</v>
      </c>
      <c r="C198">
        <v>477</v>
      </c>
      <c r="D198">
        <v>437</v>
      </c>
      <c r="E198" s="4">
        <f t="shared" si="12"/>
        <v>1</v>
      </c>
      <c r="F198" s="4">
        <f t="shared" si="13"/>
        <v>21</v>
      </c>
      <c r="G198" s="4">
        <f t="shared" si="15"/>
        <v>1.7781971258528087E-3</v>
      </c>
      <c r="H198" s="4">
        <f t="shared" si="14"/>
        <v>441</v>
      </c>
      <c r="I198" s="5">
        <f>SQRT(SUM('p-pi-multi'!$C$3:C198)/COUNTIF($A$3:A198,"&lt;&gt;0"))</f>
        <v>16.269415402866215</v>
      </c>
    </row>
    <row r="199" spans="1:9">
      <c r="A199">
        <v>197</v>
      </c>
      <c r="B199">
        <v>498</v>
      </c>
      <c r="C199">
        <v>446</v>
      </c>
      <c r="D199">
        <v>449</v>
      </c>
      <c r="E199" s="4">
        <f t="shared" si="12"/>
        <v>1</v>
      </c>
      <c r="F199" s="4">
        <f t="shared" si="13"/>
        <v>52</v>
      </c>
      <c r="G199" s="4">
        <f t="shared" si="15"/>
        <v>1.0903049950807243E-2</v>
      </c>
      <c r="H199" s="4">
        <f t="shared" si="14"/>
        <v>2704</v>
      </c>
      <c r="I199" s="5">
        <f>SQRT(SUM('p-pi-multi'!$C$3:C199)/COUNTIF($A$3:A199,"&lt;&gt;0"))</f>
        <v>16.29767508566696</v>
      </c>
    </row>
    <row r="200" spans="1:9">
      <c r="A200">
        <v>198</v>
      </c>
      <c r="B200">
        <v>498</v>
      </c>
      <c r="C200">
        <v>499</v>
      </c>
      <c r="D200">
        <v>462</v>
      </c>
      <c r="E200" s="4">
        <f t="shared" si="12"/>
        <v>1</v>
      </c>
      <c r="F200" s="4">
        <f t="shared" si="13"/>
        <v>1</v>
      </c>
      <c r="G200" s="4">
        <f t="shared" si="15"/>
        <v>4.0321930291446903E-6</v>
      </c>
      <c r="H200" s="4">
        <f t="shared" si="14"/>
        <v>1</v>
      </c>
      <c r="I200" s="5">
        <f>SQRT(SUM('p-pi-multi'!$C$3:C200)/COUNTIF($A$3:A200,"&lt;&gt;0"))</f>
        <v>16.333797148640279</v>
      </c>
    </row>
    <row r="201" spans="1:9">
      <c r="A201">
        <v>199</v>
      </c>
      <c r="B201">
        <v>498</v>
      </c>
      <c r="C201">
        <v>466</v>
      </c>
      <c r="D201">
        <v>446</v>
      </c>
      <c r="E201" s="4">
        <f t="shared" si="12"/>
        <v>1</v>
      </c>
      <c r="F201" s="4">
        <f t="shared" si="13"/>
        <v>32</v>
      </c>
      <c r="G201" s="4">
        <f t="shared" si="15"/>
        <v>4.1289656618441629E-3</v>
      </c>
      <c r="H201" s="4">
        <f t="shared" si="14"/>
        <v>1024</v>
      </c>
      <c r="I201" s="5">
        <f>SQRT(SUM('p-pi-multi'!$C$3:C201)/COUNTIF($A$3:A201,"&lt;&gt;0"))</f>
        <v>16.364411686621864</v>
      </c>
    </row>
    <row r="202" spans="1:9">
      <c r="A202">
        <v>200</v>
      </c>
      <c r="B202">
        <v>498</v>
      </c>
      <c r="C202">
        <v>515</v>
      </c>
      <c r="D202">
        <v>458</v>
      </c>
      <c r="E202" s="4">
        <f t="shared" si="12"/>
        <v>1</v>
      </c>
      <c r="F202" s="4">
        <f t="shared" si="13"/>
        <v>17</v>
      </c>
      <c r="G202" s="4">
        <f t="shared" si="15"/>
        <v>1.1653037854228159E-3</v>
      </c>
      <c r="H202" s="4">
        <f t="shared" si="14"/>
        <v>289</v>
      </c>
      <c r="I202" s="5">
        <f>SQRT(SUM('p-pi-multi'!$C$3:C202)/COUNTIF($A$3:A202,"&lt;&gt;0"))</f>
        <v>16.402134007500365</v>
      </c>
    </row>
    <row r="203" spans="1:9">
      <c r="A203">
        <v>201</v>
      </c>
      <c r="B203">
        <v>498</v>
      </c>
      <c r="C203">
        <v>482</v>
      </c>
      <c r="D203">
        <v>442</v>
      </c>
      <c r="E203" s="4">
        <f t="shared" si="12"/>
        <v>1</v>
      </c>
      <c r="F203" s="4">
        <f t="shared" si="13"/>
        <v>16</v>
      </c>
      <c r="G203" s="4">
        <f t="shared" si="15"/>
        <v>1.0322414154610407E-3</v>
      </c>
      <c r="H203" s="4">
        <f t="shared" si="14"/>
        <v>256</v>
      </c>
      <c r="I203" s="5">
        <f>SQRT(SUM('p-pi-multi'!$C$3:C203)/COUNTIF($A$3:A203,"&lt;&gt;0"))</f>
        <v>16.434401487088174</v>
      </c>
    </row>
    <row r="204" spans="1:9">
      <c r="A204">
        <v>202</v>
      </c>
      <c r="B204">
        <v>498</v>
      </c>
      <c r="C204">
        <v>450</v>
      </c>
      <c r="D204">
        <v>453</v>
      </c>
      <c r="E204" s="4">
        <f t="shared" si="12"/>
        <v>1</v>
      </c>
      <c r="F204" s="4">
        <f t="shared" si="13"/>
        <v>48</v>
      </c>
      <c r="G204" s="4">
        <f t="shared" si="15"/>
        <v>9.2901727391493695E-3</v>
      </c>
      <c r="H204" s="4">
        <f t="shared" si="14"/>
        <v>2304</v>
      </c>
      <c r="I204" s="5">
        <f>SQRT(SUM('p-pi-multi'!$C$3:C204)/COUNTIF($A$3:A204,"&lt;&gt;0"))</f>
        <v>16.461476179851005</v>
      </c>
    </row>
    <row r="205" spans="1:9">
      <c r="A205">
        <v>203</v>
      </c>
      <c r="B205">
        <v>498</v>
      </c>
      <c r="C205">
        <v>546</v>
      </c>
      <c r="D205">
        <v>466</v>
      </c>
      <c r="E205" s="4">
        <f t="shared" si="12"/>
        <v>1</v>
      </c>
      <c r="F205" s="4">
        <f t="shared" si="13"/>
        <v>48</v>
      </c>
      <c r="G205" s="4">
        <f t="shared" si="15"/>
        <v>9.2901727391493695E-3</v>
      </c>
      <c r="H205" s="4">
        <f t="shared" si="14"/>
        <v>2304</v>
      </c>
      <c r="I205" s="5">
        <f>SQRT(SUM('p-pi-multi'!$C$3:C205)/COUNTIF($A$3:A205,"&lt;&gt;0"))</f>
        <v>16.502574810297276</v>
      </c>
    </row>
    <row r="206" spans="1:9">
      <c r="A206">
        <v>204</v>
      </c>
      <c r="B206">
        <v>498</v>
      </c>
      <c r="C206">
        <v>480</v>
      </c>
      <c r="D206">
        <v>434</v>
      </c>
      <c r="E206" s="4">
        <f t="shared" si="12"/>
        <v>1</v>
      </c>
      <c r="F206" s="4">
        <f t="shared" si="13"/>
        <v>18</v>
      </c>
      <c r="G206" s="4">
        <f t="shared" si="15"/>
        <v>1.3064305414428798E-3</v>
      </c>
      <c r="H206" s="4">
        <f t="shared" si="14"/>
        <v>324</v>
      </c>
      <c r="I206" s="5">
        <f>SQRT(SUM('p-pi-multi'!$C$3:C206)/COUNTIF($A$3:A206,"&lt;&gt;0"))</f>
        <v>16.533388677959234</v>
      </c>
    </row>
    <row r="207" spans="1:9">
      <c r="A207">
        <v>205</v>
      </c>
      <c r="B207">
        <v>498</v>
      </c>
      <c r="C207">
        <v>535</v>
      </c>
      <c r="D207">
        <v>455</v>
      </c>
      <c r="E207" s="4">
        <f t="shared" si="12"/>
        <v>1</v>
      </c>
      <c r="F207" s="4">
        <f t="shared" si="13"/>
        <v>37</v>
      </c>
      <c r="G207" s="4">
        <f t="shared" si="15"/>
        <v>5.520072256899081E-3</v>
      </c>
      <c r="H207" s="4">
        <f t="shared" si="14"/>
        <v>1369</v>
      </c>
      <c r="I207" s="5">
        <f>SQRT(SUM('p-pi-multi'!$C$3:C207)/COUNTIF($A$3:A207,"&lt;&gt;0"))</f>
        <v>16.571942200378412</v>
      </c>
    </row>
    <row r="208" spans="1:9">
      <c r="A208">
        <v>206</v>
      </c>
      <c r="B208">
        <v>498</v>
      </c>
      <c r="C208">
        <v>496</v>
      </c>
      <c r="D208">
        <v>436</v>
      </c>
      <c r="E208" s="4">
        <f t="shared" si="12"/>
        <v>1</v>
      </c>
      <c r="F208" s="4">
        <f t="shared" si="13"/>
        <v>2</v>
      </c>
      <c r="G208" s="4">
        <f t="shared" si="15"/>
        <v>1.6128772116578761E-5</v>
      </c>
      <c r="H208" s="4">
        <f t="shared" si="14"/>
        <v>4</v>
      </c>
      <c r="I208" s="5">
        <f>SQRT(SUM('p-pi-multi'!$C$3:C208)/COUNTIF($A$3:A208,"&lt;&gt;0"))</f>
        <v>16.604333274634836</v>
      </c>
    </row>
    <row r="209" spans="1:9">
      <c r="A209">
        <v>207</v>
      </c>
      <c r="B209">
        <v>498</v>
      </c>
      <c r="C209">
        <v>488</v>
      </c>
      <c r="D209">
        <v>448</v>
      </c>
      <c r="E209" s="4">
        <f t="shared" si="12"/>
        <v>1</v>
      </c>
      <c r="F209" s="4">
        <f t="shared" si="13"/>
        <v>10</v>
      </c>
      <c r="G209" s="4">
        <f t="shared" si="15"/>
        <v>4.0321930291446913E-4</v>
      </c>
      <c r="H209" s="4">
        <f t="shared" si="14"/>
        <v>100</v>
      </c>
      <c r="I209" s="5">
        <f>SQRT(SUM('p-pi-multi'!$C$3:C209)/COUNTIF($A$3:A209,"&lt;&gt;0"))</f>
        <v>16.63518766347509</v>
      </c>
    </row>
    <row r="210" spans="1:9">
      <c r="A210">
        <v>208</v>
      </c>
      <c r="B210">
        <v>498</v>
      </c>
      <c r="C210">
        <v>490</v>
      </c>
      <c r="D210">
        <v>451</v>
      </c>
      <c r="E210" s="4">
        <f t="shared" si="12"/>
        <v>1</v>
      </c>
      <c r="F210" s="4">
        <f t="shared" si="13"/>
        <v>8</v>
      </c>
      <c r="G210" s="4">
        <f t="shared" si="15"/>
        <v>2.5806035386526018E-4</v>
      </c>
      <c r="H210" s="4">
        <f t="shared" si="14"/>
        <v>64</v>
      </c>
      <c r="I210" s="5">
        <f>SQRT(SUM('p-pi-multi'!$C$3:C210)/COUNTIF($A$3:A210,"&lt;&gt;0"))</f>
        <v>16.665977549856105</v>
      </c>
    </row>
    <row r="211" spans="1:9">
      <c r="A211">
        <v>209</v>
      </c>
      <c r="B211">
        <v>498</v>
      </c>
      <c r="C211">
        <v>511</v>
      </c>
      <c r="D211">
        <v>451</v>
      </c>
      <c r="E211" s="4">
        <f t="shared" si="12"/>
        <v>1</v>
      </c>
      <c r="F211" s="4">
        <f t="shared" si="13"/>
        <v>13</v>
      </c>
      <c r="G211" s="4">
        <f t="shared" si="15"/>
        <v>6.8144062192545271E-4</v>
      </c>
      <c r="H211" s="4">
        <f t="shared" si="14"/>
        <v>169</v>
      </c>
      <c r="I211" s="5">
        <f>SQRT(SUM('p-pi-multi'!$C$3:C211)/COUNTIF($A$3:A211,"&lt;&gt;0"))</f>
        <v>16.699425540931916</v>
      </c>
    </row>
    <row r="212" spans="1:9">
      <c r="A212">
        <v>210</v>
      </c>
      <c r="B212">
        <v>498</v>
      </c>
      <c r="C212">
        <v>505</v>
      </c>
      <c r="D212">
        <v>444</v>
      </c>
      <c r="E212" s="4">
        <f t="shared" si="12"/>
        <v>1</v>
      </c>
      <c r="F212" s="4">
        <f t="shared" si="13"/>
        <v>7</v>
      </c>
      <c r="G212" s="4">
        <f t="shared" si="15"/>
        <v>1.9757745842808986E-4</v>
      </c>
      <c r="H212" s="4">
        <f t="shared" si="14"/>
        <v>49</v>
      </c>
      <c r="I212" s="5">
        <f>SQRT(SUM('p-pi-multi'!$C$3:C212)/COUNTIF($A$3:A212,"&lt;&gt;0"))</f>
        <v>16.731635277151454</v>
      </c>
    </row>
    <row r="213" spans="1:9">
      <c r="A213">
        <v>211</v>
      </c>
      <c r="B213">
        <v>498</v>
      </c>
      <c r="C213">
        <v>505</v>
      </c>
      <c r="D213">
        <v>445</v>
      </c>
      <c r="E213" s="4">
        <f t="shared" si="12"/>
        <v>1</v>
      </c>
      <c r="F213" s="4">
        <f t="shared" si="13"/>
        <v>7</v>
      </c>
      <c r="G213" s="4">
        <f t="shared" si="15"/>
        <v>1.9757745842808986E-4</v>
      </c>
      <c r="H213" s="4">
        <f t="shared" si="14"/>
        <v>49</v>
      </c>
      <c r="I213" s="5">
        <f>SQRT(SUM('p-pi-multi'!$C$3:C213)/COUNTIF($A$3:A213,"&lt;&gt;0"))</f>
        <v>16.763478696543824</v>
      </c>
    </row>
    <row r="214" spans="1:9">
      <c r="A214">
        <v>212</v>
      </c>
      <c r="B214">
        <v>498</v>
      </c>
      <c r="C214">
        <v>524</v>
      </c>
      <c r="D214">
        <v>444</v>
      </c>
      <c r="E214" s="4">
        <f t="shared" si="12"/>
        <v>1</v>
      </c>
      <c r="F214" s="4">
        <f t="shared" si="13"/>
        <v>26</v>
      </c>
      <c r="G214" s="4">
        <f t="shared" si="15"/>
        <v>2.7257624877018109E-3</v>
      </c>
      <c r="H214" s="4">
        <f t="shared" si="14"/>
        <v>676</v>
      </c>
      <c r="I214" s="5">
        <f>SQRT(SUM('p-pi-multi'!$C$3:C214)/COUNTIF($A$3:A214,"&lt;&gt;0"))</f>
        <v>16.797630111372573</v>
      </c>
    </row>
    <row r="215" spans="1:9">
      <c r="A215">
        <v>213</v>
      </c>
      <c r="B215">
        <v>498</v>
      </c>
      <c r="C215">
        <v>457</v>
      </c>
      <c r="D215">
        <v>437</v>
      </c>
      <c r="E215" s="4">
        <f t="shared" si="12"/>
        <v>1</v>
      </c>
      <c r="F215" s="4">
        <f t="shared" si="13"/>
        <v>41</v>
      </c>
      <c r="G215" s="4">
        <f t="shared" si="15"/>
        <v>6.7781164819922255E-3</v>
      </c>
      <c r="H215" s="4">
        <f t="shared" si="14"/>
        <v>1681</v>
      </c>
      <c r="I215" s="5">
        <f>SQRT(SUM('p-pi-multi'!$C$3:C215)/COUNTIF($A$3:A215,"&lt;&gt;0"))</f>
        <v>16.822045673974287</v>
      </c>
    </row>
    <row r="216" spans="1:9">
      <c r="A216">
        <v>214</v>
      </c>
      <c r="B216">
        <v>498</v>
      </c>
      <c r="C216">
        <v>495</v>
      </c>
      <c r="D216">
        <v>460</v>
      </c>
      <c r="E216" s="4">
        <f t="shared" si="12"/>
        <v>1</v>
      </c>
      <c r="F216" s="4">
        <f t="shared" si="13"/>
        <v>3</v>
      </c>
      <c r="G216" s="4">
        <f t="shared" si="15"/>
        <v>3.6289737262302225E-5</v>
      </c>
      <c r="H216" s="4">
        <f t="shared" si="14"/>
        <v>9</v>
      </c>
      <c r="I216" s="5">
        <f>SQRT(SUM('p-pi-multi'!$C$3:C216)/COUNTIF($A$3:A216,"&lt;&gt;0"))</f>
        <v>16.851467669518357</v>
      </c>
    </row>
    <row r="217" spans="1:9">
      <c r="A217">
        <v>215</v>
      </c>
      <c r="B217">
        <v>498</v>
      </c>
      <c r="C217">
        <v>509</v>
      </c>
      <c r="D217">
        <v>449</v>
      </c>
      <c r="E217" s="4">
        <f t="shared" ref="E217:E280" si="16">IF(AND(C217&lt;=B217*1.2,C217&gt;=B217*0.8),1,0)</f>
        <v>1</v>
      </c>
      <c r="F217" s="4">
        <f t="shared" ref="F217:F280" si="17">ABS(B217-C217)</f>
        <v>11</v>
      </c>
      <c r="G217" s="4">
        <f t="shared" si="15"/>
        <v>4.8789535652650766E-4</v>
      </c>
      <c r="H217" s="4">
        <f t="shared" ref="H217:H280" si="18">POWER(F217,2)</f>
        <v>121</v>
      </c>
      <c r="I217" s="5">
        <f>SQRT(SUM('p-pi-multi'!$C$3:C217)/COUNTIF($A$3:A217,"&lt;&gt;0"))</f>
        <v>16.882494029353683</v>
      </c>
    </row>
    <row r="218" spans="1:9">
      <c r="A218">
        <v>216</v>
      </c>
      <c r="B218">
        <v>498</v>
      </c>
      <c r="C218">
        <v>485</v>
      </c>
      <c r="D218">
        <v>444</v>
      </c>
      <c r="E218" s="4">
        <f t="shared" si="16"/>
        <v>1</v>
      </c>
      <c r="F218" s="4">
        <f t="shared" si="17"/>
        <v>13</v>
      </c>
      <c r="G218" s="4">
        <f t="shared" si="15"/>
        <v>6.8144062192545271E-4</v>
      </c>
      <c r="H218" s="4">
        <f t="shared" si="18"/>
        <v>169</v>
      </c>
      <c r="I218" s="5">
        <f>SQRT(SUM('p-pi-multi'!$C$3:C218)/COUNTIF($A$3:A218,"&lt;&gt;0"))</f>
        <v>16.909891911081054</v>
      </c>
    </row>
    <row r="219" spans="1:9">
      <c r="A219">
        <v>217</v>
      </c>
      <c r="B219">
        <v>498</v>
      </c>
      <c r="C219">
        <v>532</v>
      </c>
      <c r="D219">
        <v>452</v>
      </c>
      <c r="E219" s="4">
        <f t="shared" si="16"/>
        <v>1</v>
      </c>
      <c r="F219" s="4">
        <f t="shared" si="17"/>
        <v>34</v>
      </c>
      <c r="G219" s="4">
        <f t="shared" si="15"/>
        <v>4.6612151416912636E-3</v>
      </c>
      <c r="H219" s="4">
        <f t="shared" si="18"/>
        <v>1156</v>
      </c>
      <c r="I219" s="5">
        <f>SQRT(SUM('p-pi-multi'!$C$3:C219)/COUNTIF($A$3:A219,"&lt;&gt;0"))</f>
        <v>16.943386350249614</v>
      </c>
    </row>
    <row r="220" spans="1:9">
      <c r="A220">
        <v>218</v>
      </c>
      <c r="B220">
        <v>498</v>
      </c>
      <c r="C220">
        <v>495</v>
      </c>
      <c r="D220">
        <v>435</v>
      </c>
      <c r="E220" s="4">
        <f t="shared" si="16"/>
        <v>1</v>
      </c>
      <c r="F220" s="4">
        <f t="shared" si="17"/>
        <v>3</v>
      </c>
      <c r="G220" s="4">
        <f t="shared" si="15"/>
        <v>3.6289737262302225E-5</v>
      </c>
      <c r="H220" s="4">
        <f t="shared" si="18"/>
        <v>9</v>
      </c>
      <c r="I220" s="5">
        <f>SQRT(SUM('p-pi-multi'!$C$3:C220)/COUNTIF($A$3:A220,"&lt;&gt;0"))</f>
        <v>16.971508774759631</v>
      </c>
    </row>
    <row r="221" spans="1:9">
      <c r="A221">
        <v>219</v>
      </c>
      <c r="B221">
        <v>498</v>
      </c>
      <c r="C221">
        <v>507</v>
      </c>
      <c r="D221">
        <v>447</v>
      </c>
      <c r="E221" s="4">
        <f t="shared" si="16"/>
        <v>1</v>
      </c>
      <c r="F221" s="4">
        <f t="shared" si="17"/>
        <v>9</v>
      </c>
      <c r="G221" s="4">
        <f t="shared" si="15"/>
        <v>3.2660763536071995E-4</v>
      </c>
      <c r="H221" s="4">
        <f t="shared" si="18"/>
        <v>81</v>
      </c>
      <c r="I221" s="5">
        <f>SQRT(SUM('p-pi-multi'!$C$3:C221)/COUNTIF($A$3:A221,"&lt;&gt;0"))</f>
        <v>17.000940076075782</v>
      </c>
    </row>
    <row r="222" spans="1:9">
      <c r="A222">
        <v>220</v>
      </c>
      <c r="B222">
        <v>498</v>
      </c>
      <c r="C222">
        <v>482</v>
      </c>
      <c r="D222">
        <v>442</v>
      </c>
      <c r="E222" s="4">
        <f t="shared" si="16"/>
        <v>1</v>
      </c>
      <c r="F222" s="4">
        <f t="shared" si="17"/>
        <v>16</v>
      </c>
      <c r="G222" s="4">
        <f t="shared" si="15"/>
        <v>1.0322414154610407E-3</v>
      </c>
      <c r="H222" s="4">
        <f t="shared" si="18"/>
        <v>256</v>
      </c>
      <c r="I222" s="5">
        <f>SQRT(SUM('p-pi-multi'!$C$3:C222)/COUNTIF($A$3:A222,"&lt;&gt;0"))</f>
        <v>17.026716973894025</v>
      </c>
    </row>
    <row r="223" spans="1:9">
      <c r="A223">
        <v>221</v>
      </c>
      <c r="B223">
        <v>498</v>
      </c>
      <c r="C223">
        <v>491</v>
      </c>
      <c r="D223">
        <v>451</v>
      </c>
      <c r="E223" s="4">
        <f t="shared" si="16"/>
        <v>1</v>
      </c>
      <c r="F223" s="4">
        <f t="shared" si="17"/>
        <v>7</v>
      </c>
      <c r="G223" s="4">
        <f t="shared" si="15"/>
        <v>1.9757745842808986E-4</v>
      </c>
      <c r="H223" s="4">
        <f t="shared" si="18"/>
        <v>49</v>
      </c>
      <c r="I223" s="5">
        <f>SQRT(SUM('p-pi-multi'!$C$3:C223)/COUNTIF($A$3:A223,"&lt;&gt;0"))</f>
        <v>17.053416212738341</v>
      </c>
    </row>
    <row r="224" spans="1:9">
      <c r="A224">
        <v>222</v>
      </c>
      <c r="B224">
        <v>498</v>
      </c>
      <c r="C224">
        <v>489</v>
      </c>
      <c r="D224">
        <v>449</v>
      </c>
      <c r="E224" s="4">
        <f t="shared" si="16"/>
        <v>1</v>
      </c>
      <c r="F224" s="4">
        <f t="shared" si="17"/>
        <v>9</v>
      </c>
      <c r="G224" s="4">
        <f t="shared" si="15"/>
        <v>3.2660763536071995E-4</v>
      </c>
      <c r="H224" s="4">
        <f t="shared" si="18"/>
        <v>81</v>
      </c>
      <c r="I224" s="5">
        <f>SQRT(SUM('p-pi-multi'!$C$3:C224)/COUNTIF($A$3:A224,"&lt;&gt;0"))</f>
        <v>17.079570009567327</v>
      </c>
    </row>
    <row r="225" spans="1:9">
      <c r="A225">
        <v>223</v>
      </c>
      <c r="B225">
        <v>498</v>
      </c>
      <c r="C225">
        <v>510</v>
      </c>
      <c r="D225">
        <v>450</v>
      </c>
      <c r="E225" s="4">
        <f t="shared" si="16"/>
        <v>1</v>
      </c>
      <c r="F225" s="4">
        <f t="shared" si="17"/>
        <v>12</v>
      </c>
      <c r="G225" s="4">
        <f t="shared" si="15"/>
        <v>5.8063579619683559E-4</v>
      </c>
      <c r="H225" s="4">
        <f t="shared" si="18"/>
        <v>144</v>
      </c>
      <c r="I225" s="5">
        <f>SQRT(SUM('p-pi-multi'!$C$3:C225)/COUNTIF($A$3:A225,"&lt;&gt;0"))</f>
        <v>17.108202212963267</v>
      </c>
    </row>
    <row r="226" spans="1:9">
      <c r="A226">
        <v>224</v>
      </c>
      <c r="B226">
        <v>498</v>
      </c>
      <c r="C226">
        <v>464</v>
      </c>
      <c r="D226">
        <v>443</v>
      </c>
      <c r="E226" s="4">
        <f t="shared" si="16"/>
        <v>1</v>
      </c>
      <c r="F226" s="4">
        <f t="shared" si="17"/>
        <v>34</v>
      </c>
      <c r="G226" s="4">
        <f t="shared" si="15"/>
        <v>4.6612151416912636E-3</v>
      </c>
      <c r="H226" s="4">
        <f t="shared" si="18"/>
        <v>1156</v>
      </c>
      <c r="I226" s="5">
        <f>SQRT(SUM('p-pi-multi'!$C$3:C226)/COUNTIF($A$3:A226,"&lt;&gt;0"))</f>
        <v>17.130538728915013</v>
      </c>
    </row>
    <row r="227" spans="1:9">
      <c r="A227">
        <v>225</v>
      </c>
      <c r="B227">
        <v>498</v>
      </c>
      <c r="C227">
        <v>495</v>
      </c>
      <c r="D227">
        <v>459</v>
      </c>
      <c r="E227" s="4">
        <f t="shared" si="16"/>
        <v>1</v>
      </c>
      <c r="F227" s="4">
        <f t="shared" si="17"/>
        <v>3</v>
      </c>
      <c r="G227" s="4">
        <f t="shared" si="15"/>
        <v>3.6289737262302225E-5</v>
      </c>
      <c r="H227" s="4">
        <f t="shared" si="18"/>
        <v>9</v>
      </c>
      <c r="I227" s="5">
        <f>SQRT(SUM('p-pi-multi'!$C$3:C227)/COUNTIF($A$3:A227,"&lt;&gt;0"))</f>
        <v>17.156663752347399</v>
      </c>
    </row>
    <row r="228" spans="1:9">
      <c r="A228">
        <v>226</v>
      </c>
      <c r="B228">
        <v>498</v>
      </c>
      <c r="C228">
        <v>470</v>
      </c>
      <c r="D228">
        <v>450</v>
      </c>
      <c r="E228" s="4">
        <f t="shared" si="16"/>
        <v>1</v>
      </c>
      <c r="F228" s="4">
        <f t="shared" si="17"/>
        <v>28</v>
      </c>
      <c r="G228" s="4">
        <f t="shared" si="15"/>
        <v>3.1612393348494378E-3</v>
      </c>
      <c r="H228" s="4">
        <f t="shared" si="18"/>
        <v>784</v>
      </c>
      <c r="I228" s="5">
        <f>SQRT(SUM('p-pi-multi'!$C$3:C228)/COUNTIF($A$3:A228,"&lt;&gt;0"))</f>
        <v>17.179299129594046</v>
      </c>
    </row>
    <row r="229" spans="1:9">
      <c r="A229">
        <v>227</v>
      </c>
      <c r="B229">
        <v>498</v>
      </c>
      <c r="C229">
        <v>518</v>
      </c>
      <c r="D229">
        <v>460</v>
      </c>
      <c r="E229" s="4">
        <f t="shared" si="16"/>
        <v>1</v>
      </c>
      <c r="F229" s="4">
        <f t="shared" si="17"/>
        <v>20</v>
      </c>
      <c r="G229" s="4">
        <f t="shared" si="15"/>
        <v>1.6128772116578765E-3</v>
      </c>
      <c r="H229" s="4">
        <f t="shared" si="18"/>
        <v>400</v>
      </c>
      <c r="I229" s="5">
        <f>SQRT(SUM('p-pi-multi'!$C$3:C229)/COUNTIF($A$3:A229,"&lt;&gt;0"))</f>
        <v>17.207850887272073</v>
      </c>
    </row>
    <row r="230" spans="1:9">
      <c r="A230">
        <v>228</v>
      </c>
      <c r="B230">
        <v>498</v>
      </c>
      <c r="C230">
        <v>464</v>
      </c>
      <c r="D230">
        <v>444</v>
      </c>
      <c r="E230" s="4">
        <f t="shared" si="16"/>
        <v>1</v>
      </c>
      <c r="F230" s="4">
        <f t="shared" si="17"/>
        <v>34</v>
      </c>
      <c r="G230" s="4">
        <f t="shared" si="15"/>
        <v>4.6612151416912636E-3</v>
      </c>
      <c r="H230" s="4">
        <f t="shared" si="18"/>
        <v>1156</v>
      </c>
      <c r="I230" s="5">
        <f>SQRT(SUM('p-pi-multi'!$C$3:C230)/COUNTIF($A$3:A230,"&lt;&gt;0"))</f>
        <v>17.229233622772377</v>
      </c>
    </row>
    <row r="231" spans="1:9">
      <c r="A231">
        <v>229</v>
      </c>
      <c r="B231">
        <v>498</v>
      </c>
      <c r="C231">
        <v>498</v>
      </c>
      <c r="D231">
        <v>462</v>
      </c>
      <c r="E231" s="4">
        <f t="shared" si="16"/>
        <v>1</v>
      </c>
      <c r="F231" s="4">
        <f t="shared" si="17"/>
        <v>0</v>
      </c>
      <c r="G231" s="4">
        <f t="shared" si="15"/>
        <v>0</v>
      </c>
      <c r="H231" s="4">
        <f t="shared" si="18"/>
        <v>0</v>
      </c>
      <c r="I231" s="5">
        <f>SQRT(SUM('p-pi-multi'!$C$3:C231)/COUNTIF($A$3:A231,"&lt;&gt;0"))</f>
        <v>17.254706338552804</v>
      </c>
    </row>
    <row r="232" spans="1:9">
      <c r="A232">
        <v>230</v>
      </c>
      <c r="B232">
        <v>498</v>
      </c>
      <c r="C232">
        <v>512</v>
      </c>
      <c r="D232">
        <v>452</v>
      </c>
      <c r="E232" s="4">
        <f t="shared" si="16"/>
        <v>1</v>
      </c>
      <c r="F232" s="4">
        <f t="shared" si="17"/>
        <v>14</v>
      </c>
      <c r="G232" s="4">
        <f t="shared" si="15"/>
        <v>7.9030983371235946E-4</v>
      </c>
      <c r="H232" s="4">
        <f t="shared" si="18"/>
        <v>196</v>
      </c>
      <c r="I232" s="5">
        <f>SQRT(SUM('p-pi-multi'!$C$3:C232)/COUNTIF($A$3:A232,"&lt;&gt;0"))</f>
        <v>17.281681681454799</v>
      </c>
    </row>
    <row r="233" spans="1:9">
      <c r="A233">
        <v>231</v>
      </c>
      <c r="B233">
        <v>498</v>
      </c>
      <c r="C233">
        <v>508</v>
      </c>
      <c r="D233">
        <v>447</v>
      </c>
      <c r="E233" s="4">
        <f t="shared" si="16"/>
        <v>1</v>
      </c>
      <c r="F233" s="4">
        <f t="shared" si="17"/>
        <v>10</v>
      </c>
      <c r="G233" s="4">
        <f t="shared" si="15"/>
        <v>4.0321930291446913E-4</v>
      </c>
      <c r="H233" s="4">
        <f t="shared" si="18"/>
        <v>100</v>
      </c>
      <c r="I233" s="5">
        <f>SQRT(SUM('p-pi-multi'!$C$3:C233)/COUNTIF($A$3:A233,"&lt;&gt;0"))</f>
        <v>17.307881746845005</v>
      </c>
    </row>
    <row r="234" spans="1:9">
      <c r="A234">
        <v>232</v>
      </c>
      <c r="B234">
        <v>498</v>
      </c>
      <c r="C234">
        <v>487</v>
      </c>
      <c r="D234">
        <v>447</v>
      </c>
      <c r="E234" s="4">
        <f t="shared" si="16"/>
        <v>1</v>
      </c>
      <c r="F234" s="4">
        <f t="shared" si="17"/>
        <v>11</v>
      </c>
      <c r="G234" s="4">
        <f t="shared" si="15"/>
        <v>4.8789535652650766E-4</v>
      </c>
      <c r="H234" s="4">
        <f t="shared" si="18"/>
        <v>121</v>
      </c>
      <c r="I234" s="5">
        <f>SQRT(SUM('p-pi-multi'!$C$3:C234)/COUNTIF($A$3:A234,"&lt;&gt;0"))</f>
        <v>17.331205660748836</v>
      </c>
    </row>
    <row r="235" spans="1:9">
      <c r="A235">
        <v>233</v>
      </c>
      <c r="B235">
        <v>498</v>
      </c>
      <c r="C235">
        <v>473</v>
      </c>
      <c r="D235">
        <v>455</v>
      </c>
      <c r="E235" s="4">
        <f t="shared" si="16"/>
        <v>1</v>
      </c>
      <c r="F235" s="4">
        <f t="shared" si="17"/>
        <v>25</v>
      </c>
      <c r="G235" s="4">
        <f t="shared" si="15"/>
        <v>2.5201206432154321E-3</v>
      </c>
      <c r="H235" s="4">
        <f t="shared" si="18"/>
        <v>625</v>
      </c>
      <c r="I235" s="5">
        <f>SQRT(SUM('p-pi-multi'!$C$3:C235)/COUNTIF($A$3:A235,"&lt;&gt;0"))</f>
        <v>17.352567187100377</v>
      </c>
    </row>
    <row r="236" spans="1:9">
      <c r="A236">
        <v>234</v>
      </c>
      <c r="B236">
        <v>498</v>
      </c>
      <c r="C236">
        <v>459</v>
      </c>
      <c r="D236">
        <v>460</v>
      </c>
      <c r="E236" s="4">
        <f t="shared" si="16"/>
        <v>1</v>
      </c>
      <c r="F236" s="4">
        <f t="shared" si="17"/>
        <v>39</v>
      </c>
      <c r="G236" s="4">
        <f t="shared" si="15"/>
        <v>6.1329655973290757E-3</v>
      </c>
      <c r="H236" s="4">
        <f t="shared" si="18"/>
        <v>1521</v>
      </c>
      <c r="I236" s="5">
        <f>SQRT(SUM('p-pi-multi'!$C$3:C236)/COUNTIF($A$3:A236,"&lt;&gt;0"))</f>
        <v>17.371998295714999</v>
      </c>
    </row>
    <row r="237" spans="1:9">
      <c r="A237">
        <v>235</v>
      </c>
      <c r="B237">
        <v>498</v>
      </c>
      <c r="C237">
        <v>508</v>
      </c>
      <c r="D237">
        <v>468</v>
      </c>
      <c r="E237" s="4">
        <f t="shared" si="16"/>
        <v>1</v>
      </c>
      <c r="F237" s="4">
        <f t="shared" si="17"/>
        <v>10</v>
      </c>
      <c r="G237" s="4">
        <f t="shared" si="15"/>
        <v>4.0321930291446913E-4</v>
      </c>
      <c r="H237" s="4">
        <f t="shared" si="18"/>
        <v>100</v>
      </c>
      <c r="I237" s="5">
        <f>SQRT(SUM('p-pi-multi'!$C$3:C237)/COUNTIF($A$3:A237,"&lt;&gt;0"))</f>
        <v>17.397236268650087</v>
      </c>
    </row>
    <row r="238" spans="1:9">
      <c r="A238">
        <v>236</v>
      </c>
      <c r="B238">
        <v>498</v>
      </c>
      <c r="C238">
        <v>495</v>
      </c>
      <c r="D238">
        <v>452</v>
      </c>
      <c r="E238" s="4">
        <f t="shared" si="16"/>
        <v>1</v>
      </c>
      <c r="F238" s="4">
        <f t="shared" si="17"/>
        <v>3</v>
      </c>
      <c r="G238" s="4">
        <f t="shared" si="15"/>
        <v>3.6289737262302225E-5</v>
      </c>
      <c r="H238" s="4">
        <f t="shared" si="18"/>
        <v>9</v>
      </c>
      <c r="I238" s="5">
        <f>SQRT(SUM('p-pi-multi'!$C$3:C238)/COUNTIF($A$3:A238,"&lt;&gt;0"))</f>
        <v>17.420643316459987</v>
      </c>
    </row>
    <row r="239" spans="1:9">
      <c r="A239">
        <v>237</v>
      </c>
      <c r="B239">
        <v>498</v>
      </c>
      <c r="C239">
        <v>476</v>
      </c>
      <c r="D239">
        <v>456</v>
      </c>
      <c r="E239" s="4">
        <f t="shared" si="16"/>
        <v>1</v>
      </c>
      <c r="F239" s="4">
        <f t="shared" si="17"/>
        <v>22</v>
      </c>
      <c r="G239" s="4">
        <f t="shared" si="15"/>
        <v>1.9515814261060306E-3</v>
      </c>
      <c r="H239" s="4">
        <f t="shared" si="18"/>
        <v>484</v>
      </c>
      <c r="I239" s="5">
        <f>SQRT(SUM('p-pi-multi'!$C$3:C239)/COUNTIF($A$3:A239,"&lt;&gt;0"))</f>
        <v>17.44152375954728</v>
      </c>
    </row>
    <row r="240" spans="1:9">
      <c r="A240">
        <v>238</v>
      </c>
      <c r="B240">
        <v>498</v>
      </c>
      <c r="C240">
        <v>524</v>
      </c>
      <c r="D240">
        <v>464</v>
      </c>
      <c r="E240" s="4">
        <f t="shared" si="16"/>
        <v>1</v>
      </c>
      <c r="F240" s="4">
        <f t="shared" si="17"/>
        <v>26</v>
      </c>
      <c r="G240" s="4">
        <f t="shared" si="15"/>
        <v>2.7257624877018109E-3</v>
      </c>
      <c r="H240" s="4">
        <f t="shared" si="18"/>
        <v>676</v>
      </c>
      <c r="I240" s="5">
        <f>SQRT(SUM('p-pi-multi'!$C$3:C240)/COUNTIF($A$3:A240,"&lt;&gt;0"))</f>
        <v>17.467977905322652</v>
      </c>
    </row>
    <row r="241" spans="1:9">
      <c r="A241">
        <v>239</v>
      </c>
      <c r="B241">
        <v>498</v>
      </c>
      <c r="C241">
        <v>467</v>
      </c>
      <c r="D241">
        <v>447</v>
      </c>
      <c r="E241" s="4">
        <f t="shared" si="16"/>
        <v>1</v>
      </c>
      <c r="F241" s="4">
        <f t="shared" si="17"/>
        <v>31</v>
      </c>
      <c r="G241" s="4">
        <f t="shared" si="15"/>
        <v>3.8749375010080477E-3</v>
      </c>
      <c r="H241" s="4">
        <f t="shared" si="18"/>
        <v>961</v>
      </c>
      <c r="I241" s="5">
        <f>SQRT(SUM('p-pi-multi'!$C$3:C241)/COUNTIF($A$3:A241,"&lt;&gt;0"))</f>
        <v>17.48735346988655</v>
      </c>
    </row>
    <row r="242" spans="1:9">
      <c r="A242">
        <v>240</v>
      </c>
      <c r="B242">
        <v>498</v>
      </c>
      <c r="C242">
        <v>547</v>
      </c>
      <c r="D242">
        <v>467</v>
      </c>
      <c r="E242" s="4">
        <f t="shared" si="16"/>
        <v>1</v>
      </c>
      <c r="F242" s="4">
        <f t="shared" si="17"/>
        <v>49</v>
      </c>
      <c r="G242" s="4">
        <f t="shared" si="15"/>
        <v>9.6812954629764032E-3</v>
      </c>
      <c r="H242" s="4">
        <f t="shared" si="18"/>
        <v>2401</v>
      </c>
      <c r="I242" s="5">
        <f>SQRT(SUM('p-pi-multi'!$C$3:C242)/COUNTIF($A$3:A242,"&lt;&gt;0"))</f>
        <v>17.516064055603358</v>
      </c>
    </row>
    <row r="243" spans="1:9">
      <c r="A243">
        <v>241</v>
      </c>
      <c r="B243">
        <v>498</v>
      </c>
      <c r="C243">
        <v>459</v>
      </c>
      <c r="D243">
        <v>439</v>
      </c>
      <c r="E243" s="4">
        <f t="shared" si="16"/>
        <v>1</v>
      </c>
      <c r="F243" s="4">
        <f t="shared" si="17"/>
        <v>39</v>
      </c>
      <c r="G243" s="4">
        <f t="shared" si="15"/>
        <v>6.1329655973290757E-3</v>
      </c>
      <c r="H243" s="4">
        <f t="shared" si="18"/>
        <v>1521</v>
      </c>
      <c r="I243" s="5">
        <f>SQRT(SUM('p-pi-multi'!$C$3:C243)/COUNTIF($A$3:A243,"&lt;&gt;0"))</f>
        <v>17.534080626097555</v>
      </c>
    </row>
    <row r="244" spans="1:9">
      <c r="A244">
        <v>242</v>
      </c>
      <c r="B244">
        <v>498</v>
      </c>
      <c r="C244">
        <v>522</v>
      </c>
      <c r="D244">
        <v>468</v>
      </c>
      <c r="E244" s="4">
        <f t="shared" si="16"/>
        <v>1</v>
      </c>
      <c r="F244" s="4">
        <f t="shared" si="17"/>
        <v>24</v>
      </c>
      <c r="G244" s="4">
        <f t="shared" si="15"/>
        <v>2.3225431847873424E-3</v>
      </c>
      <c r="H244" s="4">
        <f t="shared" si="18"/>
        <v>576</v>
      </c>
      <c r="I244" s="5">
        <f>SQRT(SUM('p-pi-multi'!$C$3:C244)/COUNTIF($A$3:A244,"&lt;&gt;0"))</f>
        <v>17.559344478436451</v>
      </c>
    </row>
    <row r="245" spans="1:9">
      <c r="A245">
        <v>243</v>
      </c>
      <c r="B245">
        <v>498</v>
      </c>
      <c r="C245">
        <v>488</v>
      </c>
      <c r="D245">
        <v>448</v>
      </c>
      <c r="E245" s="4">
        <f t="shared" si="16"/>
        <v>1</v>
      </c>
      <c r="F245" s="4">
        <f t="shared" si="17"/>
        <v>10</v>
      </c>
      <c r="G245" s="4">
        <f t="shared" si="15"/>
        <v>4.0321930291446913E-4</v>
      </c>
      <c r="H245" s="4">
        <f t="shared" si="18"/>
        <v>100</v>
      </c>
      <c r="I245" s="5">
        <f>SQRT(SUM('p-pi-multi'!$C$3:C245)/COUNTIF($A$3:A245,"&lt;&gt;0"))</f>
        <v>17.580385628527512</v>
      </c>
    </row>
    <row r="246" spans="1:9">
      <c r="A246">
        <v>244</v>
      </c>
      <c r="B246">
        <v>498</v>
      </c>
      <c r="C246">
        <v>519</v>
      </c>
      <c r="D246">
        <v>459</v>
      </c>
      <c r="E246" s="4">
        <f t="shared" si="16"/>
        <v>1</v>
      </c>
      <c r="F246" s="4">
        <f t="shared" si="17"/>
        <v>21</v>
      </c>
      <c r="G246" s="4">
        <f t="shared" si="15"/>
        <v>1.7781971258528087E-3</v>
      </c>
      <c r="H246" s="4">
        <f t="shared" si="18"/>
        <v>441</v>
      </c>
      <c r="I246" s="5">
        <f>SQRT(SUM('p-pi-multi'!$C$3:C246)/COUNTIF($A$3:A246,"&lt;&gt;0"))</f>
        <v>17.60483819490689</v>
      </c>
    </row>
    <row r="247" spans="1:9">
      <c r="A247">
        <v>245</v>
      </c>
      <c r="B247">
        <v>498</v>
      </c>
      <c r="C247">
        <v>488</v>
      </c>
      <c r="D247">
        <v>448</v>
      </c>
      <c r="E247" s="4">
        <f t="shared" si="16"/>
        <v>1</v>
      </c>
      <c r="F247" s="4">
        <f t="shared" si="17"/>
        <v>10</v>
      </c>
      <c r="G247" s="4">
        <f t="shared" si="15"/>
        <v>4.0321930291446913E-4</v>
      </c>
      <c r="H247" s="4">
        <f t="shared" si="18"/>
        <v>100</v>
      </c>
      <c r="I247" s="5">
        <f>SQRT(SUM('p-pi-multi'!$C$3:C247)/COUNTIF($A$3:A247,"&lt;&gt;0"))</f>
        <v>17.625468585462993</v>
      </c>
    </row>
    <row r="248" spans="1:9">
      <c r="A248">
        <v>246</v>
      </c>
      <c r="B248">
        <v>498</v>
      </c>
      <c r="C248">
        <v>496</v>
      </c>
      <c r="D248">
        <v>458</v>
      </c>
      <c r="E248" s="4">
        <f t="shared" si="16"/>
        <v>1</v>
      </c>
      <c r="F248" s="4">
        <f t="shared" si="17"/>
        <v>2</v>
      </c>
      <c r="G248" s="4">
        <f t="shared" si="15"/>
        <v>1.6128772116578761E-5</v>
      </c>
      <c r="H248" s="4">
        <f t="shared" si="18"/>
        <v>4</v>
      </c>
      <c r="I248" s="5">
        <f>SQRT(SUM('p-pi-multi'!$C$3:C248)/COUNTIF($A$3:A248,"&lt;&gt;0"))</f>
        <v>17.646828868261036</v>
      </c>
    </row>
    <row r="249" spans="1:9">
      <c r="A249">
        <v>247</v>
      </c>
      <c r="B249">
        <v>498</v>
      </c>
      <c r="C249">
        <v>496</v>
      </c>
      <c r="D249">
        <v>456</v>
      </c>
      <c r="E249" s="4">
        <f t="shared" si="16"/>
        <v>1</v>
      </c>
      <c r="F249" s="4">
        <f t="shared" si="17"/>
        <v>2</v>
      </c>
      <c r="G249" s="4">
        <f t="shared" si="15"/>
        <v>1.6128772116578761E-5</v>
      </c>
      <c r="H249" s="4">
        <f t="shared" si="18"/>
        <v>4</v>
      </c>
      <c r="I249" s="5">
        <f>SQRT(SUM('p-pi-multi'!$C$3:C249)/COUNTIF($A$3:A249,"&lt;&gt;0"))</f>
        <v>17.667990681932174</v>
      </c>
    </row>
    <row r="250" spans="1:9">
      <c r="A250">
        <v>248</v>
      </c>
      <c r="B250">
        <v>498</v>
      </c>
      <c r="C250">
        <v>456</v>
      </c>
      <c r="D250">
        <v>456</v>
      </c>
      <c r="E250" s="4">
        <f t="shared" si="16"/>
        <v>1</v>
      </c>
      <c r="F250" s="4">
        <f t="shared" si="17"/>
        <v>42</v>
      </c>
      <c r="G250" s="4">
        <f t="shared" si="15"/>
        <v>7.1127885034112347E-3</v>
      </c>
      <c r="H250" s="4">
        <f t="shared" si="18"/>
        <v>1764</v>
      </c>
      <c r="I250" s="5">
        <f>SQRT(SUM('p-pi-multi'!$C$3:C250)/COUNTIF($A$3:A250,"&lt;&gt;0"))</f>
        <v>17.684397168854993</v>
      </c>
    </row>
    <row r="251" spans="1:9">
      <c r="A251">
        <v>249</v>
      </c>
      <c r="B251">
        <v>498</v>
      </c>
      <c r="C251">
        <v>488</v>
      </c>
      <c r="D251">
        <v>471</v>
      </c>
      <c r="E251" s="4">
        <f t="shared" si="16"/>
        <v>1</v>
      </c>
      <c r="F251" s="4">
        <f t="shared" si="17"/>
        <v>10</v>
      </c>
      <c r="G251" s="4">
        <f t="shared" si="15"/>
        <v>4.0321930291446913E-4</v>
      </c>
      <c r="H251" s="4">
        <f t="shared" si="18"/>
        <v>100</v>
      </c>
      <c r="I251" s="5">
        <f>SQRT(SUM('p-pi-multi'!$C$3:C251)/COUNTIF($A$3:A251,"&lt;&gt;0"))</f>
        <v>17.704286686231477</v>
      </c>
    </row>
    <row r="252" spans="1:9">
      <c r="A252">
        <v>250</v>
      </c>
      <c r="B252">
        <v>498</v>
      </c>
      <c r="C252">
        <v>542</v>
      </c>
      <c r="D252">
        <v>462</v>
      </c>
      <c r="E252" s="4">
        <f t="shared" si="16"/>
        <v>1</v>
      </c>
      <c r="F252" s="4">
        <f t="shared" si="17"/>
        <v>44</v>
      </c>
      <c r="G252" s="4">
        <f t="shared" si="15"/>
        <v>7.8063257044241226E-3</v>
      </c>
      <c r="H252" s="4">
        <f t="shared" si="18"/>
        <v>1936</v>
      </c>
      <c r="I252" s="5">
        <f>SQRT(SUM('p-pi-multi'!$C$3:C252)/COUNTIF($A$3:A252,"&lt;&gt;0"))</f>
        <v>17.730087422232298</v>
      </c>
    </row>
    <row r="253" spans="1:9">
      <c r="A253">
        <v>251</v>
      </c>
      <c r="B253">
        <v>498</v>
      </c>
      <c r="C253">
        <v>503</v>
      </c>
      <c r="D253">
        <v>443</v>
      </c>
      <c r="E253" s="4">
        <f t="shared" si="16"/>
        <v>1</v>
      </c>
      <c r="F253" s="4">
        <f t="shared" si="17"/>
        <v>5</v>
      </c>
      <c r="G253" s="4">
        <f t="shared" si="15"/>
        <v>1.0080482572861728E-4</v>
      </c>
      <c r="H253" s="4">
        <f t="shared" si="18"/>
        <v>25</v>
      </c>
      <c r="I253" s="5">
        <f>SQRT(SUM('p-pi-multi'!$C$3:C253)/COUNTIF($A$3:A253,"&lt;&gt;0"))</f>
        <v>17.751269524209121</v>
      </c>
    </row>
    <row r="254" spans="1:9">
      <c r="A254">
        <v>252</v>
      </c>
      <c r="B254">
        <v>498</v>
      </c>
      <c r="C254">
        <v>451</v>
      </c>
      <c r="D254">
        <v>454</v>
      </c>
      <c r="E254" s="4">
        <f t="shared" si="16"/>
        <v>1</v>
      </c>
      <c r="F254" s="4">
        <f t="shared" si="17"/>
        <v>47</v>
      </c>
      <c r="G254" s="4">
        <f t="shared" si="15"/>
        <v>8.9071144013806221E-3</v>
      </c>
      <c r="H254" s="4">
        <f t="shared" si="18"/>
        <v>2209</v>
      </c>
      <c r="I254" s="5">
        <f>SQRT(SUM('p-pi-multi'!$C$3:C254)/COUNTIF($A$3:A254,"&lt;&gt;0"))</f>
        <v>17.766452245646157</v>
      </c>
    </row>
    <row r="255" spans="1:9">
      <c r="A255">
        <v>253</v>
      </c>
      <c r="B255">
        <v>498</v>
      </c>
      <c r="C255">
        <v>469</v>
      </c>
      <c r="D255">
        <v>473</v>
      </c>
      <c r="E255" s="4">
        <f t="shared" si="16"/>
        <v>1</v>
      </c>
      <c r="F255" s="4">
        <f t="shared" si="17"/>
        <v>29</v>
      </c>
      <c r="G255" s="4">
        <f t="shared" si="15"/>
        <v>3.3910743375106856E-3</v>
      </c>
      <c r="H255" s="4">
        <f t="shared" si="18"/>
        <v>841</v>
      </c>
      <c r="I255" s="5">
        <f>SQRT(SUM('p-pi-multi'!$C$3:C255)/COUNTIF($A$3:A255,"&lt;&gt;0"))</f>
        <v>17.783502591640307</v>
      </c>
    </row>
    <row r="256" spans="1:9">
      <c r="A256">
        <v>254</v>
      </c>
      <c r="B256">
        <v>498</v>
      </c>
      <c r="C256">
        <v>510</v>
      </c>
      <c r="D256">
        <v>470</v>
      </c>
      <c r="E256" s="4">
        <f t="shared" si="16"/>
        <v>1</v>
      </c>
      <c r="F256" s="4">
        <f t="shared" si="17"/>
        <v>12</v>
      </c>
      <c r="G256" s="4">
        <f t="shared" si="15"/>
        <v>5.8063579619683559E-4</v>
      </c>
      <c r="H256" s="4">
        <f t="shared" si="18"/>
        <v>144</v>
      </c>
      <c r="I256" s="5">
        <f>SQRT(SUM('p-pi-multi'!$C$3:C256)/COUNTIF($A$3:A256,"&lt;&gt;0"))</f>
        <v>17.804936058056935</v>
      </c>
    </row>
    <row r="257" spans="1:9">
      <c r="A257">
        <v>255</v>
      </c>
      <c r="B257">
        <v>498</v>
      </c>
      <c r="C257">
        <v>517</v>
      </c>
      <c r="D257">
        <v>457</v>
      </c>
      <c r="E257" s="4">
        <f t="shared" si="16"/>
        <v>1</v>
      </c>
      <c r="F257" s="4">
        <f t="shared" si="17"/>
        <v>19</v>
      </c>
      <c r="G257" s="4">
        <f t="shared" si="15"/>
        <v>1.4556216835212338E-3</v>
      </c>
      <c r="H257" s="4">
        <f t="shared" si="18"/>
        <v>361</v>
      </c>
      <c r="I257" s="5">
        <f>SQRT(SUM('p-pi-multi'!$C$3:C257)/COUNTIF($A$3:A257,"&lt;&gt;0"))</f>
        <v>17.826945896591486</v>
      </c>
    </row>
    <row r="258" spans="1:9">
      <c r="A258">
        <v>256</v>
      </c>
      <c r="B258">
        <v>498</v>
      </c>
      <c r="C258">
        <v>473</v>
      </c>
      <c r="D258">
        <v>453</v>
      </c>
      <c r="E258" s="4">
        <f t="shared" si="16"/>
        <v>1</v>
      </c>
      <c r="F258" s="4">
        <f t="shared" si="17"/>
        <v>25</v>
      </c>
      <c r="G258" s="4">
        <f t="shared" si="15"/>
        <v>2.5201206432154321E-3</v>
      </c>
      <c r="H258" s="4">
        <f t="shared" si="18"/>
        <v>625</v>
      </c>
      <c r="I258" s="5">
        <f>SQRT(SUM('p-pi-multi'!$C$3:C258)/COUNTIF($A$3:A258,"&lt;&gt;0"))</f>
        <v>17.843941548884317</v>
      </c>
    </row>
    <row r="259" spans="1:9">
      <c r="A259">
        <v>257</v>
      </c>
      <c r="B259">
        <v>498</v>
      </c>
      <c r="C259">
        <v>485</v>
      </c>
      <c r="D259">
        <v>468</v>
      </c>
      <c r="E259" s="4">
        <f t="shared" si="16"/>
        <v>1</v>
      </c>
      <c r="F259" s="4">
        <f t="shared" si="17"/>
        <v>13</v>
      </c>
      <c r="G259" s="4">
        <f t="shared" si="15"/>
        <v>6.8144062192545271E-4</v>
      </c>
      <c r="H259" s="4">
        <f t="shared" si="18"/>
        <v>169</v>
      </c>
      <c r="I259" s="5">
        <f>SQRT(SUM('p-pi-multi'!$C$3:C259)/COUNTIF($A$3:A259,"&lt;&gt;0"))</f>
        <v>17.862096033449468</v>
      </c>
    </row>
    <row r="260" spans="1:9">
      <c r="A260">
        <v>258</v>
      </c>
      <c r="B260">
        <v>498</v>
      </c>
      <c r="C260">
        <v>525</v>
      </c>
      <c r="D260">
        <v>465</v>
      </c>
      <c r="E260" s="4">
        <f t="shared" si="16"/>
        <v>1</v>
      </c>
      <c r="F260" s="4">
        <f t="shared" si="17"/>
        <v>27</v>
      </c>
      <c r="G260" s="4">
        <f t="shared" ref="G260:G323" si="19">POWER(ABS(B260-C260)/B260,2)</f>
        <v>2.9394687182464799E-3</v>
      </c>
      <c r="H260" s="4">
        <f t="shared" si="18"/>
        <v>729</v>
      </c>
      <c r="I260" s="5">
        <f>SQRT(SUM('p-pi-multi'!$C$3:C260)/COUNTIF($A$3:A260,"&lt;&gt;0"))</f>
        <v>17.88442655435993</v>
      </c>
    </row>
    <row r="261" spans="1:9">
      <c r="A261">
        <v>259</v>
      </c>
      <c r="B261">
        <v>498</v>
      </c>
      <c r="C261">
        <v>491</v>
      </c>
      <c r="D261">
        <v>451</v>
      </c>
      <c r="E261" s="4">
        <f t="shared" si="16"/>
        <v>1</v>
      </c>
      <c r="F261" s="4">
        <f t="shared" si="17"/>
        <v>7</v>
      </c>
      <c r="G261" s="4">
        <f t="shared" si="19"/>
        <v>1.9757745842808986E-4</v>
      </c>
      <c r="H261" s="4">
        <f t="shared" si="18"/>
        <v>49</v>
      </c>
      <c r="I261" s="5">
        <f>SQRT(SUM('p-pi-multi'!$C$3:C261)/COUNTIF($A$3:A261,"&lt;&gt;0"))</f>
        <v>17.902891205431416</v>
      </c>
    </row>
    <row r="262" spans="1:9">
      <c r="A262">
        <v>260</v>
      </c>
      <c r="B262">
        <v>498</v>
      </c>
      <c r="C262">
        <v>502</v>
      </c>
      <c r="D262">
        <v>462</v>
      </c>
      <c r="E262" s="4">
        <f t="shared" si="16"/>
        <v>1</v>
      </c>
      <c r="F262" s="4">
        <f t="shared" si="17"/>
        <v>4</v>
      </c>
      <c r="G262" s="4">
        <f t="shared" si="19"/>
        <v>6.4515088466315045E-5</v>
      </c>
      <c r="H262" s="4">
        <f t="shared" si="18"/>
        <v>16</v>
      </c>
      <c r="I262" s="5">
        <f>SQRT(SUM('p-pi-multi'!$C$3:C262)/COUNTIF($A$3:A262,"&lt;&gt;0"))</f>
        <v>17.922375357678973</v>
      </c>
    </row>
    <row r="263" spans="1:9">
      <c r="A263">
        <v>261</v>
      </c>
      <c r="B263">
        <v>498</v>
      </c>
      <c r="C263">
        <v>539</v>
      </c>
      <c r="D263">
        <v>459</v>
      </c>
      <c r="E263" s="4">
        <f t="shared" si="16"/>
        <v>1</v>
      </c>
      <c r="F263" s="4">
        <f t="shared" si="17"/>
        <v>41</v>
      </c>
      <c r="G263" s="4">
        <f t="shared" si="19"/>
        <v>6.7781164819922255E-3</v>
      </c>
      <c r="H263" s="4">
        <f t="shared" si="18"/>
        <v>1681</v>
      </c>
      <c r="I263" s="5">
        <f>SQRT(SUM('p-pi-multi'!$C$3:C263)/COUNTIF($A$3:A263,"&lt;&gt;0"))</f>
        <v>17.945639498538196</v>
      </c>
    </row>
    <row r="264" spans="1:9">
      <c r="A264">
        <v>262</v>
      </c>
      <c r="B264">
        <v>498</v>
      </c>
      <c r="C264">
        <v>524</v>
      </c>
      <c r="D264">
        <v>444</v>
      </c>
      <c r="E264" s="4">
        <f t="shared" si="16"/>
        <v>1</v>
      </c>
      <c r="F264" s="4">
        <f t="shared" si="17"/>
        <v>26</v>
      </c>
      <c r="G264" s="4">
        <f t="shared" si="19"/>
        <v>2.7257624877018109E-3</v>
      </c>
      <c r="H264" s="4">
        <f t="shared" si="18"/>
        <v>676</v>
      </c>
      <c r="I264" s="5">
        <f>SQRT(SUM('p-pi-multi'!$C$3:C264)/COUNTIF($A$3:A264,"&lt;&gt;0"))</f>
        <v>17.967103102423881</v>
      </c>
    </row>
    <row r="265" spans="1:9">
      <c r="A265">
        <v>263</v>
      </c>
      <c r="B265">
        <v>498</v>
      </c>
      <c r="C265">
        <v>527</v>
      </c>
      <c r="D265">
        <v>447</v>
      </c>
      <c r="E265" s="4">
        <f t="shared" si="16"/>
        <v>1</v>
      </c>
      <c r="F265" s="4">
        <f t="shared" si="17"/>
        <v>29</v>
      </c>
      <c r="G265" s="4">
        <f t="shared" si="19"/>
        <v>3.3910743375106856E-3</v>
      </c>
      <c r="H265" s="4">
        <f t="shared" si="18"/>
        <v>841</v>
      </c>
      <c r="I265" s="5">
        <f>SQRT(SUM('p-pi-multi'!$C$3:C265)/COUNTIF($A$3:A265,"&lt;&gt;0"))</f>
        <v>17.988695224877652</v>
      </c>
    </row>
    <row r="266" spans="1:9">
      <c r="A266">
        <v>264</v>
      </c>
      <c r="B266">
        <v>498</v>
      </c>
      <c r="C266">
        <v>504</v>
      </c>
      <c r="D266">
        <v>444</v>
      </c>
      <c r="E266" s="4">
        <f t="shared" si="16"/>
        <v>1</v>
      </c>
      <c r="F266" s="4">
        <f t="shared" si="17"/>
        <v>6</v>
      </c>
      <c r="G266" s="4">
        <f t="shared" si="19"/>
        <v>1.451589490492089E-4</v>
      </c>
      <c r="H266" s="4">
        <f t="shared" si="18"/>
        <v>36</v>
      </c>
      <c r="I266" s="5">
        <f>SQRT(SUM('p-pi-multi'!$C$3:C266)/COUNTIF($A$3:A266,"&lt;&gt;0"))</f>
        <v>18.007679338313284</v>
      </c>
    </row>
    <row r="267" spans="1:9">
      <c r="A267">
        <v>265</v>
      </c>
      <c r="B267">
        <v>498</v>
      </c>
      <c r="C267">
        <v>490</v>
      </c>
      <c r="D267">
        <v>450</v>
      </c>
      <c r="E267" s="4">
        <f t="shared" si="16"/>
        <v>1</v>
      </c>
      <c r="F267" s="4">
        <f t="shared" si="17"/>
        <v>8</v>
      </c>
      <c r="G267" s="4">
        <f t="shared" si="19"/>
        <v>2.5806035386526018E-4</v>
      </c>
      <c r="H267" s="4">
        <f t="shared" si="18"/>
        <v>64</v>
      </c>
      <c r="I267" s="5">
        <f>SQRT(SUM('p-pi-multi'!$C$3:C267)/COUNTIF($A$3:A267,"&lt;&gt;0"))</f>
        <v>18.025035001143628</v>
      </c>
    </row>
    <row r="268" spans="1:9">
      <c r="A268">
        <v>266</v>
      </c>
      <c r="B268">
        <v>498</v>
      </c>
      <c r="C268">
        <v>515</v>
      </c>
      <c r="D268">
        <v>455</v>
      </c>
      <c r="E268" s="4">
        <f t="shared" si="16"/>
        <v>1</v>
      </c>
      <c r="F268" s="4">
        <f t="shared" si="17"/>
        <v>17</v>
      </c>
      <c r="G268" s="4">
        <f t="shared" si="19"/>
        <v>1.1653037854228159E-3</v>
      </c>
      <c r="H268" s="4">
        <f t="shared" si="18"/>
        <v>289</v>
      </c>
      <c r="I268" s="5">
        <f>SQRT(SUM('p-pi-multi'!$C$3:C268)/COUNTIF($A$3:A268,"&lt;&gt;0"))</f>
        <v>18.04484805570231</v>
      </c>
    </row>
    <row r="269" spans="1:9">
      <c r="A269">
        <v>267</v>
      </c>
      <c r="B269">
        <v>498</v>
      </c>
      <c r="C269">
        <v>486</v>
      </c>
      <c r="D269">
        <v>446</v>
      </c>
      <c r="E269" s="4">
        <f t="shared" si="16"/>
        <v>1</v>
      </c>
      <c r="F269" s="4">
        <f t="shared" si="17"/>
        <v>12</v>
      </c>
      <c r="G269" s="4">
        <f t="shared" si="19"/>
        <v>5.8063579619683559E-4</v>
      </c>
      <c r="H269" s="4">
        <f t="shared" si="18"/>
        <v>144</v>
      </c>
      <c r="I269" s="5">
        <f>SQRT(SUM('p-pi-multi'!$C$3:C269)/COUNTIF($A$3:A269,"&lt;&gt;0"))</f>
        <v>18.061484669440091</v>
      </c>
    </row>
    <row r="270" spans="1:9">
      <c r="A270">
        <v>268</v>
      </c>
      <c r="B270">
        <v>498</v>
      </c>
      <c r="C270">
        <v>514</v>
      </c>
      <c r="D270">
        <v>456</v>
      </c>
      <c r="E270" s="4">
        <f t="shared" si="16"/>
        <v>1</v>
      </c>
      <c r="F270" s="4">
        <f t="shared" si="17"/>
        <v>16</v>
      </c>
      <c r="G270" s="4">
        <f t="shared" si="19"/>
        <v>1.0322414154610407E-3</v>
      </c>
      <c r="H270" s="4">
        <f t="shared" si="18"/>
        <v>256</v>
      </c>
      <c r="I270" s="5">
        <f>SQRT(SUM('p-pi-multi'!$C$3:C270)/COUNTIF($A$3:A270,"&lt;&gt;0"))</f>
        <v>18.080871396250824</v>
      </c>
    </row>
    <row r="271" spans="1:9">
      <c r="A271">
        <v>269</v>
      </c>
      <c r="B271">
        <v>498</v>
      </c>
      <c r="C271">
        <v>506</v>
      </c>
      <c r="D271">
        <v>446</v>
      </c>
      <c r="E271" s="4">
        <f t="shared" si="16"/>
        <v>1</v>
      </c>
      <c r="F271" s="4">
        <f t="shared" si="17"/>
        <v>8</v>
      </c>
      <c r="G271" s="4">
        <f t="shared" si="19"/>
        <v>2.5806035386526018E-4</v>
      </c>
      <c r="H271" s="4">
        <f t="shared" si="18"/>
        <v>64</v>
      </c>
      <c r="I271" s="5">
        <f>SQRT(SUM('p-pi-multi'!$C$3:C271)/COUNTIF($A$3:A271,"&lt;&gt;0"))</f>
        <v>18.099271894821531</v>
      </c>
    </row>
    <row r="272" spans="1:9">
      <c r="A272">
        <v>270</v>
      </c>
      <c r="B272">
        <v>498</v>
      </c>
      <c r="C272">
        <v>528</v>
      </c>
      <c r="D272">
        <v>448</v>
      </c>
      <c r="E272" s="4">
        <f t="shared" si="16"/>
        <v>1</v>
      </c>
      <c r="F272" s="4">
        <f t="shared" si="17"/>
        <v>30</v>
      </c>
      <c r="G272" s="4">
        <f t="shared" si="19"/>
        <v>3.628973726230222E-3</v>
      </c>
      <c r="H272" s="4">
        <f t="shared" si="18"/>
        <v>900</v>
      </c>
      <c r="I272" s="5">
        <f>SQRT(SUM('p-pi-multi'!$C$3:C272)/COUNTIF($A$3:A272,"&lt;&gt;0"))</f>
        <v>18.119766166425158</v>
      </c>
    </row>
    <row r="273" spans="1:9">
      <c r="A273">
        <v>271</v>
      </c>
      <c r="B273">
        <v>498</v>
      </c>
      <c r="C273">
        <v>459</v>
      </c>
      <c r="D273">
        <v>439</v>
      </c>
      <c r="E273" s="4">
        <f t="shared" si="16"/>
        <v>1</v>
      </c>
      <c r="F273" s="4">
        <f t="shared" si="17"/>
        <v>39</v>
      </c>
      <c r="G273" s="4">
        <f t="shared" si="19"/>
        <v>6.1329655973290757E-3</v>
      </c>
      <c r="H273" s="4">
        <f t="shared" si="18"/>
        <v>1521</v>
      </c>
      <c r="I273" s="5">
        <f>SQRT(SUM('p-pi-multi'!$C$3:C273)/COUNTIF($A$3:A273,"&lt;&gt;0"))</f>
        <v>18.13306697944892</v>
      </c>
    </row>
    <row r="274" spans="1:9">
      <c r="A274">
        <v>272</v>
      </c>
      <c r="B274">
        <v>498</v>
      </c>
      <c r="C274">
        <v>458</v>
      </c>
      <c r="D274">
        <v>463</v>
      </c>
      <c r="E274" s="4">
        <f t="shared" si="16"/>
        <v>1</v>
      </c>
      <c r="F274" s="4">
        <f t="shared" si="17"/>
        <v>40</v>
      </c>
      <c r="G274" s="4">
        <f t="shared" si="19"/>
        <v>6.4515088466315061E-3</v>
      </c>
      <c r="H274" s="4">
        <f t="shared" si="18"/>
        <v>1600</v>
      </c>
      <c r="I274" s="5">
        <f>SQRT(SUM('p-pi-multi'!$C$3:C274)/COUNTIF($A$3:A274,"&lt;&gt;0"))</f>
        <v>18.146159049101662</v>
      </c>
    </row>
    <row r="275" spans="1:9">
      <c r="A275">
        <v>273</v>
      </c>
      <c r="B275">
        <v>498</v>
      </c>
      <c r="C275">
        <v>465</v>
      </c>
      <c r="D275">
        <v>466</v>
      </c>
      <c r="E275" s="4">
        <f t="shared" si="16"/>
        <v>1</v>
      </c>
      <c r="F275" s="4">
        <f t="shared" si="17"/>
        <v>33</v>
      </c>
      <c r="G275" s="4">
        <f t="shared" si="19"/>
        <v>4.3910582087385696E-3</v>
      </c>
      <c r="H275" s="4">
        <f t="shared" si="18"/>
        <v>1089</v>
      </c>
      <c r="I275" s="5">
        <f>SQRT(SUM('p-pi-multi'!$C$3:C275)/COUNTIF($A$3:A275,"&lt;&gt;0"))</f>
        <v>18.1598518655913</v>
      </c>
    </row>
    <row r="276" spans="1:9">
      <c r="A276">
        <v>274</v>
      </c>
      <c r="B276">
        <v>498</v>
      </c>
      <c r="C276">
        <v>506</v>
      </c>
      <c r="D276">
        <v>466</v>
      </c>
      <c r="E276" s="4">
        <f t="shared" si="16"/>
        <v>1</v>
      </c>
      <c r="F276" s="4">
        <f t="shared" si="17"/>
        <v>8</v>
      </c>
      <c r="G276" s="4">
        <f t="shared" si="19"/>
        <v>2.5806035386526018E-4</v>
      </c>
      <c r="H276" s="4">
        <f t="shared" si="18"/>
        <v>64</v>
      </c>
      <c r="I276" s="5">
        <f>SQRT(SUM('p-pi-multi'!$C$3:C276)/COUNTIF($A$3:A276,"&lt;&gt;0"))</f>
        <v>18.177550925915007</v>
      </c>
    </row>
    <row r="277" spans="1:9">
      <c r="A277">
        <v>275</v>
      </c>
      <c r="B277">
        <v>498</v>
      </c>
      <c r="C277">
        <v>534</v>
      </c>
      <c r="D277">
        <v>454</v>
      </c>
      <c r="E277" s="4">
        <f t="shared" si="16"/>
        <v>1</v>
      </c>
      <c r="F277" s="4">
        <f t="shared" si="17"/>
        <v>36</v>
      </c>
      <c r="G277" s="4">
        <f t="shared" si="19"/>
        <v>5.2257221657715193E-3</v>
      </c>
      <c r="H277" s="4">
        <f t="shared" si="18"/>
        <v>1296</v>
      </c>
      <c r="I277" s="5">
        <f>SQRT(SUM('p-pi-multi'!$C$3:C277)/COUNTIF($A$3:A277,"&lt;&gt;0"))</f>
        <v>18.197901976976258</v>
      </c>
    </row>
    <row r="278" spans="1:9">
      <c r="A278">
        <v>276</v>
      </c>
      <c r="B278">
        <v>498</v>
      </c>
      <c r="C278">
        <v>485</v>
      </c>
      <c r="D278">
        <v>443</v>
      </c>
      <c r="E278" s="4">
        <f t="shared" si="16"/>
        <v>1</v>
      </c>
      <c r="F278" s="4">
        <f t="shared" si="17"/>
        <v>13</v>
      </c>
      <c r="G278" s="4">
        <f t="shared" si="19"/>
        <v>6.8144062192545271E-4</v>
      </c>
      <c r="H278" s="4">
        <f t="shared" si="18"/>
        <v>169</v>
      </c>
      <c r="I278" s="5">
        <f>SQRT(SUM('p-pi-multi'!$C$3:C278)/COUNTIF($A$3:A278,"&lt;&gt;0"))</f>
        <v>18.213209889878105</v>
      </c>
    </row>
    <row r="279" spans="1:9">
      <c r="A279">
        <v>277</v>
      </c>
      <c r="B279">
        <v>498</v>
      </c>
      <c r="C279">
        <v>518</v>
      </c>
      <c r="D279">
        <v>458</v>
      </c>
      <c r="E279" s="4">
        <f t="shared" si="16"/>
        <v>1</v>
      </c>
      <c r="F279" s="4">
        <f t="shared" si="17"/>
        <v>20</v>
      </c>
      <c r="G279" s="4">
        <f t="shared" si="19"/>
        <v>1.6128772116578765E-3</v>
      </c>
      <c r="H279" s="4">
        <f t="shared" si="18"/>
        <v>400</v>
      </c>
      <c r="I279" s="5">
        <f>SQRT(SUM('p-pi-multi'!$C$3:C279)/COUNTIF($A$3:A279,"&lt;&gt;0"))</f>
        <v>18.231662069187607</v>
      </c>
    </row>
    <row r="280" spans="1:9">
      <c r="A280">
        <v>278</v>
      </c>
      <c r="B280">
        <v>498</v>
      </c>
      <c r="C280">
        <v>538</v>
      </c>
      <c r="D280">
        <v>447</v>
      </c>
      <c r="E280" s="4">
        <f t="shared" si="16"/>
        <v>1</v>
      </c>
      <c r="F280" s="4">
        <f t="shared" si="17"/>
        <v>40</v>
      </c>
      <c r="G280" s="4">
        <f t="shared" si="19"/>
        <v>6.4515088466315061E-3</v>
      </c>
      <c r="H280" s="4">
        <f t="shared" si="18"/>
        <v>1600</v>
      </c>
      <c r="I280" s="5">
        <f>SQRT(SUM('p-pi-multi'!$C$3:C280)/COUNTIF($A$3:A280,"&lt;&gt;0"))</f>
        <v>18.251933966711029</v>
      </c>
    </row>
    <row r="281" spans="1:9">
      <c r="A281">
        <v>279</v>
      </c>
      <c r="B281">
        <v>498</v>
      </c>
      <c r="C281">
        <v>459</v>
      </c>
      <c r="D281">
        <v>438</v>
      </c>
      <c r="E281" s="4">
        <f t="shared" ref="E281:E344" si="20">IF(AND(C281&lt;=B281*1.2,C281&gt;=B281*0.8),1,0)</f>
        <v>1</v>
      </c>
      <c r="F281" s="4">
        <f t="shared" ref="F281:F344" si="21">ABS(B281-C281)</f>
        <v>39</v>
      </c>
      <c r="G281" s="4">
        <f t="shared" si="19"/>
        <v>6.1329655973290757E-3</v>
      </c>
      <c r="H281" s="4">
        <f t="shared" ref="H281:H344" si="22">POWER(F281,2)</f>
        <v>1521</v>
      </c>
      <c r="I281" s="5">
        <f>SQRT(SUM('p-pi-multi'!$C$3:C281)/COUNTIF($A$3:A281,"&lt;&gt;0"))</f>
        <v>18.264288362558258</v>
      </c>
    </row>
    <row r="282" spans="1:9">
      <c r="A282">
        <v>280</v>
      </c>
      <c r="B282">
        <v>498</v>
      </c>
      <c r="C282">
        <v>458</v>
      </c>
      <c r="D282">
        <v>464</v>
      </c>
      <c r="E282" s="4">
        <f t="shared" si="20"/>
        <v>1</v>
      </c>
      <c r="F282" s="4">
        <f t="shared" si="21"/>
        <v>40</v>
      </c>
      <c r="G282" s="4">
        <f t="shared" si="19"/>
        <v>6.4515088466315061E-3</v>
      </c>
      <c r="H282" s="4">
        <f t="shared" si="22"/>
        <v>1600</v>
      </c>
      <c r="I282" s="5">
        <f>SQRT(SUM('p-pi-multi'!$C$3:C282)/COUNTIF($A$3:A282,"&lt;&gt;0"))</f>
        <v>18.276448545288318</v>
      </c>
    </row>
    <row r="283" spans="1:9">
      <c r="A283">
        <v>281</v>
      </c>
      <c r="B283">
        <v>498</v>
      </c>
      <c r="C283">
        <v>547</v>
      </c>
      <c r="D283">
        <v>467</v>
      </c>
      <c r="E283" s="4">
        <f t="shared" si="20"/>
        <v>1</v>
      </c>
      <c r="F283" s="4">
        <f t="shared" si="21"/>
        <v>49</v>
      </c>
      <c r="G283" s="4">
        <f t="shared" si="19"/>
        <v>9.6812954629764032E-3</v>
      </c>
      <c r="H283" s="4">
        <f t="shared" si="22"/>
        <v>2401</v>
      </c>
      <c r="I283" s="5">
        <f>SQRT(SUM('p-pi-multi'!$C$3:C283)/COUNTIF($A$3:A283,"&lt;&gt;0"))</f>
        <v>18.297171280510202</v>
      </c>
    </row>
    <row r="284" spans="1:9">
      <c r="A284">
        <v>282</v>
      </c>
      <c r="B284">
        <v>498</v>
      </c>
      <c r="C284">
        <v>517</v>
      </c>
      <c r="D284">
        <v>437</v>
      </c>
      <c r="E284" s="4">
        <f t="shared" si="20"/>
        <v>1</v>
      </c>
      <c r="F284" s="4">
        <f t="shared" si="21"/>
        <v>19</v>
      </c>
      <c r="G284" s="4">
        <f t="shared" si="19"/>
        <v>1.4556216835212338E-3</v>
      </c>
      <c r="H284" s="4">
        <f t="shared" si="22"/>
        <v>361</v>
      </c>
      <c r="I284" s="5">
        <f>SQRT(SUM('p-pi-multi'!$C$3:C284)/COUNTIF($A$3:A284,"&lt;&gt;0"))</f>
        <v>18.314819794731129</v>
      </c>
    </row>
    <row r="285" spans="1:9">
      <c r="A285">
        <v>283</v>
      </c>
      <c r="B285">
        <v>498</v>
      </c>
      <c r="C285">
        <v>465</v>
      </c>
      <c r="D285">
        <v>445</v>
      </c>
      <c r="E285" s="4">
        <f t="shared" si="20"/>
        <v>1</v>
      </c>
      <c r="F285" s="4">
        <f t="shared" si="21"/>
        <v>33</v>
      </c>
      <c r="G285" s="4">
        <f t="shared" si="19"/>
        <v>4.3910582087385696E-3</v>
      </c>
      <c r="H285" s="4">
        <f t="shared" si="22"/>
        <v>1089</v>
      </c>
      <c r="I285" s="5">
        <f>SQRT(SUM('p-pi-multi'!$C$3:C285)/COUNTIF($A$3:A285,"&lt;&gt;0"))</f>
        <v>18.327314570442599</v>
      </c>
    </row>
    <row r="286" spans="1:9">
      <c r="A286">
        <v>284</v>
      </c>
      <c r="B286">
        <v>498</v>
      </c>
      <c r="C286">
        <v>499</v>
      </c>
      <c r="D286">
        <v>463</v>
      </c>
      <c r="E286" s="4">
        <f t="shared" si="20"/>
        <v>1</v>
      </c>
      <c r="F286" s="4">
        <f t="shared" si="21"/>
        <v>1</v>
      </c>
      <c r="G286" s="4">
        <f t="shared" si="19"/>
        <v>4.0321930291446903E-6</v>
      </c>
      <c r="H286" s="4">
        <f t="shared" si="22"/>
        <v>1</v>
      </c>
      <c r="I286" s="5">
        <f>SQRT(SUM('p-pi-multi'!$C$3:C286)/COUNTIF($A$3:A286,"&lt;&gt;0"))</f>
        <v>18.342976550505494</v>
      </c>
    </row>
    <row r="287" spans="1:9">
      <c r="A287">
        <v>285</v>
      </c>
      <c r="B287">
        <v>498</v>
      </c>
      <c r="C287">
        <v>512</v>
      </c>
      <c r="D287">
        <v>452</v>
      </c>
      <c r="E287" s="4">
        <f t="shared" si="20"/>
        <v>1</v>
      </c>
      <c r="F287" s="4">
        <f t="shared" si="21"/>
        <v>14</v>
      </c>
      <c r="G287" s="4">
        <f t="shared" si="19"/>
        <v>7.9030983371235946E-4</v>
      </c>
      <c r="H287" s="4">
        <f t="shared" si="22"/>
        <v>196</v>
      </c>
      <c r="I287" s="5">
        <f>SQRT(SUM('p-pi-multi'!$C$3:C287)/COUNTIF($A$3:A287,"&lt;&gt;0"))</f>
        <v>18.359757671450513</v>
      </c>
    </row>
    <row r="288" spans="1:9">
      <c r="A288">
        <v>286</v>
      </c>
      <c r="B288">
        <v>498</v>
      </c>
      <c r="C288">
        <v>468</v>
      </c>
      <c r="D288">
        <v>448</v>
      </c>
      <c r="E288" s="4">
        <f t="shared" si="20"/>
        <v>1</v>
      </c>
      <c r="F288" s="4">
        <f t="shared" si="21"/>
        <v>30</v>
      </c>
      <c r="G288" s="4">
        <f t="shared" si="19"/>
        <v>3.628973726230222E-3</v>
      </c>
      <c r="H288" s="4">
        <f t="shared" si="22"/>
        <v>900</v>
      </c>
      <c r="I288" s="5">
        <f>SQRT(SUM('p-pi-multi'!$C$3:C288)/COUNTIF($A$3:A288,"&lt;&gt;0"))</f>
        <v>18.372219831540814</v>
      </c>
    </row>
    <row r="289" spans="1:9">
      <c r="A289">
        <v>287</v>
      </c>
      <c r="B289">
        <v>498</v>
      </c>
      <c r="C289">
        <v>543</v>
      </c>
      <c r="D289">
        <v>463</v>
      </c>
      <c r="E289" s="4">
        <f t="shared" si="20"/>
        <v>1</v>
      </c>
      <c r="F289" s="4">
        <f t="shared" si="21"/>
        <v>45</v>
      </c>
      <c r="G289" s="4">
        <f t="shared" si="19"/>
        <v>8.1651908840180004E-3</v>
      </c>
      <c r="H289" s="4">
        <f t="shared" si="22"/>
        <v>2025</v>
      </c>
      <c r="I289" s="5">
        <f>SQRT(SUM('p-pi-multi'!$C$3:C289)/COUNTIF($A$3:A289,"&lt;&gt;0"))</f>
        <v>18.391692564870066</v>
      </c>
    </row>
    <row r="290" spans="1:9">
      <c r="A290">
        <v>288</v>
      </c>
      <c r="B290">
        <v>498</v>
      </c>
      <c r="C290">
        <v>517</v>
      </c>
      <c r="D290">
        <v>437</v>
      </c>
      <c r="E290" s="4">
        <f t="shared" si="20"/>
        <v>1</v>
      </c>
      <c r="F290" s="4">
        <f t="shared" si="21"/>
        <v>19</v>
      </c>
      <c r="G290" s="4">
        <f t="shared" si="19"/>
        <v>1.4556216835212338E-3</v>
      </c>
      <c r="H290" s="4">
        <f t="shared" si="22"/>
        <v>361</v>
      </c>
      <c r="I290" s="5">
        <f>SQRT(SUM('p-pi-multi'!$C$3:C290)/COUNTIF($A$3:A290,"&lt;&gt;0"))</f>
        <v>18.408557792505093</v>
      </c>
    </row>
    <row r="291" spans="1:9">
      <c r="A291">
        <v>289</v>
      </c>
      <c r="B291">
        <v>498</v>
      </c>
      <c r="C291">
        <v>463</v>
      </c>
      <c r="D291">
        <v>443</v>
      </c>
      <c r="E291" s="4">
        <f t="shared" si="20"/>
        <v>1</v>
      </c>
      <c r="F291" s="4">
        <f t="shared" si="21"/>
        <v>35</v>
      </c>
      <c r="G291" s="4">
        <f t="shared" si="19"/>
        <v>4.9394364607022465E-3</v>
      </c>
      <c r="H291" s="4">
        <f t="shared" si="22"/>
        <v>1225</v>
      </c>
      <c r="I291" s="5">
        <f>SQRT(SUM('p-pi-multi'!$C$3:C291)/COUNTIF($A$3:A291,"&lt;&gt;0"))</f>
        <v>18.420219821432539</v>
      </c>
    </row>
    <row r="292" spans="1:9">
      <c r="A292">
        <v>290</v>
      </c>
      <c r="B292">
        <v>498</v>
      </c>
      <c r="C292">
        <v>458</v>
      </c>
      <c r="D292">
        <v>462</v>
      </c>
      <c r="E292" s="4">
        <f t="shared" si="20"/>
        <v>1</v>
      </c>
      <c r="F292" s="4">
        <f t="shared" si="21"/>
        <v>40</v>
      </c>
      <c r="G292" s="4">
        <f t="shared" si="19"/>
        <v>6.4515088466315061E-3</v>
      </c>
      <c r="H292" s="4">
        <f t="shared" si="22"/>
        <v>1600</v>
      </c>
      <c r="I292" s="5">
        <f>SQRT(SUM('p-pi-multi'!$C$3:C292)/COUNTIF($A$3:A292,"&lt;&gt;0"))</f>
        <v>18.431326406513673</v>
      </c>
    </row>
    <row r="293" spans="1:9">
      <c r="A293">
        <v>291</v>
      </c>
      <c r="B293">
        <v>498</v>
      </c>
      <c r="C293">
        <v>486</v>
      </c>
      <c r="D293">
        <v>467</v>
      </c>
      <c r="E293" s="4">
        <f t="shared" si="20"/>
        <v>1</v>
      </c>
      <c r="F293" s="4">
        <f t="shared" si="21"/>
        <v>12</v>
      </c>
      <c r="G293" s="4">
        <f t="shared" si="19"/>
        <v>5.8063579619683559E-4</v>
      </c>
      <c r="H293" s="4">
        <f t="shared" si="22"/>
        <v>144</v>
      </c>
      <c r="I293" s="5">
        <f>SQRT(SUM('p-pi-multi'!$C$3:C293)/COUNTIF($A$3:A293,"&lt;&gt;0"))</f>
        <v>18.444958521107086</v>
      </c>
    </row>
    <row r="294" spans="1:9">
      <c r="A294">
        <v>292</v>
      </c>
      <c r="B294">
        <v>498</v>
      </c>
      <c r="C294">
        <v>460</v>
      </c>
      <c r="D294">
        <v>459</v>
      </c>
      <c r="E294" s="4">
        <f t="shared" si="20"/>
        <v>1</v>
      </c>
      <c r="F294" s="4">
        <f t="shared" si="21"/>
        <v>38</v>
      </c>
      <c r="G294" s="4">
        <f t="shared" si="19"/>
        <v>5.8224867340849352E-3</v>
      </c>
      <c r="H294" s="4">
        <f t="shared" si="22"/>
        <v>1444</v>
      </c>
      <c r="I294" s="5">
        <f>SQRT(SUM('p-pi-multi'!$C$3:C294)/COUNTIF($A$3:A294,"&lt;&gt;0"))</f>
        <v>18.456075214648621</v>
      </c>
    </row>
    <row r="295" spans="1:9">
      <c r="A295">
        <v>293</v>
      </c>
      <c r="B295">
        <v>498</v>
      </c>
      <c r="C295">
        <v>527</v>
      </c>
      <c r="D295">
        <v>470</v>
      </c>
      <c r="E295" s="4">
        <f t="shared" si="20"/>
        <v>1</v>
      </c>
      <c r="F295" s="4">
        <f t="shared" si="21"/>
        <v>29</v>
      </c>
      <c r="G295" s="4">
        <f t="shared" si="19"/>
        <v>3.3910743375106856E-3</v>
      </c>
      <c r="H295" s="4">
        <f t="shared" si="22"/>
        <v>841</v>
      </c>
      <c r="I295" s="5">
        <f>SQRT(SUM('p-pi-multi'!$C$3:C295)/COUNTIF($A$3:A295,"&lt;&gt;0"))</f>
        <v>18.473299614167804</v>
      </c>
    </row>
    <row r="296" spans="1:9">
      <c r="A296">
        <v>294</v>
      </c>
      <c r="B296">
        <v>498</v>
      </c>
      <c r="C296">
        <v>467</v>
      </c>
      <c r="D296">
        <v>447</v>
      </c>
      <c r="E296" s="4">
        <f t="shared" si="20"/>
        <v>1</v>
      </c>
      <c r="F296" s="4">
        <f t="shared" si="21"/>
        <v>31</v>
      </c>
      <c r="G296" s="4">
        <f t="shared" si="19"/>
        <v>3.8749375010080477E-3</v>
      </c>
      <c r="H296" s="4">
        <f t="shared" si="22"/>
        <v>961</v>
      </c>
      <c r="I296" s="5">
        <f>SQRT(SUM('p-pi-multi'!$C$3:C296)/COUNTIF($A$3:A296,"&lt;&gt;0"))</f>
        <v>18.484871549201422</v>
      </c>
    </row>
    <row r="297" spans="1:9">
      <c r="A297">
        <v>295</v>
      </c>
      <c r="B297">
        <v>498</v>
      </c>
      <c r="C297">
        <v>528</v>
      </c>
      <c r="D297">
        <v>468</v>
      </c>
      <c r="E297" s="4">
        <f t="shared" si="20"/>
        <v>1</v>
      </c>
      <c r="F297" s="4">
        <f t="shared" si="21"/>
        <v>30</v>
      </c>
      <c r="G297" s="4">
        <f t="shared" si="19"/>
        <v>3.628973726230222E-3</v>
      </c>
      <c r="H297" s="4">
        <f t="shared" si="22"/>
        <v>900</v>
      </c>
      <c r="I297" s="5">
        <f>SQRT(SUM('p-pi-multi'!$C$3:C297)/COUNTIF($A$3:A297,"&lt;&gt;0"))</f>
        <v>18.501946759687346</v>
      </c>
    </row>
    <row r="298" spans="1:9">
      <c r="A298">
        <v>296</v>
      </c>
      <c r="B298">
        <v>498</v>
      </c>
      <c r="C298">
        <v>467</v>
      </c>
      <c r="D298">
        <v>447</v>
      </c>
      <c r="E298" s="4">
        <f t="shared" si="20"/>
        <v>1</v>
      </c>
      <c r="F298" s="4">
        <f t="shared" si="21"/>
        <v>31</v>
      </c>
      <c r="G298" s="4">
        <f t="shared" si="19"/>
        <v>3.8749375010080477E-3</v>
      </c>
      <c r="H298" s="4">
        <f t="shared" si="22"/>
        <v>961</v>
      </c>
      <c r="I298" s="5">
        <f>SQRT(SUM('p-pi-multi'!$C$3:C298)/COUNTIF($A$3:A298,"&lt;&gt;0"))</f>
        <v>18.51332609887384</v>
      </c>
    </row>
    <row r="299" spans="1:9">
      <c r="A299">
        <v>297</v>
      </c>
      <c r="B299">
        <v>498</v>
      </c>
      <c r="C299">
        <v>483</v>
      </c>
      <c r="D299">
        <v>468</v>
      </c>
      <c r="E299" s="4">
        <f t="shared" si="20"/>
        <v>1</v>
      </c>
      <c r="F299" s="4">
        <f t="shared" si="21"/>
        <v>15</v>
      </c>
      <c r="G299" s="4">
        <f t="shared" si="19"/>
        <v>9.0724343155755549E-4</v>
      </c>
      <c r="H299" s="4">
        <f t="shared" si="22"/>
        <v>225</v>
      </c>
      <c r="I299" s="5">
        <f>SQRT(SUM('p-pi-multi'!$C$3:C299)/COUNTIF($A$3:A299,"&lt;&gt;0"))</f>
        <v>18.526075898999448</v>
      </c>
    </row>
    <row r="300" spans="1:9">
      <c r="A300">
        <v>298</v>
      </c>
      <c r="B300">
        <v>498</v>
      </c>
      <c r="C300">
        <v>544</v>
      </c>
      <c r="D300">
        <v>464</v>
      </c>
      <c r="E300" s="4">
        <f t="shared" si="20"/>
        <v>1</v>
      </c>
      <c r="F300" s="4">
        <f t="shared" si="21"/>
        <v>46</v>
      </c>
      <c r="G300" s="4">
        <f t="shared" si="19"/>
        <v>8.5321204496701664E-3</v>
      </c>
      <c r="H300" s="4">
        <f t="shared" si="22"/>
        <v>2116</v>
      </c>
      <c r="I300" s="5">
        <f>SQRT(SUM('p-pi-multi'!$C$3:C300)/COUNTIF($A$3:A300,"&lt;&gt;0"))</f>
        <v>18.544251447415355</v>
      </c>
    </row>
    <row r="301" spans="1:9">
      <c r="A301">
        <v>299</v>
      </c>
      <c r="B301">
        <v>498</v>
      </c>
      <c r="C301">
        <v>506</v>
      </c>
      <c r="D301">
        <v>442</v>
      </c>
      <c r="E301" s="4">
        <f t="shared" si="20"/>
        <v>1</v>
      </c>
      <c r="F301" s="4">
        <f t="shared" si="21"/>
        <v>8</v>
      </c>
      <c r="G301" s="4">
        <f t="shared" si="19"/>
        <v>2.5806035386526018E-4</v>
      </c>
      <c r="H301" s="4">
        <f t="shared" si="22"/>
        <v>64</v>
      </c>
      <c r="I301" s="5">
        <f>SQRT(SUM('p-pi-multi'!$C$3:C301)/COUNTIF($A$3:A301,"&lt;&gt;0"))</f>
        <v>18.558864138925376</v>
      </c>
    </row>
    <row r="302" spans="1:9">
      <c r="A302">
        <v>300</v>
      </c>
      <c r="B302">
        <v>498</v>
      </c>
      <c r="C302">
        <v>473</v>
      </c>
      <c r="D302">
        <v>453</v>
      </c>
      <c r="E302" s="4">
        <f t="shared" si="20"/>
        <v>1</v>
      </c>
      <c r="F302" s="4">
        <f t="shared" si="21"/>
        <v>25</v>
      </c>
      <c r="G302" s="4">
        <f t="shared" si="19"/>
        <v>2.5201206432154321E-3</v>
      </c>
      <c r="H302" s="4">
        <f t="shared" si="22"/>
        <v>625</v>
      </c>
      <c r="I302" s="5">
        <f>SQRT(SUM('p-pi-multi'!$C$3:C302)/COUNTIF($A$3:A302,"&lt;&gt;0"))</f>
        <v>18.570406565285534</v>
      </c>
    </row>
    <row r="303" spans="1:9">
      <c r="A303">
        <v>301</v>
      </c>
      <c r="B303">
        <v>100</v>
      </c>
      <c r="C303">
        <v>545</v>
      </c>
      <c r="D303">
        <v>465</v>
      </c>
      <c r="E303" s="4">
        <f t="shared" si="20"/>
        <v>0</v>
      </c>
      <c r="F303" s="4">
        <f t="shared" si="21"/>
        <v>445</v>
      </c>
      <c r="G303" s="4">
        <f t="shared" si="19"/>
        <v>19.802500000000002</v>
      </c>
      <c r="H303" s="4">
        <f t="shared" si="22"/>
        <v>198025</v>
      </c>
      <c r="I303" s="5">
        <f>SQRT(SUM('p-pi-multi'!$C$3:C303)/COUNTIF($A$3:A303,"&lt;&gt;0"))</f>
        <v>18.588300539412462</v>
      </c>
    </row>
    <row r="304" spans="1:9">
      <c r="A304">
        <v>302</v>
      </c>
      <c r="B304">
        <v>100</v>
      </c>
      <c r="C304">
        <v>311</v>
      </c>
      <c r="D304">
        <v>291</v>
      </c>
      <c r="E304" s="4">
        <f t="shared" si="20"/>
        <v>0</v>
      </c>
      <c r="F304" s="4">
        <f t="shared" si="21"/>
        <v>211</v>
      </c>
      <c r="G304" s="4">
        <f t="shared" si="19"/>
        <v>4.4520999999999997</v>
      </c>
      <c r="H304" s="4">
        <f t="shared" si="22"/>
        <v>44521</v>
      </c>
      <c r="I304" s="5">
        <f>SQRT(SUM('p-pi-multi'!$C$3:C304)/COUNTIF($A$3:A304,"&lt;&gt;0"))</f>
        <v>18.58522520784965</v>
      </c>
    </row>
    <row r="305" spans="1:9">
      <c r="A305">
        <v>303</v>
      </c>
      <c r="B305">
        <v>100</v>
      </c>
      <c r="C305">
        <v>394</v>
      </c>
      <c r="D305">
        <v>345</v>
      </c>
      <c r="E305" s="4">
        <f t="shared" si="20"/>
        <v>0</v>
      </c>
      <c r="F305" s="4">
        <f t="shared" si="21"/>
        <v>294</v>
      </c>
      <c r="G305" s="4">
        <f t="shared" si="19"/>
        <v>8.6435999999999993</v>
      </c>
      <c r="H305" s="4">
        <f t="shared" si="22"/>
        <v>86436</v>
      </c>
      <c r="I305" s="5">
        <f>SQRT(SUM('p-pi-multi'!$C$3:C305)/COUNTIF($A$3:A305,"&lt;&gt;0"))</f>
        <v>18.58953891562966</v>
      </c>
    </row>
    <row r="306" spans="1:9">
      <c r="A306">
        <v>304</v>
      </c>
      <c r="B306">
        <v>100</v>
      </c>
      <c r="C306">
        <v>347</v>
      </c>
      <c r="D306">
        <v>298</v>
      </c>
      <c r="E306" s="4">
        <f t="shared" si="20"/>
        <v>0</v>
      </c>
      <c r="F306" s="4">
        <f t="shared" si="21"/>
        <v>247</v>
      </c>
      <c r="G306" s="4">
        <f t="shared" si="19"/>
        <v>6.1009000000000011</v>
      </c>
      <c r="H306" s="4">
        <f t="shared" si="22"/>
        <v>61009</v>
      </c>
      <c r="I306" s="5">
        <f>SQRT(SUM('p-pi-multi'!$C$3:C306)/COUNTIF($A$3:A306,"&lt;&gt;0"))</f>
        <v>18.58966535187594</v>
      </c>
    </row>
    <row r="307" spans="1:9">
      <c r="A307">
        <v>305</v>
      </c>
      <c r="B307">
        <v>100</v>
      </c>
      <c r="C307">
        <v>352</v>
      </c>
      <c r="D307">
        <v>293</v>
      </c>
      <c r="E307" s="4">
        <f t="shared" si="20"/>
        <v>0</v>
      </c>
      <c r="F307" s="4">
        <f t="shared" si="21"/>
        <v>252</v>
      </c>
      <c r="G307" s="4">
        <f t="shared" si="19"/>
        <v>6.3504000000000005</v>
      </c>
      <c r="H307" s="4">
        <f t="shared" si="22"/>
        <v>63504</v>
      </c>
      <c r="I307" s="5">
        <f>SQRT(SUM('p-pi-multi'!$C$3:C307)/COUNTIF($A$3:A307,"&lt;&gt;0"))</f>
        <v>18.590231878905527</v>
      </c>
    </row>
    <row r="308" spans="1:9">
      <c r="A308">
        <v>306</v>
      </c>
      <c r="B308">
        <v>100</v>
      </c>
      <c r="C308">
        <v>331</v>
      </c>
      <c r="D308">
        <v>273</v>
      </c>
      <c r="E308" s="4">
        <f t="shared" si="20"/>
        <v>0</v>
      </c>
      <c r="F308" s="4">
        <f t="shared" si="21"/>
        <v>231</v>
      </c>
      <c r="G308" s="4">
        <f t="shared" si="19"/>
        <v>5.3361000000000001</v>
      </c>
      <c r="H308" s="4">
        <f t="shared" si="22"/>
        <v>53361</v>
      </c>
      <c r="I308" s="5">
        <f>SQRT(SUM('p-pi-multi'!$C$3:C308)/COUNTIF($A$3:A308,"&lt;&gt;0"))</f>
        <v>18.588948856991433</v>
      </c>
    </row>
    <row r="309" spans="1:9">
      <c r="A309">
        <v>307</v>
      </c>
      <c r="B309">
        <v>100</v>
      </c>
      <c r="C309">
        <v>304</v>
      </c>
      <c r="D309">
        <v>262</v>
      </c>
      <c r="E309" s="4">
        <f t="shared" si="20"/>
        <v>0</v>
      </c>
      <c r="F309" s="4">
        <f t="shared" si="21"/>
        <v>204</v>
      </c>
      <c r="G309" s="4">
        <f t="shared" si="19"/>
        <v>4.1616</v>
      </c>
      <c r="H309" s="4">
        <f t="shared" si="22"/>
        <v>41616</v>
      </c>
      <c r="I309" s="5">
        <f>SQRT(SUM('p-pi-multi'!$C$3:C309)/COUNTIF($A$3:A309,"&lt;&gt;0"))</f>
        <v>18.585308197115239</v>
      </c>
    </row>
    <row r="310" spans="1:9">
      <c r="A310">
        <v>308</v>
      </c>
      <c r="B310">
        <v>100</v>
      </c>
      <c r="C310">
        <v>256</v>
      </c>
      <c r="D310">
        <v>255</v>
      </c>
      <c r="E310" s="4">
        <f t="shared" si="20"/>
        <v>0</v>
      </c>
      <c r="F310" s="4">
        <f t="shared" si="21"/>
        <v>156</v>
      </c>
      <c r="G310" s="4">
        <f t="shared" si="19"/>
        <v>2.4336000000000002</v>
      </c>
      <c r="H310" s="4">
        <f t="shared" si="22"/>
        <v>24336</v>
      </c>
      <c r="I310" s="5">
        <f>SQRT(SUM('p-pi-multi'!$C$3:C310)/COUNTIF($A$3:A310,"&lt;&gt;0"))</f>
        <v>18.577496511192692</v>
      </c>
    </row>
    <row r="311" spans="1:9">
      <c r="A311">
        <v>309</v>
      </c>
      <c r="B311">
        <v>100</v>
      </c>
      <c r="C311">
        <v>256</v>
      </c>
      <c r="D311">
        <v>257</v>
      </c>
      <c r="E311" s="4">
        <f t="shared" si="20"/>
        <v>0</v>
      </c>
      <c r="F311" s="4">
        <f t="shared" si="21"/>
        <v>156</v>
      </c>
      <c r="G311" s="4">
        <f t="shared" si="19"/>
        <v>2.4336000000000002</v>
      </c>
      <c r="H311" s="4">
        <f t="shared" si="22"/>
        <v>24336</v>
      </c>
      <c r="I311" s="5">
        <f>SQRT(SUM('p-pi-multi'!$C$3:C311)/COUNTIF($A$3:A311,"&lt;&gt;0"))</f>
        <v>18.569732132055936</v>
      </c>
    </row>
    <row r="312" spans="1:9">
      <c r="A312">
        <v>310</v>
      </c>
      <c r="B312">
        <v>100</v>
      </c>
      <c r="C312">
        <v>268</v>
      </c>
      <c r="D312">
        <v>246</v>
      </c>
      <c r="E312" s="4">
        <f t="shared" si="20"/>
        <v>0</v>
      </c>
      <c r="F312" s="4">
        <f t="shared" si="21"/>
        <v>168</v>
      </c>
      <c r="G312" s="4">
        <f t="shared" si="19"/>
        <v>2.8223999999999996</v>
      </c>
      <c r="H312" s="4">
        <f t="shared" si="22"/>
        <v>28224</v>
      </c>
      <c r="I312" s="5">
        <f>SQRT(SUM('p-pi-multi'!$C$3:C312)/COUNTIF($A$3:A312,"&lt;&gt;0"))</f>
        <v>18.563057312150754</v>
      </c>
    </row>
    <row r="313" spans="1:9">
      <c r="A313">
        <v>311</v>
      </c>
      <c r="B313">
        <v>100</v>
      </c>
      <c r="C313">
        <v>233</v>
      </c>
      <c r="D313">
        <v>230</v>
      </c>
      <c r="E313" s="4">
        <f t="shared" si="20"/>
        <v>0</v>
      </c>
      <c r="F313" s="4">
        <f t="shared" si="21"/>
        <v>133</v>
      </c>
      <c r="G313" s="4">
        <f t="shared" si="19"/>
        <v>1.7689000000000001</v>
      </c>
      <c r="H313" s="4">
        <f t="shared" si="22"/>
        <v>17689</v>
      </c>
      <c r="I313" s="5">
        <f>SQRT(SUM('p-pi-multi'!$C$3:C313)/COUNTIF($A$3:A313,"&lt;&gt;0"))</f>
        <v>18.553390413073718</v>
      </c>
    </row>
    <row r="314" spans="1:9">
      <c r="A314">
        <v>312</v>
      </c>
      <c r="B314">
        <v>100</v>
      </c>
      <c r="C314">
        <v>276</v>
      </c>
      <c r="D314">
        <v>230</v>
      </c>
      <c r="E314" s="4">
        <f t="shared" si="20"/>
        <v>0</v>
      </c>
      <c r="F314" s="4">
        <f t="shared" si="21"/>
        <v>176</v>
      </c>
      <c r="G314" s="4">
        <f t="shared" si="19"/>
        <v>3.0975999999999999</v>
      </c>
      <c r="H314" s="4">
        <f t="shared" si="22"/>
        <v>30976</v>
      </c>
      <c r="I314" s="5">
        <f>SQRT(SUM('p-pi-multi'!$C$3:C314)/COUNTIF($A$3:A314,"&lt;&gt;0"))</f>
        <v>18.547496202577193</v>
      </c>
    </row>
    <row r="315" spans="1:9">
      <c r="A315">
        <v>313</v>
      </c>
      <c r="B315">
        <v>100</v>
      </c>
      <c r="C315">
        <v>250</v>
      </c>
      <c r="D315">
        <v>204</v>
      </c>
      <c r="E315" s="4">
        <f t="shared" si="20"/>
        <v>0</v>
      </c>
      <c r="F315" s="4">
        <f t="shared" si="21"/>
        <v>150</v>
      </c>
      <c r="G315" s="4">
        <f t="shared" si="19"/>
        <v>2.25</v>
      </c>
      <c r="H315" s="4">
        <f t="shared" si="22"/>
        <v>22500</v>
      </c>
      <c r="I315" s="5">
        <f>SQRT(SUM('p-pi-multi'!$C$3:C315)/COUNTIF($A$3:A315,"&lt;&gt;0"))</f>
        <v>18.539397648675614</v>
      </c>
    </row>
    <row r="316" spans="1:9">
      <c r="A316">
        <v>314</v>
      </c>
      <c r="B316">
        <v>100</v>
      </c>
      <c r="C316">
        <v>221</v>
      </c>
      <c r="D316">
        <v>201</v>
      </c>
      <c r="E316" s="4">
        <f t="shared" si="20"/>
        <v>0</v>
      </c>
      <c r="F316" s="4">
        <f t="shared" si="21"/>
        <v>121</v>
      </c>
      <c r="G316" s="4">
        <f t="shared" si="19"/>
        <v>1.4641</v>
      </c>
      <c r="H316" s="4">
        <f t="shared" si="22"/>
        <v>14641</v>
      </c>
      <c r="I316" s="5">
        <f>SQRT(SUM('p-pi-multi'!$C$3:C316)/COUNTIF($A$3:A316,"&lt;&gt;0"))</f>
        <v>18.528855100560843</v>
      </c>
    </row>
    <row r="317" spans="1:9">
      <c r="A317">
        <v>315</v>
      </c>
      <c r="B317">
        <v>100</v>
      </c>
      <c r="C317">
        <v>220</v>
      </c>
      <c r="D317">
        <v>200</v>
      </c>
      <c r="E317" s="4">
        <f t="shared" si="20"/>
        <v>0</v>
      </c>
      <c r="F317" s="4">
        <f t="shared" si="21"/>
        <v>120</v>
      </c>
      <c r="G317" s="4">
        <f t="shared" si="19"/>
        <v>1.44</v>
      </c>
      <c r="H317" s="4">
        <f t="shared" si="22"/>
        <v>14400</v>
      </c>
      <c r="I317" s="5">
        <f>SQRT(SUM('p-pi-multi'!$C$3:C317)/COUNTIF($A$3:A317,"&lt;&gt;0"))</f>
        <v>18.518287829250955</v>
      </c>
    </row>
    <row r="318" spans="1:9">
      <c r="A318">
        <v>316</v>
      </c>
      <c r="B318">
        <v>100</v>
      </c>
      <c r="C318">
        <v>192</v>
      </c>
      <c r="D318">
        <v>191</v>
      </c>
      <c r="E318" s="4">
        <f t="shared" si="20"/>
        <v>0</v>
      </c>
      <c r="F318" s="4">
        <f t="shared" si="21"/>
        <v>92</v>
      </c>
      <c r="G318" s="4">
        <f t="shared" si="19"/>
        <v>0.84640000000000004</v>
      </c>
      <c r="H318" s="4">
        <f t="shared" si="22"/>
        <v>8464</v>
      </c>
      <c r="I318" s="5">
        <f>SQRT(SUM('p-pi-multi'!$C$3:C318)/COUNTIF($A$3:A318,"&lt;&gt;0"))</f>
        <v>18.50538751522398</v>
      </c>
    </row>
    <row r="319" spans="1:9">
      <c r="A319">
        <v>317</v>
      </c>
      <c r="B319">
        <v>100</v>
      </c>
      <c r="C319">
        <v>192</v>
      </c>
      <c r="D319">
        <v>193</v>
      </c>
      <c r="E319" s="4">
        <f t="shared" si="20"/>
        <v>0</v>
      </c>
      <c r="F319" s="4">
        <f t="shared" si="21"/>
        <v>92</v>
      </c>
      <c r="G319" s="4">
        <f t="shared" si="19"/>
        <v>0.84640000000000004</v>
      </c>
      <c r="H319" s="4">
        <f t="shared" si="22"/>
        <v>8464</v>
      </c>
      <c r="I319" s="5">
        <f>SQRT(SUM('p-pi-multi'!$C$3:C319)/COUNTIF($A$3:A319,"&lt;&gt;0"))</f>
        <v>18.492559676987391</v>
      </c>
    </row>
    <row r="320" spans="1:9">
      <c r="A320">
        <v>318</v>
      </c>
      <c r="B320">
        <v>100</v>
      </c>
      <c r="C320">
        <v>187</v>
      </c>
      <c r="D320">
        <v>186</v>
      </c>
      <c r="E320" s="4">
        <f t="shared" si="20"/>
        <v>0</v>
      </c>
      <c r="F320" s="4">
        <f t="shared" si="21"/>
        <v>87</v>
      </c>
      <c r="G320" s="4">
        <f t="shared" si="19"/>
        <v>0.75690000000000002</v>
      </c>
      <c r="H320" s="4">
        <f t="shared" si="22"/>
        <v>7569</v>
      </c>
      <c r="I320" s="5">
        <f>SQRT(SUM('p-pi-multi'!$C$3:C320)/COUNTIF($A$3:A320,"&lt;&gt;0"))</f>
        <v>18.479378273731175</v>
      </c>
    </row>
    <row r="321" spans="1:9">
      <c r="A321">
        <v>319</v>
      </c>
      <c r="B321">
        <v>100</v>
      </c>
      <c r="C321">
        <v>201</v>
      </c>
      <c r="D321">
        <v>181</v>
      </c>
      <c r="E321" s="4">
        <f t="shared" si="20"/>
        <v>0</v>
      </c>
      <c r="F321" s="4">
        <f t="shared" si="21"/>
        <v>101</v>
      </c>
      <c r="G321" s="4">
        <f t="shared" si="19"/>
        <v>1.0201</v>
      </c>
      <c r="H321" s="4">
        <f t="shared" si="22"/>
        <v>10201</v>
      </c>
      <c r="I321" s="5">
        <f>SQRT(SUM('p-pi-multi'!$C$3:C321)/COUNTIF($A$3:A321,"&lt;&gt;0"))</f>
        <v>18.46745845923509</v>
      </c>
    </row>
    <row r="322" spans="1:9">
      <c r="A322">
        <v>320</v>
      </c>
      <c r="B322">
        <v>100</v>
      </c>
      <c r="C322">
        <v>189</v>
      </c>
      <c r="D322">
        <v>169</v>
      </c>
      <c r="E322" s="4">
        <f t="shared" si="20"/>
        <v>0</v>
      </c>
      <c r="F322" s="4">
        <f t="shared" si="21"/>
        <v>89</v>
      </c>
      <c r="G322" s="4">
        <f t="shared" si="19"/>
        <v>0.79210000000000003</v>
      </c>
      <c r="H322" s="4">
        <f t="shared" si="22"/>
        <v>7921</v>
      </c>
      <c r="I322" s="5">
        <f>SQRT(SUM('p-pi-multi'!$C$3:C322)/COUNTIF($A$3:A322,"&lt;&gt;0"))</f>
        <v>18.454589537564903</v>
      </c>
    </row>
    <row r="323" spans="1:9">
      <c r="A323">
        <v>321</v>
      </c>
      <c r="B323">
        <v>100</v>
      </c>
      <c r="C323">
        <v>186</v>
      </c>
      <c r="D323">
        <v>166</v>
      </c>
      <c r="E323" s="4">
        <f t="shared" si="20"/>
        <v>0</v>
      </c>
      <c r="F323" s="4">
        <f t="shared" si="21"/>
        <v>86</v>
      </c>
      <c r="G323" s="4">
        <f t="shared" si="19"/>
        <v>0.73959999999999992</v>
      </c>
      <c r="H323" s="4">
        <f t="shared" si="22"/>
        <v>7396</v>
      </c>
      <c r="I323" s="5">
        <f>SQRT(SUM('p-pi-multi'!$C$3:C323)/COUNTIF($A$3:A323,"&lt;&gt;0"))</f>
        <v>18.441538511716633</v>
      </c>
    </row>
    <row r="324" spans="1:9">
      <c r="A324">
        <v>322</v>
      </c>
      <c r="B324">
        <v>100</v>
      </c>
      <c r="C324">
        <v>181</v>
      </c>
      <c r="D324">
        <v>160</v>
      </c>
      <c r="E324" s="4">
        <f t="shared" si="20"/>
        <v>0</v>
      </c>
      <c r="F324" s="4">
        <f t="shared" si="21"/>
        <v>81</v>
      </c>
      <c r="G324" s="4">
        <f t="shared" ref="G324:G387" si="23">POWER(ABS(B324-C324)/B324,2)</f>
        <v>0.65610000000000013</v>
      </c>
      <c r="H324" s="4">
        <f t="shared" si="22"/>
        <v>6561</v>
      </c>
      <c r="I324" s="5">
        <f>SQRT(SUM('p-pi-multi'!$C$3:C324)/COUNTIF($A$3:A324,"&lt;&gt;0"))</f>
        <v>18.428138085328246</v>
      </c>
    </row>
    <row r="325" spans="1:9">
      <c r="A325">
        <v>323</v>
      </c>
      <c r="B325">
        <v>100</v>
      </c>
      <c r="C325">
        <v>156</v>
      </c>
      <c r="D325">
        <v>156</v>
      </c>
      <c r="E325" s="4">
        <f t="shared" si="20"/>
        <v>0</v>
      </c>
      <c r="F325" s="4">
        <f t="shared" si="21"/>
        <v>56</v>
      </c>
      <c r="G325" s="4">
        <f t="shared" si="23"/>
        <v>0.31360000000000005</v>
      </c>
      <c r="H325" s="4">
        <f t="shared" si="22"/>
        <v>3136</v>
      </c>
      <c r="I325" s="5">
        <f>SQRT(SUM('p-pi-multi'!$C$3:C325)/COUNTIF($A$3:A325,"&lt;&gt;0"))</f>
        <v>18.412709300292821</v>
      </c>
    </row>
    <row r="326" spans="1:9">
      <c r="A326">
        <v>324</v>
      </c>
      <c r="B326">
        <v>100</v>
      </c>
      <c r="C326">
        <v>158</v>
      </c>
      <c r="D326">
        <v>159</v>
      </c>
      <c r="E326" s="4">
        <f t="shared" si="20"/>
        <v>0</v>
      </c>
      <c r="F326" s="4">
        <f t="shared" si="21"/>
        <v>58</v>
      </c>
      <c r="G326" s="4">
        <f t="shared" si="23"/>
        <v>0.33639999999999998</v>
      </c>
      <c r="H326" s="4">
        <f t="shared" si="22"/>
        <v>3364</v>
      </c>
      <c r="I326" s="5">
        <f>SQRT(SUM('p-pi-multi'!$C$3:C326)/COUNTIF($A$3:A326,"&lt;&gt;0"))</f>
        <v>18.397530698505957</v>
      </c>
    </row>
    <row r="327" spans="1:9">
      <c r="A327">
        <v>325</v>
      </c>
      <c r="B327">
        <v>100</v>
      </c>
      <c r="C327">
        <v>185</v>
      </c>
      <c r="D327">
        <v>154</v>
      </c>
      <c r="E327" s="4">
        <f t="shared" si="20"/>
        <v>0</v>
      </c>
      <c r="F327" s="4">
        <f t="shared" si="21"/>
        <v>85</v>
      </c>
      <c r="G327" s="4">
        <f t="shared" si="23"/>
        <v>0.72249999999999992</v>
      </c>
      <c r="H327" s="4">
        <f t="shared" si="22"/>
        <v>7225</v>
      </c>
      <c r="I327" s="5">
        <f>SQRT(SUM('p-pi-multi'!$C$3:C327)/COUNTIF($A$3:A327,"&lt;&gt;0"))</f>
        <v>18.38469262938391</v>
      </c>
    </row>
    <row r="328" spans="1:9">
      <c r="A328">
        <v>326</v>
      </c>
      <c r="B328">
        <v>100</v>
      </c>
      <c r="C328">
        <v>142</v>
      </c>
      <c r="D328">
        <v>139</v>
      </c>
      <c r="E328" s="4">
        <f t="shared" si="20"/>
        <v>0</v>
      </c>
      <c r="F328" s="4">
        <f t="shared" si="21"/>
        <v>42</v>
      </c>
      <c r="G328" s="4">
        <f t="shared" si="23"/>
        <v>0.17639999999999997</v>
      </c>
      <c r="H328" s="4">
        <f t="shared" si="22"/>
        <v>1764</v>
      </c>
      <c r="I328" s="5">
        <f>SQRT(SUM('p-pi-multi'!$C$3:C328)/COUNTIF($A$3:A328,"&lt;&gt;0"))</f>
        <v>18.368334315377439</v>
      </c>
    </row>
    <row r="329" spans="1:9">
      <c r="A329">
        <v>327</v>
      </c>
      <c r="B329">
        <v>100</v>
      </c>
      <c r="C329">
        <v>167</v>
      </c>
      <c r="D329">
        <v>149</v>
      </c>
      <c r="E329" s="4">
        <f t="shared" si="20"/>
        <v>0</v>
      </c>
      <c r="F329" s="4">
        <f t="shared" si="21"/>
        <v>67</v>
      </c>
      <c r="G329" s="4">
        <f t="shared" si="23"/>
        <v>0.44890000000000008</v>
      </c>
      <c r="H329" s="4">
        <f t="shared" si="22"/>
        <v>4489</v>
      </c>
      <c r="I329" s="5">
        <f>SQRT(SUM('p-pi-multi'!$C$3:C329)/COUNTIF($A$3:A329,"&lt;&gt;0"))</f>
        <v>18.354144429447075</v>
      </c>
    </row>
    <row r="330" spans="1:9">
      <c r="A330">
        <v>328</v>
      </c>
      <c r="B330">
        <v>100</v>
      </c>
      <c r="C330">
        <v>139</v>
      </c>
      <c r="D330">
        <v>137</v>
      </c>
      <c r="E330" s="4">
        <f t="shared" si="20"/>
        <v>0</v>
      </c>
      <c r="F330" s="4">
        <f t="shared" si="21"/>
        <v>39</v>
      </c>
      <c r="G330" s="4">
        <f t="shared" si="23"/>
        <v>0.15210000000000001</v>
      </c>
      <c r="H330" s="4">
        <f t="shared" si="22"/>
        <v>1521</v>
      </c>
      <c r="I330" s="5">
        <f>SQRT(SUM('p-pi-multi'!$C$3:C330)/COUNTIF($A$3:A330,"&lt;&gt;0"))</f>
        <v>18.337702731351456</v>
      </c>
    </row>
    <row r="331" spans="1:9">
      <c r="A331">
        <v>329</v>
      </c>
      <c r="B331">
        <v>100</v>
      </c>
      <c r="C331">
        <v>141</v>
      </c>
      <c r="D331">
        <v>142</v>
      </c>
      <c r="E331" s="4">
        <f t="shared" si="20"/>
        <v>0</v>
      </c>
      <c r="F331" s="4">
        <f t="shared" si="21"/>
        <v>41</v>
      </c>
      <c r="G331" s="4">
        <f t="shared" si="23"/>
        <v>0.16809999999999997</v>
      </c>
      <c r="H331" s="4">
        <f t="shared" si="22"/>
        <v>1681</v>
      </c>
      <c r="I331" s="5">
        <f>SQRT(SUM('p-pi-multi'!$C$3:C331)/COUNTIF($A$3:A331,"&lt;&gt;0"))</f>
        <v>18.321512261550684</v>
      </c>
    </row>
    <row r="332" spans="1:9">
      <c r="A332">
        <v>330</v>
      </c>
      <c r="B332">
        <v>100</v>
      </c>
      <c r="C332">
        <v>139</v>
      </c>
      <c r="D332">
        <v>139</v>
      </c>
      <c r="E332" s="4">
        <f t="shared" si="20"/>
        <v>0</v>
      </c>
      <c r="F332" s="4">
        <f t="shared" si="21"/>
        <v>39</v>
      </c>
      <c r="G332" s="4">
        <f t="shared" si="23"/>
        <v>0.15210000000000001</v>
      </c>
      <c r="H332" s="4">
        <f t="shared" si="22"/>
        <v>1521</v>
      </c>
      <c r="I332" s="5">
        <f>SQRT(SUM('p-pi-multi'!$C$3:C332)/COUNTIF($A$3:A332,"&lt;&gt;0"))</f>
        <v>18.305240183669216</v>
      </c>
    </row>
    <row r="333" spans="1:9">
      <c r="A333">
        <v>331</v>
      </c>
      <c r="B333">
        <v>100</v>
      </c>
      <c r="C333">
        <v>156</v>
      </c>
      <c r="D333">
        <v>136</v>
      </c>
      <c r="E333" s="4">
        <f t="shared" si="20"/>
        <v>0</v>
      </c>
      <c r="F333" s="4">
        <f t="shared" si="21"/>
        <v>56</v>
      </c>
      <c r="G333" s="4">
        <f t="shared" si="23"/>
        <v>0.31360000000000005</v>
      </c>
      <c r="H333" s="4">
        <f t="shared" si="22"/>
        <v>3136</v>
      </c>
      <c r="I333" s="5">
        <f>SQRT(SUM('p-pi-multi'!$C$3:C333)/COUNTIF($A$3:A333,"&lt;&gt;0"))</f>
        <v>18.29045613150447</v>
      </c>
    </row>
    <row r="334" spans="1:9">
      <c r="A334">
        <v>332</v>
      </c>
      <c r="B334">
        <v>100</v>
      </c>
      <c r="C334">
        <v>128</v>
      </c>
      <c r="D334">
        <v>127</v>
      </c>
      <c r="E334" s="4">
        <f t="shared" si="20"/>
        <v>0</v>
      </c>
      <c r="F334" s="4">
        <f t="shared" si="21"/>
        <v>28</v>
      </c>
      <c r="G334" s="4">
        <f t="shared" si="23"/>
        <v>7.8400000000000011E-2</v>
      </c>
      <c r="H334" s="4">
        <f t="shared" si="22"/>
        <v>784</v>
      </c>
      <c r="I334" s="5">
        <f>SQRT(SUM('p-pi-multi'!$C$3:C334)/COUNTIF($A$3:A334,"&lt;&gt;0"))</f>
        <v>18.273441785793807</v>
      </c>
    </row>
    <row r="335" spans="1:9">
      <c r="A335">
        <v>333</v>
      </c>
      <c r="B335">
        <v>100</v>
      </c>
      <c r="C335">
        <v>131</v>
      </c>
      <c r="D335">
        <v>133</v>
      </c>
      <c r="E335" s="4">
        <f t="shared" si="20"/>
        <v>0</v>
      </c>
      <c r="F335" s="4">
        <f t="shared" si="21"/>
        <v>31</v>
      </c>
      <c r="G335" s="4">
        <f t="shared" si="23"/>
        <v>9.6100000000000005E-2</v>
      </c>
      <c r="H335" s="4">
        <f t="shared" si="22"/>
        <v>961</v>
      </c>
      <c r="I335" s="5">
        <f>SQRT(SUM('p-pi-multi'!$C$3:C335)/COUNTIF($A$3:A335,"&lt;&gt;0"))</f>
        <v>18.256760646656605</v>
      </c>
    </row>
    <row r="336" spans="1:9">
      <c r="A336">
        <v>334</v>
      </c>
      <c r="B336">
        <v>100</v>
      </c>
      <c r="C336">
        <v>150</v>
      </c>
      <c r="D336">
        <v>130</v>
      </c>
      <c r="E336" s="4">
        <f t="shared" si="20"/>
        <v>0</v>
      </c>
      <c r="F336" s="4">
        <f t="shared" si="21"/>
        <v>50</v>
      </c>
      <c r="G336" s="4">
        <f t="shared" si="23"/>
        <v>0.25</v>
      </c>
      <c r="H336" s="4">
        <f t="shared" si="22"/>
        <v>2500</v>
      </c>
      <c r="I336" s="5">
        <f>SQRT(SUM('p-pi-multi'!$C$3:C336)/COUNTIF($A$3:A336,"&lt;&gt;0"))</f>
        <v>18.241723576513163</v>
      </c>
    </row>
    <row r="337" spans="1:9">
      <c r="A337">
        <v>335</v>
      </c>
      <c r="B337">
        <v>100</v>
      </c>
      <c r="C337">
        <v>122</v>
      </c>
      <c r="D337">
        <v>120</v>
      </c>
      <c r="E337" s="4">
        <f t="shared" si="20"/>
        <v>0</v>
      </c>
      <c r="F337" s="4">
        <f t="shared" si="21"/>
        <v>22</v>
      </c>
      <c r="G337" s="4">
        <f t="shared" si="23"/>
        <v>4.8399999999999999E-2</v>
      </c>
      <c r="H337" s="4">
        <f t="shared" si="22"/>
        <v>484</v>
      </c>
      <c r="I337" s="5">
        <f>SQRT(SUM('p-pi-multi'!$C$3:C337)/COUNTIF($A$3:A337,"&lt;&gt;0"))</f>
        <v>18.22447100147442</v>
      </c>
    </row>
    <row r="338" spans="1:9">
      <c r="A338">
        <v>336</v>
      </c>
      <c r="B338">
        <v>100</v>
      </c>
      <c r="C338">
        <v>125</v>
      </c>
      <c r="D338">
        <v>127</v>
      </c>
      <c r="E338" s="4">
        <f t="shared" si="20"/>
        <v>0</v>
      </c>
      <c r="F338" s="4">
        <f t="shared" si="21"/>
        <v>25</v>
      </c>
      <c r="G338" s="4">
        <f t="shared" si="23"/>
        <v>6.25E-2</v>
      </c>
      <c r="H338" s="4">
        <f t="shared" si="22"/>
        <v>625</v>
      </c>
      <c r="I338" s="5">
        <f>SQRT(SUM('p-pi-multi'!$C$3:C338)/COUNTIF($A$3:A338,"&lt;&gt;0"))</f>
        <v>18.207550108468215</v>
      </c>
    </row>
    <row r="339" spans="1:9">
      <c r="A339">
        <v>337</v>
      </c>
      <c r="B339">
        <v>100</v>
      </c>
      <c r="C339">
        <v>144</v>
      </c>
      <c r="D339">
        <v>124</v>
      </c>
      <c r="E339" s="4">
        <f t="shared" si="20"/>
        <v>0</v>
      </c>
      <c r="F339" s="4">
        <f t="shared" si="21"/>
        <v>44</v>
      </c>
      <c r="G339" s="4">
        <f t="shared" si="23"/>
        <v>0.19359999999999999</v>
      </c>
      <c r="H339" s="4">
        <f t="shared" si="22"/>
        <v>1936</v>
      </c>
      <c r="I339" s="5">
        <f>SQRT(SUM('p-pi-multi'!$C$3:C339)/COUNTIF($A$3:A339,"&lt;&gt;0"))</f>
        <v>18.192263657205878</v>
      </c>
    </row>
    <row r="340" spans="1:9">
      <c r="A340">
        <v>338</v>
      </c>
      <c r="B340">
        <v>100</v>
      </c>
      <c r="C340">
        <v>116</v>
      </c>
      <c r="D340">
        <v>115</v>
      </c>
      <c r="E340" s="4">
        <f t="shared" si="20"/>
        <v>1</v>
      </c>
      <c r="F340" s="4">
        <f t="shared" si="21"/>
        <v>16</v>
      </c>
      <c r="G340" s="4">
        <f t="shared" si="23"/>
        <v>2.5600000000000001E-2</v>
      </c>
      <c r="H340" s="4">
        <f t="shared" si="22"/>
        <v>256</v>
      </c>
      <c r="I340" s="5">
        <f>SQRT(SUM('p-pi-multi'!$C$3:C340)/COUNTIF($A$3:A340,"&lt;&gt;0"))</f>
        <v>18.174776070342674</v>
      </c>
    </row>
    <row r="341" spans="1:9">
      <c r="A341">
        <v>339</v>
      </c>
      <c r="B341">
        <v>100</v>
      </c>
      <c r="C341">
        <v>120</v>
      </c>
      <c r="D341">
        <v>122</v>
      </c>
      <c r="E341" s="4">
        <f t="shared" si="20"/>
        <v>1</v>
      </c>
      <c r="F341" s="4">
        <f t="shared" si="21"/>
        <v>20</v>
      </c>
      <c r="G341" s="4">
        <f t="shared" si="23"/>
        <v>4.0000000000000008E-2</v>
      </c>
      <c r="H341" s="4">
        <f t="shared" si="22"/>
        <v>400</v>
      </c>
      <c r="I341" s="5">
        <f>SQRT(SUM('p-pi-multi'!$C$3:C341)/COUNTIF($A$3:A341,"&lt;&gt;0"))</f>
        <v>18.157699879025294</v>
      </c>
    </row>
    <row r="342" spans="1:9">
      <c r="A342">
        <v>340</v>
      </c>
      <c r="B342">
        <v>100</v>
      </c>
      <c r="C342">
        <v>143</v>
      </c>
      <c r="D342">
        <v>119</v>
      </c>
      <c r="E342" s="4">
        <f t="shared" si="20"/>
        <v>0</v>
      </c>
      <c r="F342" s="4">
        <f t="shared" si="21"/>
        <v>43</v>
      </c>
      <c r="G342" s="4">
        <f t="shared" si="23"/>
        <v>0.18489999999999998</v>
      </c>
      <c r="H342" s="4">
        <f t="shared" si="22"/>
        <v>1849</v>
      </c>
      <c r="I342" s="5">
        <f>SQRT(SUM('p-pi-multi'!$C$3:C342)/COUNTIF($A$3:A342,"&lt;&gt;0"))</f>
        <v>18.142572617367982</v>
      </c>
    </row>
    <row r="343" spans="1:9">
      <c r="A343">
        <v>341</v>
      </c>
      <c r="B343">
        <v>100</v>
      </c>
      <c r="C343">
        <v>111</v>
      </c>
      <c r="D343">
        <v>109</v>
      </c>
      <c r="E343" s="4">
        <f t="shared" si="20"/>
        <v>1</v>
      </c>
      <c r="F343" s="4">
        <f t="shared" si="21"/>
        <v>11</v>
      </c>
      <c r="G343" s="4">
        <f t="shared" si="23"/>
        <v>1.21E-2</v>
      </c>
      <c r="H343" s="4">
        <f t="shared" si="22"/>
        <v>121</v>
      </c>
      <c r="I343" s="5">
        <f>SQRT(SUM('p-pi-multi'!$C$3:C343)/COUNTIF($A$3:A343,"&lt;&gt;0"))</f>
        <v>18.124933006246902</v>
      </c>
    </row>
    <row r="344" spans="1:9">
      <c r="A344">
        <v>342</v>
      </c>
      <c r="B344">
        <v>100</v>
      </c>
      <c r="C344">
        <v>116</v>
      </c>
      <c r="D344">
        <v>118</v>
      </c>
      <c r="E344" s="4">
        <f t="shared" si="20"/>
        <v>1</v>
      </c>
      <c r="F344" s="4">
        <f t="shared" si="21"/>
        <v>16</v>
      </c>
      <c r="G344" s="4">
        <f t="shared" si="23"/>
        <v>2.5600000000000001E-2</v>
      </c>
      <c r="H344" s="4">
        <f t="shared" si="22"/>
        <v>256</v>
      </c>
      <c r="I344" s="5">
        <f>SQRT(SUM('p-pi-multi'!$C$3:C344)/COUNTIF($A$3:A344,"&lt;&gt;0"))</f>
        <v>18.107783212350899</v>
      </c>
    </row>
    <row r="345" spans="1:9">
      <c r="A345">
        <v>343</v>
      </c>
      <c r="B345">
        <v>100</v>
      </c>
      <c r="C345">
        <v>115</v>
      </c>
      <c r="D345">
        <v>115</v>
      </c>
      <c r="E345" s="4">
        <f t="shared" ref="E345:E408" si="24">IF(AND(C345&lt;=B345*1.2,C345&gt;=B345*0.8),1,0)</f>
        <v>1</v>
      </c>
      <c r="F345" s="4">
        <f t="shared" ref="F345:F408" si="25">ABS(B345-C345)</f>
        <v>15</v>
      </c>
      <c r="G345" s="4">
        <f t="shared" si="23"/>
        <v>2.2499999999999999E-2</v>
      </c>
      <c r="H345" s="4">
        <f t="shared" ref="H345:H408" si="26">POWER(F345,2)</f>
        <v>225</v>
      </c>
      <c r="I345" s="5">
        <f>SQRT(SUM('p-pi-multi'!$C$3:C345)/COUNTIF($A$3:A345,"&lt;&gt;0"))</f>
        <v>18.090636722521378</v>
      </c>
    </row>
    <row r="346" spans="1:9">
      <c r="A346">
        <v>344</v>
      </c>
      <c r="B346">
        <v>100</v>
      </c>
      <c r="C346">
        <v>114</v>
      </c>
      <c r="D346">
        <v>114</v>
      </c>
      <c r="E346" s="4">
        <f t="shared" si="24"/>
        <v>1</v>
      </c>
      <c r="F346" s="4">
        <f t="shared" si="25"/>
        <v>14</v>
      </c>
      <c r="G346" s="4">
        <f t="shared" si="23"/>
        <v>1.9600000000000003E-2</v>
      </c>
      <c r="H346" s="4">
        <f t="shared" si="26"/>
        <v>196</v>
      </c>
      <c r="I346" s="5">
        <f>SQRT(SUM('p-pi-multi'!$C$3:C346)/COUNTIF($A$3:A346,"&lt;&gt;0"))</f>
        <v>18.073493375401938</v>
      </c>
    </row>
    <row r="347" spans="1:9">
      <c r="A347">
        <v>345</v>
      </c>
      <c r="B347">
        <v>100</v>
      </c>
      <c r="C347">
        <v>114</v>
      </c>
      <c r="D347">
        <v>114</v>
      </c>
      <c r="E347" s="4">
        <f t="shared" si="24"/>
        <v>1</v>
      </c>
      <c r="F347" s="4">
        <f t="shared" si="25"/>
        <v>14</v>
      </c>
      <c r="G347" s="4">
        <f t="shared" si="23"/>
        <v>1.9600000000000003E-2</v>
      </c>
      <c r="H347" s="4">
        <f t="shared" si="26"/>
        <v>196</v>
      </c>
      <c r="I347" s="5">
        <f>SQRT(SUM('p-pi-multi'!$C$3:C347)/COUNTIF($A$3:A347,"&lt;&gt;0"))</f>
        <v>18.056433274838518</v>
      </c>
    </row>
    <row r="348" spans="1:9">
      <c r="A348">
        <v>346</v>
      </c>
      <c r="B348">
        <v>100</v>
      </c>
      <c r="C348">
        <v>113</v>
      </c>
      <c r="D348">
        <v>113</v>
      </c>
      <c r="E348" s="4">
        <f t="shared" si="24"/>
        <v>1</v>
      </c>
      <c r="F348" s="4">
        <f t="shared" si="25"/>
        <v>13</v>
      </c>
      <c r="G348" s="4">
        <f t="shared" si="23"/>
        <v>1.6900000000000002E-2</v>
      </c>
      <c r="H348" s="4">
        <f t="shared" si="26"/>
        <v>169</v>
      </c>
      <c r="I348" s="5">
        <f>SQRT(SUM('p-pi-multi'!$C$3:C348)/COUNTIF($A$3:A348,"&lt;&gt;0"))</f>
        <v>18.039375686107007</v>
      </c>
    </row>
    <row r="349" spans="1:9">
      <c r="A349">
        <v>347</v>
      </c>
      <c r="B349">
        <v>100</v>
      </c>
      <c r="C349">
        <v>132</v>
      </c>
      <c r="D349">
        <v>112</v>
      </c>
      <c r="E349" s="4">
        <f t="shared" si="24"/>
        <v>0</v>
      </c>
      <c r="F349" s="4">
        <f t="shared" si="25"/>
        <v>32</v>
      </c>
      <c r="G349" s="4">
        <f t="shared" si="23"/>
        <v>0.1024</v>
      </c>
      <c r="H349" s="4">
        <f t="shared" si="26"/>
        <v>1024</v>
      </c>
      <c r="I349" s="5">
        <f>SQRT(SUM('p-pi-multi'!$C$3:C349)/COUNTIF($A$3:A349,"&lt;&gt;0"))</f>
        <v>18.023919425855762</v>
      </c>
    </row>
    <row r="350" spans="1:9">
      <c r="A350">
        <v>348</v>
      </c>
      <c r="B350">
        <v>100</v>
      </c>
      <c r="C350">
        <v>105</v>
      </c>
      <c r="D350">
        <v>104</v>
      </c>
      <c r="E350" s="4">
        <f t="shared" si="24"/>
        <v>1</v>
      </c>
      <c r="F350" s="4">
        <f t="shared" si="25"/>
        <v>5</v>
      </c>
      <c r="G350" s="4">
        <f t="shared" si="23"/>
        <v>2.5000000000000005E-3</v>
      </c>
      <c r="H350" s="4">
        <f t="shared" si="26"/>
        <v>25</v>
      </c>
      <c r="I350" s="5">
        <f>SQRT(SUM('p-pi-multi'!$C$3:C350)/COUNTIF($A$3:A350,"&lt;&gt;0"))</f>
        <v>18.00638456374492</v>
      </c>
    </row>
    <row r="351" spans="1:9">
      <c r="A351">
        <v>349</v>
      </c>
      <c r="B351">
        <v>100</v>
      </c>
      <c r="C351">
        <v>110</v>
      </c>
      <c r="D351">
        <v>112</v>
      </c>
      <c r="E351" s="4">
        <f t="shared" si="24"/>
        <v>1</v>
      </c>
      <c r="F351" s="4">
        <f t="shared" si="25"/>
        <v>10</v>
      </c>
      <c r="G351" s="4">
        <f t="shared" si="23"/>
        <v>1.0000000000000002E-2</v>
      </c>
      <c r="H351" s="4">
        <f t="shared" si="26"/>
        <v>100</v>
      </c>
      <c r="I351" s="5">
        <f>SQRT(SUM('p-pi-multi'!$C$3:C351)/COUNTIF($A$3:A351,"&lt;&gt;0"))</f>
        <v>17.989331445200296</v>
      </c>
    </row>
    <row r="352" spans="1:9">
      <c r="A352">
        <v>350</v>
      </c>
      <c r="B352">
        <v>100</v>
      </c>
      <c r="C352">
        <v>109</v>
      </c>
      <c r="D352">
        <v>109</v>
      </c>
      <c r="E352" s="4">
        <f t="shared" si="24"/>
        <v>1</v>
      </c>
      <c r="F352" s="4">
        <f t="shared" si="25"/>
        <v>9</v>
      </c>
      <c r="G352" s="4">
        <f t="shared" si="23"/>
        <v>8.0999999999999996E-3</v>
      </c>
      <c r="H352" s="4">
        <f t="shared" si="26"/>
        <v>81</v>
      </c>
      <c r="I352" s="5">
        <f>SQRT(SUM('p-pi-multi'!$C$3:C352)/COUNTIF($A$3:A352,"&lt;&gt;0"))</f>
        <v>17.972280243276231</v>
      </c>
    </row>
    <row r="353" spans="1:9">
      <c r="A353">
        <v>351</v>
      </c>
      <c r="B353">
        <v>100</v>
      </c>
      <c r="C353">
        <v>130</v>
      </c>
      <c r="D353">
        <v>109</v>
      </c>
      <c r="E353" s="4">
        <f t="shared" si="24"/>
        <v>0</v>
      </c>
      <c r="F353" s="4">
        <f t="shared" si="25"/>
        <v>30</v>
      </c>
      <c r="G353" s="4">
        <f t="shared" si="23"/>
        <v>0.09</v>
      </c>
      <c r="H353" s="4">
        <f t="shared" si="26"/>
        <v>900</v>
      </c>
      <c r="I353" s="5">
        <f>SQRT(SUM('p-pi-multi'!$C$3:C353)/COUNTIF($A$3:A353,"&lt;&gt;0"))</f>
        <v>17.956976122192497</v>
      </c>
    </row>
    <row r="354" spans="1:9">
      <c r="A354">
        <v>352</v>
      </c>
      <c r="B354">
        <v>100</v>
      </c>
      <c r="C354">
        <v>121</v>
      </c>
      <c r="D354">
        <v>100</v>
      </c>
      <c r="E354" s="4">
        <f t="shared" si="24"/>
        <v>0</v>
      </c>
      <c r="F354" s="4">
        <f t="shared" si="25"/>
        <v>21</v>
      </c>
      <c r="G354" s="4">
        <f t="shared" si="23"/>
        <v>4.4099999999999993E-2</v>
      </c>
      <c r="H354" s="4">
        <f t="shared" si="26"/>
        <v>441</v>
      </c>
      <c r="I354" s="5">
        <f>SQRT(SUM('p-pi-multi'!$C$3:C354)/COUNTIF($A$3:A354,"&lt;&gt;0"))</f>
        <v>17.941033465722697</v>
      </c>
    </row>
    <row r="355" spans="1:9">
      <c r="A355">
        <v>353</v>
      </c>
      <c r="B355">
        <v>100</v>
      </c>
      <c r="C355">
        <v>100</v>
      </c>
      <c r="D355">
        <v>101</v>
      </c>
      <c r="E355" s="4">
        <f t="shared" si="24"/>
        <v>1</v>
      </c>
      <c r="F355" s="4">
        <f t="shared" si="25"/>
        <v>0</v>
      </c>
      <c r="G355" s="4">
        <f t="shared" si="23"/>
        <v>0</v>
      </c>
      <c r="H355" s="4">
        <f t="shared" si="26"/>
        <v>0</v>
      </c>
      <c r="I355" s="5">
        <f>SQRT(SUM('p-pi-multi'!$C$3:C355)/COUNTIF($A$3:A355,"&lt;&gt;0"))</f>
        <v>17.923507598846058</v>
      </c>
    </row>
    <row r="356" spans="1:9">
      <c r="A356">
        <v>354</v>
      </c>
      <c r="B356">
        <v>100</v>
      </c>
      <c r="C356">
        <v>127</v>
      </c>
      <c r="D356">
        <v>107</v>
      </c>
      <c r="E356" s="4">
        <f t="shared" si="24"/>
        <v>0</v>
      </c>
      <c r="F356" s="4">
        <f t="shared" si="25"/>
        <v>27</v>
      </c>
      <c r="G356" s="4">
        <f t="shared" si="23"/>
        <v>7.2900000000000006E-2</v>
      </c>
      <c r="H356" s="4">
        <f t="shared" si="26"/>
        <v>729</v>
      </c>
      <c r="I356" s="5">
        <f>SQRT(SUM('p-pi-multi'!$C$3:C356)/COUNTIF($A$3:A356,"&lt;&gt;0"))</f>
        <v>17.908193371485257</v>
      </c>
    </row>
    <row r="357" spans="1:9">
      <c r="A357">
        <v>355</v>
      </c>
      <c r="B357">
        <v>100</v>
      </c>
      <c r="C357">
        <v>99</v>
      </c>
      <c r="D357">
        <v>98</v>
      </c>
      <c r="E357" s="4">
        <f t="shared" si="24"/>
        <v>1</v>
      </c>
      <c r="F357" s="4">
        <f t="shared" si="25"/>
        <v>1</v>
      </c>
      <c r="G357" s="4">
        <f t="shared" si="23"/>
        <v>1E-4</v>
      </c>
      <c r="H357" s="4">
        <f t="shared" si="26"/>
        <v>1</v>
      </c>
      <c r="I357" s="5">
        <f>SQRT(SUM('p-pi-multi'!$C$3:C357)/COUNTIF($A$3:A357,"&lt;&gt;0"))</f>
        <v>17.890748258232147</v>
      </c>
    </row>
    <row r="358" spans="1:9">
      <c r="A358">
        <v>356</v>
      </c>
      <c r="B358">
        <v>100</v>
      </c>
      <c r="C358">
        <v>104</v>
      </c>
      <c r="D358">
        <v>106</v>
      </c>
      <c r="E358" s="4">
        <f t="shared" si="24"/>
        <v>1</v>
      </c>
      <c r="F358" s="4">
        <f t="shared" si="25"/>
        <v>4</v>
      </c>
      <c r="G358" s="4">
        <f t="shared" si="23"/>
        <v>1.6000000000000001E-3</v>
      </c>
      <c r="H358" s="4">
        <f t="shared" si="26"/>
        <v>16</v>
      </c>
      <c r="I358" s="5">
        <f>SQRT(SUM('p-pi-multi'!$C$3:C358)/COUNTIF($A$3:A358,"&lt;&gt;0"))</f>
        <v>17.873777164112781</v>
      </c>
    </row>
    <row r="359" spans="1:9">
      <c r="A359">
        <v>357</v>
      </c>
      <c r="B359">
        <v>100</v>
      </c>
      <c r="C359">
        <v>104</v>
      </c>
      <c r="D359">
        <v>104</v>
      </c>
      <c r="E359" s="4">
        <f t="shared" si="24"/>
        <v>1</v>
      </c>
      <c r="F359" s="4">
        <f t="shared" si="25"/>
        <v>4</v>
      </c>
      <c r="G359" s="4">
        <f t="shared" si="23"/>
        <v>1.6000000000000001E-3</v>
      </c>
      <c r="H359" s="4">
        <f t="shared" si="26"/>
        <v>16</v>
      </c>
      <c r="I359" s="5">
        <f>SQRT(SUM('p-pi-multi'!$C$3:C359)/COUNTIF($A$3:A359,"&lt;&gt;0"))</f>
        <v>17.856885152202093</v>
      </c>
    </row>
    <row r="360" spans="1:9">
      <c r="A360">
        <v>358</v>
      </c>
      <c r="B360">
        <v>100</v>
      </c>
      <c r="C360">
        <v>104</v>
      </c>
      <c r="D360">
        <v>104</v>
      </c>
      <c r="E360" s="4">
        <f t="shared" si="24"/>
        <v>1</v>
      </c>
      <c r="F360" s="4">
        <f t="shared" si="25"/>
        <v>4</v>
      </c>
      <c r="G360" s="4">
        <f t="shared" si="23"/>
        <v>1.6000000000000001E-3</v>
      </c>
      <c r="H360" s="4">
        <f t="shared" si="26"/>
        <v>16</v>
      </c>
      <c r="I360" s="5">
        <f>SQRT(SUM('p-pi-multi'!$C$3:C360)/COUNTIF($A$3:A360,"&lt;&gt;0"))</f>
        <v>17.840071648527115</v>
      </c>
    </row>
    <row r="361" spans="1:9">
      <c r="A361">
        <v>359</v>
      </c>
      <c r="B361">
        <v>100</v>
      </c>
      <c r="C361">
        <v>104</v>
      </c>
      <c r="D361">
        <v>104</v>
      </c>
      <c r="E361" s="4">
        <f t="shared" si="24"/>
        <v>1</v>
      </c>
      <c r="F361" s="4">
        <f t="shared" si="25"/>
        <v>4</v>
      </c>
      <c r="G361" s="4">
        <f t="shared" si="23"/>
        <v>1.6000000000000001E-3</v>
      </c>
      <c r="H361" s="4">
        <f t="shared" si="26"/>
        <v>16</v>
      </c>
      <c r="I361" s="5">
        <f>SQRT(SUM('p-pi-multi'!$C$3:C361)/COUNTIF($A$3:A361,"&lt;&gt;0"))</f>
        <v>17.823336084813093</v>
      </c>
    </row>
    <row r="362" spans="1:9">
      <c r="A362">
        <v>360</v>
      </c>
      <c r="B362">
        <v>100</v>
      </c>
      <c r="C362">
        <v>103</v>
      </c>
      <c r="D362">
        <v>103</v>
      </c>
      <c r="E362" s="4">
        <f t="shared" si="24"/>
        <v>1</v>
      </c>
      <c r="F362" s="4">
        <f t="shared" si="25"/>
        <v>3</v>
      </c>
      <c r="G362" s="4">
        <f t="shared" si="23"/>
        <v>8.9999999999999998E-4</v>
      </c>
      <c r="H362" s="4">
        <f t="shared" si="26"/>
        <v>9</v>
      </c>
      <c r="I362" s="5">
        <f>SQRT(SUM('p-pi-multi'!$C$3:C362)/COUNTIF($A$3:A362,"&lt;&gt;0"))</f>
        <v>17.806599900037064</v>
      </c>
    </row>
    <row r="363" spans="1:9">
      <c r="A363">
        <v>361</v>
      </c>
      <c r="B363">
        <v>100</v>
      </c>
      <c r="C363">
        <v>103</v>
      </c>
      <c r="D363">
        <v>103</v>
      </c>
      <c r="E363" s="4">
        <f t="shared" si="24"/>
        <v>1</v>
      </c>
      <c r="F363" s="4">
        <f t="shared" si="25"/>
        <v>3</v>
      </c>
      <c r="G363" s="4">
        <f t="shared" si="23"/>
        <v>8.9999999999999998E-4</v>
      </c>
      <c r="H363" s="4">
        <f t="shared" si="26"/>
        <v>9</v>
      </c>
      <c r="I363" s="5">
        <f>SQRT(SUM('p-pi-multi'!$C$3:C363)/COUNTIF($A$3:A363,"&lt;&gt;0"))</f>
        <v>17.789940822269021</v>
      </c>
    </row>
    <row r="364" spans="1:9">
      <c r="A364">
        <v>362</v>
      </c>
      <c r="B364">
        <v>100</v>
      </c>
      <c r="C364">
        <v>103</v>
      </c>
      <c r="D364">
        <v>103</v>
      </c>
      <c r="E364" s="4">
        <f t="shared" si="24"/>
        <v>1</v>
      </c>
      <c r="F364" s="4">
        <f t="shared" si="25"/>
        <v>3</v>
      </c>
      <c r="G364" s="4">
        <f t="shared" si="23"/>
        <v>8.9999999999999998E-4</v>
      </c>
      <c r="H364" s="4">
        <f t="shared" si="26"/>
        <v>9</v>
      </c>
      <c r="I364" s="5">
        <f>SQRT(SUM('p-pi-multi'!$C$3:C364)/COUNTIF($A$3:A364,"&lt;&gt;0"))</f>
        <v>17.773358298120538</v>
      </c>
    </row>
    <row r="365" spans="1:9">
      <c r="A365">
        <v>363</v>
      </c>
      <c r="B365">
        <v>100</v>
      </c>
      <c r="C365">
        <v>103</v>
      </c>
      <c r="D365">
        <v>103</v>
      </c>
      <c r="E365" s="4">
        <f t="shared" si="24"/>
        <v>1</v>
      </c>
      <c r="F365" s="4">
        <f t="shared" si="25"/>
        <v>3</v>
      </c>
      <c r="G365" s="4">
        <f t="shared" si="23"/>
        <v>8.9999999999999998E-4</v>
      </c>
      <c r="H365" s="4">
        <f t="shared" si="26"/>
        <v>9</v>
      </c>
      <c r="I365" s="5">
        <f>SQRT(SUM('p-pi-multi'!$C$3:C365)/COUNTIF($A$3:A365,"&lt;&gt;0"))</f>
        <v>17.756851779636133</v>
      </c>
    </row>
    <row r="366" spans="1:9">
      <c r="A366">
        <v>364</v>
      </c>
      <c r="B366">
        <v>100</v>
      </c>
      <c r="C366">
        <v>103</v>
      </c>
      <c r="D366">
        <v>103</v>
      </c>
      <c r="E366" s="4">
        <f t="shared" si="24"/>
        <v>1</v>
      </c>
      <c r="F366" s="4">
        <f t="shared" si="25"/>
        <v>3</v>
      </c>
      <c r="G366" s="4">
        <f t="shared" si="23"/>
        <v>8.9999999999999998E-4</v>
      </c>
      <c r="H366" s="4">
        <f t="shared" si="26"/>
        <v>9</v>
      </c>
      <c r="I366" s="5">
        <f>SQRT(SUM('p-pi-multi'!$C$3:C366)/COUNTIF($A$3:A366,"&lt;&gt;0"))</f>
        <v>17.740420724225441</v>
      </c>
    </row>
    <row r="367" spans="1:9">
      <c r="A367">
        <v>365</v>
      </c>
      <c r="B367">
        <v>100</v>
      </c>
      <c r="C367">
        <v>102</v>
      </c>
      <c r="D367">
        <v>102</v>
      </c>
      <c r="E367" s="4">
        <f t="shared" si="24"/>
        <v>1</v>
      </c>
      <c r="F367" s="4">
        <f t="shared" si="25"/>
        <v>2</v>
      </c>
      <c r="G367" s="4">
        <f t="shared" si="23"/>
        <v>4.0000000000000002E-4</v>
      </c>
      <c r="H367" s="4">
        <f t="shared" si="26"/>
        <v>4</v>
      </c>
      <c r="I367" s="5">
        <f>SQRT(SUM('p-pi-multi'!$C$3:C367)/COUNTIF($A$3:A367,"&lt;&gt;0"))</f>
        <v>17.723987306117021</v>
      </c>
    </row>
    <row r="368" spans="1:9">
      <c r="A368">
        <v>366</v>
      </c>
      <c r="B368">
        <v>100</v>
      </c>
      <c r="C368">
        <v>102</v>
      </c>
      <c r="D368">
        <v>102</v>
      </c>
      <c r="E368" s="4">
        <f t="shared" si="24"/>
        <v>1</v>
      </c>
      <c r="F368" s="4">
        <f t="shared" si="25"/>
        <v>2</v>
      </c>
      <c r="G368" s="4">
        <f t="shared" si="23"/>
        <v>4.0000000000000002E-4</v>
      </c>
      <c r="H368" s="4">
        <f t="shared" si="26"/>
        <v>4</v>
      </c>
      <c r="I368" s="5">
        <f>SQRT(SUM('p-pi-multi'!$C$3:C368)/COUNTIF($A$3:A368,"&lt;&gt;0"))</f>
        <v>17.707628561996028</v>
      </c>
    </row>
    <row r="369" spans="1:9">
      <c r="A369">
        <v>367</v>
      </c>
      <c r="B369">
        <v>100</v>
      </c>
      <c r="C369">
        <v>102</v>
      </c>
      <c r="D369">
        <v>102</v>
      </c>
      <c r="E369" s="4">
        <f t="shared" si="24"/>
        <v>1</v>
      </c>
      <c r="F369" s="4">
        <f t="shared" si="25"/>
        <v>2</v>
      </c>
      <c r="G369" s="4">
        <f t="shared" si="23"/>
        <v>4.0000000000000002E-4</v>
      </c>
      <c r="H369" s="4">
        <f t="shared" si="26"/>
        <v>4</v>
      </c>
      <c r="I369" s="5">
        <f>SQRT(SUM('p-pi-multi'!$C$3:C369)/COUNTIF($A$3:A369,"&lt;&gt;0"))</f>
        <v>17.691343963253839</v>
      </c>
    </row>
    <row r="370" spans="1:9">
      <c r="A370">
        <v>368</v>
      </c>
      <c r="B370">
        <v>100</v>
      </c>
      <c r="C370">
        <v>102</v>
      </c>
      <c r="D370">
        <v>102</v>
      </c>
      <c r="E370" s="4">
        <f t="shared" si="24"/>
        <v>1</v>
      </c>
      <c r="F370" s="4">
        <f t="shared" si="25"/>
        <v>2</v>
      </c>
      <c r="G370" s="4">
        <f t="shared" si="23"/>
        <v>4.0000000000000002E-4</v>
      </c>
      <c r="H370" s="4">
        <f t="shared" si="26"/>
        <v>4</v>
      </c>
      <c r="I370" s="5">
        <f>SQRT(SUM('p-pi-multi'!$C$3:C370)/COUNTIF($A$3:A370,"&lt;&gt;0"))</f>
        <v>17.675132986400879</v>
      </c>
    </row>
    <row r="371" spans="1:9">
      <c r="A371">
        <v>369</v>
      </c>
      <c r="B371">
        <v>100</v>
      </c>
      <c r="C371">
        <v>102</v>
      </c>
      <c r="D371">
        <v>102</v>
      </c>
      <c r="E371" s="4">
        <f t="shared" si="24"/>
        <v>1</v>
      </c>
      <c r="F371" s="4">
        <f t="shared" si="25"/>
        <v>2</v>
      </c>
      <c r="G371" s="4">
        <f t="shared" si="23"/>
        <v>4.0000000000000002E-4</v>
      </c>
      <c r="H371" s="4">
        <f t="shared" si="26"/>
        <v>4</v>
      </c>
      <c r="I371" s="5">
        <f>SQRT(SUM('p-pi-multi'!$C$3:C371)/COUNTIF($A$3:A371,"&lt;&gt;0"))</f>
        <v>17.65899511300357</v>
      </c>
    </row>
    <row r="372" spans="1:9">
      <c r="A372">
        <v>370</v>
      </c>
      <c r="B372">
        <v>100</v>
      </c>
      <c r="C372">
        <v>102</v>
      </c>
      <c r="D372">
        <v>102</v>
      </c>
      <c r="E372" s="4">
        <f t="shared" si="24"/>
        <v>1</v>
      </c>
      <c r="F372" s="4">
        <f t="shared" si="25"/>
        <v>2</v>
      </c>
      <c r="G372" s="4">
        <f t="shared" si="23"/>
        <v>4.0000000000000002E-4</v>
      </c>
      <c r="H372" s="4">
        <f t="shared" si="26"/>
        <v>4</v>
      </c>
      <c r="I372" s="5">
        <f>SQRT(SUM('p-pi-multi'!$C$3:C372)/COUNTIF($A$3:A372,"&lt;&gt;0"))</f>
        <v>17.642929829622204</v>
      </c>
    </row>
    <row r="373" spans="1:9">
      <c r="A373">
        <v>371</v>
      </c>
      <c r="B373">
        <v>100</v>
      </c>
      <c r="C373">
        <v>102</v>
      </c>
      <c r="D373">
        <v>102</v>
      </c>
      <c r="E373" s="4">
        <f t="shared" si="24"/>
        <v>1</v>
      </c>
      <c r="F373" s="4">
        <f t="shared" si="25"/>
        <v>2</v>
      </c>
      <c r="G373" s="4">
        <f t="shared" si="23"/>
        <v>4.0000000000000002E-4</v>
      </c>
      <c r="H373" s="4">
        <f t="shared" si="26"/>
        <v>4</v>
      </c>
      <c r="I373" s="5">
        <f>SQRT(SUM('p-pi-multi'!$C$3:C373)/COUNTIF($A$3:A373,"&lt;&gt;0"))</f>
        <v>17.626936627749764</v>
      </c>
    </row>
    <row r="374" spans="1:9">
      <c r="A374">
        <v>372</v>
      </c>
      <c r="B374">
        <v>100</v>
      </c>
      <c r="C374">
        <v>102</v>
      </c>
      <c r="D374">
        <v>102</v>
      </c>
      <c r="E374" s="4">
        <f t="shared" si="24"/>
        <v>1</v>
      </c>
      <c r="F374" s="4">
        <f t="shared" si="25"/>
        <v>2</v>
      </c>
      <c r="G374" s="4">
        <f t="shared" si="23"/>
        <v>4.0000000000000002E-4</v>
      </c>
      <c r="H374" s="4">
        <f t="shared" si="26"/>
        <v>4</v>
      </c>
      <c r="I374" s="5">
        <f>SQRT(SUM('p-pi-multi'!$C$3:C374)/COUNTIF($A$3:A374,"&lt;&gt;0"))</f>
        <v>17.611015003751646</v>
      </c>
    </row>
    <row r="375" spans="1:9">
      <c r="A375">
        <v>373</v>
      </c>
      <c r="B375">
        <v>100</v>
      </c>
      <c r="C375">
        <v>121</v>
      </c>
      <c r="D375">
        <v>101</v>
      </c>
      <c r="E375" s="4">
        <f t="shared" si="24"/>
        <v>0</v>
      </c>
      <c r="F375" s="4">
        <f t="shared" si="25"/>
        <v>21</v>
      </c>
      <c r="G375" s="4">
        <f t="shared" si="23"/>
        <v>4.4099999999999993E-2</v>
      </c>
      <c r="H375" s="4">
        <f t="shared" si="26"/>
        <v>441</v>
      </c>
      <c r="I375" s="5">
        <f>SQRT(SUM('p-pi-multi'!$C$3:C375)/COUNTIF($A$3:A375,"&lt;&gt;0"))</f>
        <v>17.596611908837488</v>
      </c>
    </row>
    <row r="376" spans="1:9">
      <c r="A376">
        <v>374</v>
      </c>
      <c r="B376">
        <v>100</v>
      </c>
      <c r="C376">
        <v>95</v>
      </c>
      <c r="D376">
        <v>94</v>
      </c>
      <c r="E376" s="4">
        <f t="shared" si="24"/>
        <v>1</v>
      </c>
      <c r="F376" s="4">
        <f t="shared" si="25"/>
        <v>5</v>
      </c>
      <c r="G376" s="4">
        <f t="shared" si="23"/>
        <v>2.5000000000000005E-3</v>
      </c>
      <c r="H376" s="4">
        <f t="shared" si="26"/>
        <v>25</v>
      </c>
      <c r="I376" s="5">
        <f>SQRT(SUM('p-pi-multi'!$C$3:C376)/COUNTIF($A$3:A376,"&lt;&gt;0"))</f>
        <v>17.580297065743402</v>
      </c>
    </row>
    <row r="377" spans="1:9">
      <c r="A377">
        <v>375</v>
      </c>
      <c r="B377">
        <v>100</v>
      </c>
      <c r="C377">
        <v>120</v>
      </c>
      <c r="D377">
        <v>102</v>
      </c>
      <c r="E377" s="4">
        <f t="shared" si="24"/>
        <v>1</v>
      </c>
      <c r="F377" s="4">
        <f t="shared" si="25"/>
        <v>20</v>
      </c>
      <c r="G377" s="4">
        <f t="shared" si="23"/>
        <v>4.0000000000000008E-2</v>
      </c>
      <c r="H377" s="4">
        <f t="shared" si="26"/>
        <v>400</v>
      </c>
      <c r="I377" s="5">
        <f>SQRT(SUM('p-pi-multi'!$C$3:C377)/COUNTIF($A$3:A377,"&lt;&gt;0"))</f>
        <v>17.565951914617855</v>
      </c>
    </row>
    <row r="378" spans="1:9">
      <c r="A378">
        <v>376</v>
      </c>
      <c r="B378">
        <v>100</v>
      </c>
      <c r="C378">
        <v>94</v>
      </c>
      <c r="D378">
        <v>93</v>
      </c>
      <c r="E378" s="4">
        <f t="shared" si="24"/>
        <v>1</v>
      </c>
      <c r="F378" s="4">
        <f t="shared" si="25"/>
        <v>6</v>
      </c>
      <c r="G378" s="4">
        <f t="shared" si="23"/>
        <v>3.5999999999999999E-3</v>
      </c>
      <c r="H378" s="4">
        <f t="shared" si="26"/>
        <v>36</v>
      </c>
      <c r="I378" s="5">
        <f>SQRT(SUM('p-pi-multi'!$C$3:C378)/COUNTIF($A$3:A378,"&lt;&gt;0"))</f>
        <v>17.549701458332439</v>
      </c>
    </row>
    <row r="379" spans="1:9">
      <c r="A379">
        <v>377</v>
      </c>
      <c r="B379">
        <v>100</v>
      </c>
      <c r="C379">
        <v>99</v>
      </c>
      <c r="D379">
        <v>101</v>
      </c>
      <c r="E379" s="4">
        <f t="shared" si="24"/>
        <v>1</v>
      </c>
      <c r="F379" s="4">
        <f t="shared" si="25"/>
        <v>1</v>
      </c>
      <c r="G379" s="4">
        <f t="shared" si="23"/>
        <v>1E-4</v>
      </c>
      <c r="H379" s="4">
        <f t="shared" si="26"/>
        <v>1</v>
      </c>
      <c r="I379" s="5">
        <f>SQRT(SUM('p-pi-multi'!$C$3:C379)/COUNTIF($A$3:A379,"&lt;&gt;0"))</f>
        <v>17.533900472584339</v>
      </c>
    </row>
    <row r="380" spans="1:9">
      <c r="A380">
        <v>378</v>
      </c>
      <c r="B380">
        <v>100</v>
      </c>
      <c r="C380">
        <v>100</v>
      </c>
      <c r="D380">
        <v>100</v>
      </c>
      <c r="E380" s="4">
        <f t="shared" si="24"/>
        <v>1</v>
      </c>
      <c r="F380" s="4">
        <f t="shared" si="25"/>
        <v>0</v>
      </c>
      <c r="G380" s="4">
        <f t="shared" si="23"/>
        <v>0</v>
      </c>
      <c r="H380" s="4">
        <f t="shared" si="26"/>
        <v>0</v>
      </c>
      <c r="I380" s="5">
        <f>SQRT(SUM('p-pi-multi'!$C$3:C380)/COUNTIF($A$3:A380,"&lt;&gt;0"))</f>
        <v>17.518244457961217</v>
      </c>
    </row>
    <row r="381" spans="1:9">
      <c r="A381">
        <v>379</v>
      </c>
      <c r="B381">
        <v>100</v>
      </c>
      <c r="C381">
        <v>100</v>
      </c>
      <c r="D381">
        <v>100</v>
      </c>
      <c r="E381" s="4">
        <f t="shared" si="24"/>
        <v>1</v>
      </c>
      <c r="F381" s="4">
        <f t="shared" si="25"/>
        <v>0</v>
      </c>
      <c r="G381" s="4">
        <f t="shared" si="23"/>
        <v>0</v>
      </c>
      <c r="H381" s="4">
        <f t="shared" si="26"/>
        <v>0</v>
      </c>
      <c r="I381" s="5">
        <f>SQRT(SUM('p-pi-multi'!$C$3:C381)/COUNTIF($A$3:A381,"&lt;&gt;0"))</f>
        <v>17.50265716728655</v>
      </c>
    </row>
    <row r="382" spans="1:9">
      <c r="A382">
        <v>380</v>
      </c>
      <c r="B382">
        <v>100</v>
      </c>
      <c r="C382">
        <v>100</v>
      </c>
      <c r="D382">
        <v>100</v>
      </c>
      <c r="E382" s="4">
        <f t="shared" si="24"/>
        <v>1</v>
      </c>
      <c r="F382" s="4">
        <f t="shared" si="25"/>
        <v>0</v>
      </c>
      <c r="G382" s="4">
        <f t="shared" si="23"/>
        <v>0</v>
      </c>
      <c r="H382" s="4">
        <f t="shared" si="26"/>
        <v>0</v>
      </c>
      <c r="I382" s="5">
        <f>SQRT(SUM('p-pi-multi'!$C$3:C382)/COUNTIF($A$3:A382,"&lt;&gt;0"))</f>
        <v>17.487138130637614</v>
      </c>
    </row>
    <row r="383" spans="1:9">
      <c r="A383">
        <v>381</v>
      </c>
      <c r="B383">
        <v>100</v>
      </c>
      <c r="C383">
        <v>120</v>
      </c>
      <c r="D383">
        <v>100</v>
      </c>
      <c r="E383" s="4">
        <f t="shared" si="24"/>
        <v>1</v>
      </c>
      <c r="F383" s="4">
        <f t="shared" si="25"/>
        <v>20</v>
      </c>
      <c r="G383" s="4">
        <f t="shared" si="23"/>
        <v>4.0000000000000008E-2</v>
      </c>
      <c r="H383" s="4">
        <f t="shared" si="26"/>
        <v>400</v>
      </c>
      <c r="I383" s="5">
        <f>SQRT(SUM('p-pi-multi'!$C$3:C383)/COUNTIF($A$3:A383,"&lt;&gt;0"))</f>
        <v>17.473189060901426</v>
      </c>
    </row>
    <row r="384" spans="1:9">
      <c r="A384">
        <v>382</v>
      </c>
      <c r="B384">
        <v>100</v>
      </c>
      <c r="C384">
        <v>93</v>
      </c>
      <c r="D384">
        <v>92</v>
      </c>
      <c r="E384" s="4">
        <f t="shared" si="24"/>
        <v>1</v>
      </c>
      <c r="F384" s="4">
        <f t="shared" si="25"/>
        <v>7</v>
      </c>
      <c r="G384" s="4">
        <f t="shared" si="23"/>
        <v>4.9000000000000007E-3</v>
      </c>
      <c r="H384" s="4">
        <f t="shared" si="26"/>
        <v>49</v>
      </c>
      <c r="I384" s="5">
        <f>SQRT(SUM('p-pi-multi'!$C$3:C384)/COUNTIF($A$3:A384,"&lt;&gt;0"))</f>
        <v>17.457277694492284</v>
      </c>
    </row>
    <row r="385" spans="1:9">
      <c r="A385">
        <v>383</v>
      </c>
      <c r="B385">
        <v>100</v>
      </c>
      <c r="C385">
        <v>99</v>
      </c>
      <c r="D385">
        <v>101</v>
      </c>
      <c r="E385" s="4">
        <f t="shared" si="24"/>
        <v>1</v>
      </c>
      <c r="F385" s="4">
        <f t="shared" si="25"/>
        <v>1</v>
      </c>
      <c r="G385" s="4">
        <f t="shared" si="23"/>
        <v>1E-4</v>
      </c>
      <c r="H385" s="4">
        <f t="shared" si="26"/>
        <v>1</v>
      </c>
      <c r="I385" s="5">
        <f>SQRT(SUM('p-pi-multi'!$C$3:C385)/COUNTIF($A$3:A385,"&lt;&gt;0"))</f>
        <v>17.441884105475104</v>
      </c>
    </row>
    <row r="386" spans="1:9">
      <c r="A386">
        <v>384</v>
      </c>
      <c r="B386">
        <v>100</v>
      </c>
      <c r="C386">
        <v>99</v>
      </c>
      <c r="D386">
        <v>99</v>
      </c>
      <c r="E386" s="4">
        <f t="shared" si="24"/>
        <v>1</v>
      </c>
      <c r="F386" s="4">
        <f t="shared" si="25"/>
        <v>1</v>
      </c>
      <c r="G386" s="4">
        <f t="shared" si="23"/>
        <v>1E-4</v>
      </c>
      <c r="H386" s="4">
        <f t="shared" si="26"/>
        <v>1</v>
      </c>
      <c r="I386" s="5">
        <f>SQRT(SUM('p-pi-multi'!$C$3:C386)/COUNTIF($A$3:A386,"&lt;&gt;0"))</f>
        <v>17.426557199668938</v>
      </c>
    </row>
    <row r="387" spans="1:9">
      <c r="A387">
        <v>385</v>
      </c>
      <c r="B387">
        <v>100</v>
      </c>
      <c r="C387">
        <v>99</v>
      </c>
      <c r="D387">
        <v>99</v>
      </c>
      <c r="E387" s="4">
        <f t="shared" si="24"/>
        <v>1</v>
      </c>
      <c r="F387" s="4">
        <f t="shared" si="25"/>
        <v>1</v>
      </c>
      <c r="G387" s="4">
        <f t="shared" si="23"/>
        <v>1E-4</v>
      </c>
      <c r="H387" s="4">
        <f t="shared" si="26"/>
        <v>1</v>
      </c>
      <c r="I387" s="5">
        <f>SQRT(SUM('p-pi-multi'!$C$3:C387)/COUNTIF($A$3:A387,"&lt;&gt;0"))</f>
        <v>17.411296527061008</v>
      </c>
    </row>
    <row r="388" spans="1:9">
      <c r="A388">
        <v>386</v>
      </c>
      <c r="B388">
        <v>100</v>
      </c>
      <c r="C388">
        <v>99</v>
      </c>
      <c r="D388">
        <v>99</v>
      </c>
      <c r="E388" s="4">
        <f t="shared" si="24"/>
        <v>1</v>
      </c>
      <c r="F388" s="4">
        <f t="shared" si="25"/>
        <v>1</v>
      </c>
      <c r="G388" s="4">
        <f t="shared" ref="G388:G451" si="27">POWER(ABS(B388-C388)/B388,2)</f>
        <v>1E-4</v>
      </c>
      <c r="H388" s="4">
        <f t="shared" si="26"/>
        <v>1</v>
      </c>
      <c r="I388" s="5">
        <f>SQRT(SUM('p-pi-multi'!$C$3:C388)/COUNTIF($A$3:A388,"&lt;&gt;0"))</f>
        <v>17.396101641793376</v>
      </c>
    </row>
    <row r="389" spans="1:9">
      <c r="A389">
        <v>387</v>
      </c>
      <c r="B389">
        <v>100</v>
      </c>
      <c r="C389">
        <v>99</v>
      </c>
      <c r="D389">
        <v>99</v>
      </c>
      <c r="E389" s="4">
        <f t="shared" si="24"/>
        <v>1</v>
      </c>
      <c r="F389" s="4">
        <f t="shared" si="25"/>
        <v>1</v>
      </c>
      <c r="G389" s="4">
        <f t="shared" si="27"/>
        <v>1E-4</v>
      </c>
      <c r="H389" s="4">
        <f t="shared" si="26"/>
        <v>1</v>
      </c>
      <c r="I389" s="5">
        <f>SQRT(SUM('p-pi-multi'!$C$3:C389)/COUNTIF($A$3:A389,"&lt;&gt;0"))</f>
        <v>17.380972102114146</v>
      </c>
    </row>
    <row r="390" spans="1:9">
      <c r="A390">
        <v>388</v>
      </c>
      <c r="B390">
        <v>100</v>
      </c>
      <c r="C390">
        <v>99</v>
      </c>
      <c r="D390">
        <v>99</v>
      </c>
      <c r="E390" s="4">
        <f t="shared" si="24"/>
        <v>1</v>
      </c>
      <c r="F390" s="4">
        <f t="shared" si="25"/>
        <v>1</v>
      </c>
      <c r="G390" s="4">
        <f t="shared" si="27"/>
        <v>1E-4</v>
      </c>
      <c r="H390" s="4">
        <f t="shared" si="26"/>
        <v>1</v>
      </c>
      <c r="I390" s="5">
        <f>SQRT(SUM('p-pi-multi'!$C$3:C390)/COUNTIF($A$3:A390,"&lt;&gt;0"))</f>
        <v>17.365907470329365</v>
      </c>
    </row>
    <row r="391" spans="1:9">
      <c r="A391">
        <v>389</v>
      </c>
      <c r="B391">
        <v>100</v>
      </c>
      <c r="C391">
        <v>99</v>
      </c>
      <c r="D391">
        <v>99</v>
      </c>
      <c r="E391" s="4">
        <f t="shared" si="24"/>
        <v>1</v>
      </c>
      <c r="F391" s="4">
        <f t="shared" si="25"/>
        <v>1</v>
      </c>
      <c r="G391" s="4">
        <f t="shared" si="27"/>
        <v>1E-4</v>
      </c>
      <c r="H391" s="4">
        <f t="shared" si="26"/>
        <v>1</v>
      </c>
      <c r="I391" s="5">
        <f>SQRT(SUM('p-pi-multi'!$C$3:C391)/COUNTIF($A$3:A391,"&lt;&gt;0"))</f>
        <v>17.350907312755592</v>
      </c>
    </row>
    <row r="392" spans="1:9">
      <c r="A392">
        <v>390</v>
      </c>
      <c r="B392">
        <v>100</v>
      </c>
      <c r="C392">
        <v>99</v>
      </c>
      <c r="D392">
        <v>99</v>
      </c>
      <c r="E392" s="4">
        <f t="shared" si="24"/>
        <v>1</v>
      </c>
      <c r="F392" s="4">
        <f t="shared" si="25"/>
        <v>1</v>
      </c>
      <c r="G392" s="4">
        <f t="shared" si="27"/>
        <v>1E-4</v>
      </c>
      <c r="H392" s="4">
        <f t="shared" si="26"/>
        <v>1</v>
      </c>
      <c r="I392" s="5">
        <f>SQRT(SUM('p-pi-multi'!$C$3:C392)/COUNTIF($A$3:A392,"&lt;&gt;0"))</f>
        <v>17.335971199673164</v>
      </c>
    </row>
    <row r="393" spans="1:9">
      <c r="A393">
        <v>391</v>
      </c>
      <c r="B393">
        <v>100</v>
      </c>
      <c r="C393">
        <v>99</v>
      </c>
      <c r="D393">
        <v>100</v>
      </c>
      <c r="E393" s="4">
        <f t="shared" si="24"/>
        <v>1</v>
      </c>
      <c r="F393" s="4">
        <f t="shared" si="25"/>
        <v>1</v>
      </c>
      <c r="G393" s="4">
        <f t="shared" si="27"/>
        <v>1E-4</v>
      </c>
      <c r="H393" s="4">
        <f t="shared" si="26"/>
        <v>1</v>
      </c>
      <c r="I393" s="5">
        <f>SQRT(SUM('p-pi-multi'!$C$3:C393)/COUNTIF($A$3:A393,"&lt;&gt;0"))</f>
        <v>17.321098705280107</v>
      </c>
    </row>
    <row r="394" spans="1:9">
      <c r="A394">
        <v>392</v>
      </c>
      <c r="B394">
        <v>100</v>
      </c>
      <c r="C394">
        <v>99</v>
      </c>
      <c r="D394">
        <v>99</v>
      </c>
      <c r="E394" s="4">
        <f t="shared" si="24"/>
        <v>1</v>
      </c>
      <c r="F394" s="4">
        <f t="shared" si="25"/>
        <v>1</v>
      </c>
      <c r="G394" s="4">
        <f t="shared" si="27"/>
        <v>1E-4</v>
      </c>
      <c r="H394" s="4">
        <f t="shared" si="26"/>
        <v>1</v>
      </c>
      <c r="I394" s="5">
        <f>SQRT(SUM('p-pi-multi'!$C$3:C394)/COUNTIF($A$3:A394,"&lt;&gt;0"))</f>
        <v>17.306289407646705</v>
      </c>
    </row>
    <row r="395" spans="1:9">
      <c r="A395">
        <v>393</v>
      </c>
      <c r="B395">
        <v>100</v>
      </c>
      <c r="C395">
        <v>99</v>
      </c>
      <c r="D395">
        <v>100</v>
      </c>
      <c r="E395" s="4">
        <f t="shared" si="24"/>
        <v>1</v>
      </c>
      <c r="F395" s="4">
        <f t="shared" si="25"/>
        <v>1</v>
      </c>
      <c r="G395" s="4">
        <f t="shared" si="27"/>
        <v>1E-4</v>
      </c>
      <c r="H395" s="4">
        <f t="shared" si="26"/>
        <v>1</v>
      </c>
      <c r="I395" s="5">
        <f>SQRT(SUM('p-pi-multi'!$C$3:C395)/COUNTIF($A$3:A395,"&lt;&gt;0"))</f>
        <v>17.291542888670691</v>
      </c>
    </row>
    <row r="396" spans="1:9">
      <c r="A396">
        <v>394</v>
      </c>
      <c r="B396">
        <v>100</v>
      </c>
      <c r="C396">
        <v>99</v>
      </c>
      <c r="D396">
        <v>99</v>
      </c>
      <c r="E396" s="4">
        <f t="shared" si="24"/>
        <v>1</v>
      </c>
      <c r="F396" s="4">
        <f t="shared" si="25"/>
        <v>1</v>
      </c>
      <c r="G396" s="4">
        <f t="shared" si="27"/>
        <v>1E-4</v>
      </c>
      <c r="H396" s="4">
        <f t="shared" si="26"/>
        <v>1</v>
      </c>
      <c r="I396" s="5">
        <f>SQRT(SUM('p-pi-multi'!$C$3:C396)/COUNTIF($A$3:A396,"&lt;&gt;0"))</f>
        <v>17.276858734033109</v>
      </c>
    </row>
    <row r="397" spans="1:9">
      <c r="A397">
        <v>395</v>
      </c>
      <c r="B397">
        <v>100</v>
      </c>
      <c r="C397">
        <v>99</v>
      </c>
      <c r="D397">
        <v>100</v>
      </c>
      <c r="E397" s="4">
        <f t="shared" si="24"/>
        <v>1</v>
      </c>
      <c r="F397" s="4">
        <f t="shared" si="25"/>
        <v>1</v>
      </c>
      <c r="G397" s="4">
        <f t="shared" si="27"/>
        <v>1E-4</v>
      </c>
      <c r="H397" s="4">
        <f t="shared" si="26"/>
        <v>1</v>
      </c>
      <c r="I397" s="5">
        <f>SQRT(SUM('p-pi-multi'!$C$3:C397)/COUNTIF($A$3:A397,"&lt;&gt;0"))</f>
        <v>17.262236533154741</v>
      </c>
    </row>
    <row r="398" spans="1:9">
      <c r="A398">
        <v>396</v>
      </c>
      <c r="B398">
        <v>100</v>
      </c>
      <c r="C398">
        <v>99</v>
      </c>
      <c r="D398">
        <v>99</v>
      </c>
      <c r="E398" s="4">
        <f t="shared" si="24"/>
        <v>1</v>
      </c>
      <c r="F398" s="4">
        <f t="shared" si="25"/>
        <v>1</v>
      </c>
      <c r="G398" s="4">
        <f t="shared" si="27"/>
        <v>1E-4</v>
      </c>
      <c r="H398" s="4">
        <f t="shared" si="26"/>
        <v>1</v>
      </c>
      <c r="I398" s="5">
        <f>SQRT(SUM('p-pi-multi'!$C$3:C398)/COUNTIF($A$3:A398,"&lt;&gt;0"))</f>
        <v>17.247675879153203</v>
      </c>
    </row>
    <row r="399" spans="1:9">
      <c r="A399">
        <v>397</v>
      </c>
      <c r="B399">
        <v>100</v>
      </c>
      <c r="C399">
        <v>102</v>
      </c>
      <c r="D399">
        <v>100</v>
      </c>
      <c r="E399" s="4">
        <f t="shared" si="24"/>
        <v>1</v>
      </c>
      <c r="F399" s="4">
        <f t="shared" si="25"/>
        <v>2</v>
      </c>
      <c r="G399" s="4">
        <f t="shared" si="27"/>
        <v>4.0000000000000002E-4</v>
      </c>
      <c r="H399" s="4">
        <f t="shared" si="26"/>
        <v>4</v>
      </c>
      <c r="I399" s="5">
        <f>SQRT(SUM('p-pi-multi'!$C$3:C399)/COUNTIF($A$3:A399,"&lt;&gt;0"))</f>
        <v>17.233395615294434</v>
      </c>
    </row>
    <row r="400" spans="1:9">
      <c r="A400">
        <v>398</v>
      </c>
      <c r="B400">
        <v>100</v>
      </c>
      <c r="C400">
        <v>96</v>
      </c>
      <c r="D400">
        <v>99</v>
      </c>
      <c r="E400" s="4">
        <f t="shared" si="24"/>
        <v>1</v>
      </c>
      <c r="F400" s="4">
        <f t="shared" si="25"/>
        <v>4</v>
      </c>
      <c r="G400" s="4">
        <f t="shared" si="27"/>
        <v>1.6000000000000001E-3</v>
      </c>
      <c r="H400" s="4">
        <f t="shared" si="26"/>
        <v>16</v>
      </c>
      <c r="I400" s="5">
        <f>SQRT(SUM('p-pi-multi'!$C$3:C400)/COUNTIF($A$3:A400,"&lt;&gt;0"))</f>
        <v>17.218737602481653</v>
      </c>
    </row>
    <row r="401" spans="1:9">
      <c r="A401">
        <v>399</v>
      </c>
      <c r="B401">
        <v>100</v>
      </c>
      <c r="C401">
        <v>100</v>
      </c>
      <c r="D401">
        <v>101</v>
      </c>
      <c r="E401" s="4">
        <f t="shared" si="24"/>
        <v>1</v>
      </c>
      <c r="F401" s="4">
        <f t="shared" si="25"/>
        <v>0</v>
      </c>
      <c r="G401" s="4">
        <f t="shared" si="27"/>
        <v>0</v>
      </c>
      <c r="H401" s="4">
        <f t="shared" si="26"/>
        <v>0</v>
      </c>
      <c r="I401" s="5">
        <f>SQRT(SUM('p-pi-multi'!$C$3:C401)/COUNTIF($A$3:A401,"&lt;&gt;0"))</f>
        <v>17.204432022098477</v>
      </c>
    </row>
    <row r="402" spans="1:9">
      <c r="A402">
        <v>400</v>
      </c>
      <c r="B402">
        <v>100</v>
      </c>
      <c r="C402">
        <v>99</v>
      </c>
      <c r="D402">
        <v>99</v>
      </c>
      <c r="E402" s="4">
        <f t="shared" si="24"/>
        <v>1</v>
      </c>
      <c r="F402" s="4">
        <f t="shared" si="25"/>
        <v>1</v>
      </c>
      <c r="G402" s="4">
        <f t="shared" si="27"/>
        <v>1E-4</v>
      </c>
      <c r="H402" s="4">
        <f t="shared" si="26"/>
        <v>1</v>
      </c>
      <c r="I402" s="5">
        <f>SQRT(SUM('p-pi-multi'!$C$3:C402)/COUNTIF($A$3:A402,"&lt;&gt;0"))</f>
        <v>17.190113437671084</v>
      </c>
    </row>
    <row r="403" spans="1:9">
      <c r="A403">
        <v>401</v>
      </c>
      <c r="B403">
        <v>100</v>
      </c>
      <c r="C403">
        <v>99</v>
      </c>
      <c r="D403">
        <v>100</v>
      </c>
      <c r="E403" s="4">
        <f t="shared" si="24"/>
        <v>1</v>
      </c>
      <c r="F403" s="4">
        <f t="shared" si="25"/>
        <v>1</v>
      </c>
      <c r="G403" s="4">
        <f t="shared" si="27"/>
        <v>1E-4</v>
      </c>
      <c r="H403" s="4">
        <f t="shared" si="26"/>
        <v>1</v>
      </c>
      <c r="I403" s="5">
        <f>SQRT(SUM('p-pi-multi'!$C$3:C403)/COUNTIF($A$3:A403,"&lt;&gt;0"))</f>
        <v>17.175854420154597</v>
      </c>
    </row>
    <row r="404" spans="1:9">
      <c r="A404">
        <v>402</v>
      </c>
      <c r="B404">
        <v>100</v>
      </c>
      <c r="C404">
        <v>100</v>
      </c>
      <c r="D404">
        <v>100</v>
      </c>
      <c r="E404" s="4">
        <f t="shared" si="24"/>
        <v>1</v>
      </c>
      <c r="F404" s="4">
        <f t="shared" si="25"/>
        <v>0</v>
      </c>
      <c r="G404" s="4">
        <f t="shared" si="27"/>
        <v>0</v>
      </c>
      <c r="H404" s="4">
        <f t="shared" si="26"/>
        <v>0</v>
      </c>
      <c r="I404" s="5">
        <f>SQRT(SUM('p-pi-multi'!$C$3:C404)/COUNTIF($A$3:A404,"&lt;&gt;0"))</f>
        <v>17.161727058250595</v>
      </c>
    </row>
    <row r="405" spans="1:9">
      <c r="A405">
        <v>403</v>
      </c>
      <c r="B405">
        <v>100</v>
      </c>
      <c r="C405">
        <v>100</v>
      </c>
      <c r="D405">
        <v>100</v>
      </c>
      <c r="E405" s="4">
        <f t="shared" si="24"/>
        <v>1</v>
      </c>
      <c r="F405" s="4">
        <f t="shared" si="25"/>
        <v>0</v>
      </c>
      <c r="G405" s="4">
        <f t="shared" si="27"/>
        <v>0</v>
      </c>
      <c r="H405" s="4">
        <f t="shared" si="26"/>
        <v>0</v>
      </c>
      <c r="I405" s="5">
        <f>SQRT(SUM('p-pi-multi'!$C$3:C405)/COUNTIF($A$3:A405,"&lt;&gt;0"))</f>
        <v>17.147658254783035</v>
      </c>
    </row>
    <row r="406" spans="1:9">
      <c r="A406">
        <v>404</v>
      </c>
      <c r="B406">
        <v>100</v>
      </c>
      <c r="C406">
        <v>100</v>
      </c>
      <c r="D406">
        <v>100</v>
      </c>
      <c r="E406" s="4">
        <f t="shared" si="24"/>
        <v>1</v>
      </c>
      <c r="F406" s="4">
        <f t="shared" si="25"/>
        <v>0</v>
      </c>
      <c r="G406" s="4">
        <f t="shared" si="27"/>
        <v>0</v>
      </c>
      <c r="H406" s="4">
        <f t="shared" si="26"/>
        <v>0</v>
      </c>
      <c r="I406" s="5">
        <f>SQRT(SUM('p-pi-multi'!$C$3:C406)/COUNTIF($A$3:A406,"&lt;&gt;0"))</f>
        <v>17.133647632308737</v>
      </c>
    </row>
    <row r="407" spans="1:9">
      <c r="A407">
        <v>405</v>
      </c>
      <c r="B407">
        <v>100</v>
      </c>
      <c r="C407">
        <v>100</v>
      </c>
      <c r="D407">
        <v>100</v>
      </c>
      <c r="E407" s="4">
        <f t="shared" si="24"/>
        <v>1</v>
      </c>
      <c r="F407" s="4">
        <f t="shared" si="25"/>
        <v>0</v>
      </c>
      <c r="G407" s="4">
        <f t="shared" si="27"/>
        <v>0</v>
      </c>
      <c r="H407" s="4">
        <f t="shared" si="26"/>
        <v>0</v>
      </c>
      <c r="I407" s="5">
        <f>SQRT(SUM('p-pi-multi'!$C$3:C407)/COUNTIF($A$3:A407,"&lt;&gt;0"))</f>
        <v>17.119694816709906</v>
      </c>
    </row>
    <row r="408" spans="1:9">
      <c r="A408">
        <v>406</v>
      </c>
      <c r="B408">
        <v>100</v>
      </c>
      <c r="C408">
        <v>100</v>
      </c>
      <c r="D408">
        <v>100</v>
      </c>
      <c r="E408" s="4">
        <f t="shared" si="24"/>
        <v>1</v>
      </c>
      <c r="F408" s="4">
        <f t="shared" si="25"/>
        <v>0</v>
      </c>
      <c r="G408" s="4">
        <f t="shared" si="27"/>
        <v>0</v>
      </c>
      <c r="H408" s="4">
        <f t="shared" si="26"/>
        <v>0</v>
      </c>
      <c r="I408" s="5">
        <f>SQRT(SUM('p-pi-multi'!$C$3:C408)/COUNTIF($A$3:A408,"&lt;&gt;0"))</f>
        <v>17.105799437156875</v>
      </c>
    </row>
    <row r="409" spans="1:9">
      <c r="A409">
        <v>407</v>
      </c>
      <c r="B409">
        <v>100</v>
      </c>
      <c r="C409">
        <v>100</v>
      </c>
      <c r="D409">
        <v>100</v>
      </c>
      <c r="E409" s="4">
        <f t="shared" ref="E409:E472" si="28">IF(AND(C409&lt;=B409*1.2,C409&gt;=B409*0.8),1,0)</f>
        <v>1</v>
      </c>
      <c r="F409" s="4">
        <f t="shared" ref="F409:F472" si="29">ABS(B409-C409)</f>
        <v>0</v>
      </c>
      <c r="G409" s="4">
        <f t="shared" si="27"/>
        <v>0</v>
      </c>
      <c r="H409" s="4">
        <f t="shared" ref="H409:H472" si="30">POWER(F409,2)</f>
        <v>0</v>
      </c>
      <c r="I409" s="5">
        <f>SQRT(SUM('p-pi-multi'!$C$3:C409)/COUNTIF($A$3:A409,"&lt;&gt;0"))</f>
        <v>17.091961126071379</v>
      </c>
    </row>
    <row r="410" spans="1:9">
      <c r="A410">
        <v>408</v>
      </c>
      <c r="B410">
        <v>100</v>
      </c>
      <c r="C410">
        <v>100</v>
      </c>
      <c r="D410">
        <v>100</v>
      </c>
      <c r="E410" s="4">
        <f t="shared" si="28"/>
        <v>1</v>
      </c>
      <c r="F410" s="4">
        <f t="shared" si="29"/>
        <v>0</v>
      </c>
      <c r="G410" s="4">
        <f t="shared" si="27"/>
        <v>0</v>
      </c>
      <c r="H410" s="4">
        <f t="shared" si="30"/>
        <v>0</v>
      </c>
      <c r="I410" s="5">
        <f>SQRT(SUM('p-pi-multi'!$C$3:C410)/COUNTIF($A$3:A410,"&lt;&gt;0"))</f>
        <v>17.078179519090273</v>
      </c>
    </row>
    <row r="411" spans="1:9">
      <c r="A411">
        <v>409</v>
      </c>
      <c r="B411">
        <v>100</v>
      </c>
      <c r="C411">
        <v>100</v>
      </c>
      <c r="D411">
        <v>100</v>
      </c>
      <c r="E411" s="4">
        <f t="shared" si="28"/>
        <v>1</v>
      </c>
      <c r="F411" s="4">
        <f t="shared" si="29"/>
        <v>0</v>
      </c>
      <c r="G411" s="4">
        <f t="shared" si="27"/>
        <v>0</v>
      </c>
      <c r="H411" s="4">
        <f t="shared" si="30"/>
        <v>0</v>
      </c>
      <c r="I411" s="5">
        <f>SQRT(SUM('p-pi-multi'!$C$3:C411)/COUNTIF($A$3:A411,"&lt;&gt;0"))</f>
        <v>17.064454255029808</v>
      </c>
    </row>
    <row r="412" spans="1:9">
      <c r="A412">
        <v>410</v>
      </c>
      <c r="B412">
        <v>100</v>
      </c>
      <c r="C412">
        <v>100</v>
      </c>
      <c r="D412">
        <v>100</v>
      </c>
      <c r="E412" s="4">
        <f t="shared" si="28"/>
        <v>1</v>
      </c>
      <c r="F412" s="4">
        <f t="shared" si="29"/>
        <v>0</v>
      </c>
      <c r="G412" s="4">
        <f t="shared" si="27"/>
        <v>0</v>
      </c>
      <c r="H412" s="4">
        <f t="shared" si="30"/>
        <v>0</v>
      </c>
      <c r="I412" s="5">
        <f>SQRT(SUM('p-pi-multi'!$C$3:C412)/COUNTIF($A$3:A412,"&lt;&gt;0"))</f>
        <v>17.05078497585032</v>
      </c>
    </row>
    <row r="413" spans="1:9">
      <c r="A413">
        <v>411</v>
      </c>
      <c r="B413">
        <v>100</v>
      </c>
      <c r="C413">
        <v>100</v>
      </c>
      <c r="D413">
        <v>100</v>
      </c>
      <c r="E413" s="4">
        <f t="shared" si="28"/>
        <v>1</v>
      </c>
      <c r="F413" s="4">
        <f t="shared" si="29"/>
        <v>0</v>
      </c>
      <c r="G413" s="4">
        <f t="shared" si="27"/>
        <v>0</v>
      </c>
      <c r="H413" s="4">
        <f t="shared" si="30"/>
        <v>0</v>
      </c>
      <c r="I413" s="5">
        <f>SQRT(SUM('p-pi-multi'!$C$3:C413)/COUNTIF($A$3:A413,"&lt;&gt;0"))</f>
        <v>17.037171326621451</v>
      </c>
    </row>
    <row r="414" spans="1:9">
      <c r="A414">
        <v>412</v>
      </c>
      <c r="B414">
        <v>100</v>
      </c>
      <c r="C414">
        <v>100</v>
      </c>
      <c r="D414">
        <v>100</v>
      </c>
      <c r="E414" s="4">
        <f t="shared" si="28"/>
        <v>1</v>
      </c>
      <c r="F414" s="4">
        <f t="shared" si="29"/>
        <v>0</v>
      </c>
      <c r="G414" s="4">
        <f t="shared" si="27"/>
        <v>0</v>
      </c>
      <c r="H414" s="4">
        <f t="shared" si="30"/>
        <v>0</v>
      </c>
      <c r="I414" s="5">
        <f>SQRT(SUM('p-pi-multi'!$C$3:C414)/COUNTIF($A$3:A414,"&lt;&gt;0"))</f>
        <v>17.02361295548781</v>
      </c>
    </row>
    <row r="415" spans="1:9">
      <c r="A415">
        <v>413</v>
      </c>
      <c r="B415">
        <v>100</v>
      </c>
      <c r="C415">
        <v>100</v>
      </c>
      <c r="D415">
        <v>100</v>
      </c>
      <c r="E415" s="4">
        <f t="shared" si="28"/>
        <v>1</v>
      </c>
      <c r="F415" s="4">
        <f t="shared" si="29"/>
        <v>0</v>
      </c>
      <c r="G415" s="4">
        <f t="shared" si="27"/>
        <v>0</v>
      </c>
      <c r="H415" s="4">
        <f t="shared" si="30"/>
        <v>0</v>
      </c>
      <c r="I415" s="5">
        <f>SQRT(SUM('p-pi-multi'!$C$3:C415)/COUNTIF($A$3:A415,"&lt;&gt;0"))</f>
        <v>17.010109513635108</v>
      </c>
    </row>
    <row r="416" spans="1:9">
      <c r="A416">
        <v>414</v>
      </c>
      <c r="B416">
        <v>100</v>
      </c>
      <c r="C416">
        <v>100</v>
      </c>
      <c r="D416">
        <v>100</v>
      </c>
      <c r="E416" s="4">
        <f t="shared" si="28"/>
        <v>1</v>
      </c>
      <c r="F416" s="4">
        <f t="shared" si="29"/>
        <v>0</v>
      </c>
      <c r="G416" s="4">
        <f t="shared" si="27"/>
        <v>0</v>
      </c>
      <c r="H416" s="4">
        <f t="shared" si="30"/>
        <v>0</v>
      </c>
      <c r="I416" s="5">
        <f>SQRT(SUM('p-pi-multi'!$C$3:C416)/COUNTIF($A$3:A416,"&lt;&gt;0"))</f>
        <v>16.996660655256719</v>
      </c>
    </row>
    <row r="417" spans="1:9">
      <c r="A417">
        <v>415</v>
      </c>
      <c r="B417">
        <v>100</v>
      </c>
      <c r="C417">
        <v>100</v>
      </c>
      <c r="D417">
        <v>100</v>
      </c>
      <c r="E417" s="4">
        <f t="shared" si="28"/>
        <v>1</v>
      </c>
      <c r="F417" s="4">
        <f t="shared" si="29"/>
        <v>0</v>
      </c>
      <c r="G417" s="4">
        <f t="shared" si="27"/>
        <v>0</v>
      </c>
      <c r="H417" s="4">
        <f t="shared" si="30"/>
        <v>0</v>
      </c>
      <c r="I417" s="5">
        <f>SQRT(SUM('p-pi-multi'!$C$3:C417)/COUNTIF($A$3:A417,"&lt;&gt;0"))</f>
        <v>16.983266037520721</v>
      </c>
    </row>
    <row r="418" spans="1:9">
      <c r="A418">
        <v>416</v>
      </c>
      <c r="B418">
        <v>100</v>
      </c>
      <c r="C418">
        <v>100</v>
      </c>
      <c r="D418">
        <v>100</v>
      </c>
      <c r="E418" s="4">
        <f t="shared" si="28"/>
        <v>1</v>
      </c>
      <c r="F418" s="4">
        <f t="shared" si="29"/>
        <v>0</v>
      </c>
      <c r="G418" s="4">
        <f t="shared" si="27"/>
        <v>0</v>
      </c>
      <c r="H418" s="4">
        <f t="shared" si="30"/>
        <v>0</v>
      </c>
      <c r="I418" s="5">
        <f>SQRT(SUM('p-pi-multi'!$C$3:C418)/COUNTIF($A$3:A418,"&lt;&gt;0"))</f>
        <v>16.969925320537371</v>
      </c>
    </row>
    <row r="419" spans="1:9">
      <c r="A419">
        <v>417</v>
      </c>
      <c r="B419">
        <v>100</v>
      </c>
      <c r="C419">
        <v>100</v>
      </c>
      <c r="D419">
        <v>100</v>
      </c>
      <c r="E419" s="4">
        <f t="shared" si="28"/>
        <v>1</v>
      </c>
      <c r="F419" s="4">
        <f t="shared" si="29"/>
        <v>0</v>
      </c>
      <c r="G419" s="4">
        <f t="shared" si="27"/>
        <v>0</v>
      </c>
      <c r="H419" s="4">
        <f t="shared" si="30"/>
        <v>0</v>
      </c>
      <c r="I419" s="5">
        <f>SQRT(SUM('p-pi-multi'!$C$3:C419)/COUNTIF($A$3:A419,"&lt;&gt;0"))</f>
        <v>16.956638167326975</v>
      </c>
    </row>
    <row r="420" spans="1:9">
      <c r="A420">
        <v>418</v>
      </c>
      <c r="B420">
        <v>100</v>
      </c>
      <c r="C420">
        <v>100</v>
      </c>
      <c r="D420">
        <v>100</v>
      </c>
      <c r="E420" s="4">
        <f t="shared" si="28"/>
        <v>1</v>
      </c>
      <c r="F420" s="4">
        <f t="shared" si="29"/>
        <v>0</v>
      </c>
      <c r="G420" s="4">
        <f t="shared" si="27"/>
        <v>0</v>
      </c>
      <c r="H420" s="4">
        <f t="shared" si="30"/>
        <v>0</v>
      </c>
      <c r="I420" s="5">
        <f>SQRT(SUM('p-pi-multi'!$C$3:C420)/COUNTIF($A$3:A420,"&lt;&gt;0"))</f>
        <v>16.94340424378823</v>
      </c>
    </row>
    <row r="421" spans="1:9">
      <c r="A421">
        <v>419</v>
      </c>
      <c r="B421">
        <v>100</v>
      </c>
      <c r="C421">
        <v>100</v>
      </c>
      <c r="D421">
        <v>100</v>
      </c>
      <c r="E421" s="4">
        <f t="shared" si="28"/>
        <v>1</v>
      </c>
      <c r="F421" s="4">
        <f t="shared" si="29"/>
        <v>0</v>
      </c>
      <c r="G421" s="4">
        <f t="shared" si="27"/>
        <v>0</v>
      </c>
      <c r="H421" s="4">
        <f t="shared" si="30"/>
        <v>0</v>
      </c>
      <c r="I421" s="5">
        <f>SQRT(SUM('p-pi-multi'!$C$3:C421)/COUNTIF($A$3:A421,"&lt;&gt;0"))</f>
        <v>16.930223218666971</v>
      </c>
    </row>
    <row r="422" spans="1:9">
      <c r="A422">
        <v>420</v>
      </c>
      <c r="B422">
        <v>100</v>
      </c>
      <c r="C422">
        <v>100</v>
      </c>
      <c r="D422">
        <v>100</v>
      </c>
      <c r="E422" s="4">
        <f t="shared" si="28"/>
        <v>1</v>
      </c>
      <c r="F422" s="4">
        <f t="shared" si="29"/>
        <v>0</v>
      </c>
      <c r="G422" s="4">
        <f t="shared" si="27"/>
        <v>0</v>
      </c>
      <c r="H422" s="4">
        <f t="shared" si="30"/>
        <v>0</v>
      </c>
      <c r="I422" s="5">
        <f>SQRT(SUM('p-pi-multi'!$C$3:C422)/COUNTIF($A$3:A422,"&lt;&gt;0"))</f>
        <v>16.917094763525302</v>
      </c>
    </row>
    <row r="423" spans="1:9">
      <c r="A423">
        <v>421</v>
      </c>
      <c r="B423">
        <v>100</v>
      </c>
      <c r="C423">
        <v>100</v>
      </c>
      <c r="D423">
        <v>100</v>
      </c>
      <c r="E423" s="4">
        <f t="shared" si="28"/>
        <v>1</v>
      </c>
      <c r="F423" s="4">
        <f t="shared" si="29"/>
        <v>0</v>
      </c>
      <c r="G423" s="4">
        <f t="shared" si="27"/>
        <v>0</v>
      </c>
      <c r="H423" s="4">
        <f t="shared" si="30"/>
        <v>0</v>
      </c>
      <c r="I423" s="5">
        <f>SQRT(SUM('p-pi-multi'!$C$3:C423)/COUNTIF($A$3:A423,"&lt;&gt;0"))</f>
        <v>16.904018552711182</v>
      </c>
    </row>
    <row r="424" spans="1:9">
      <c r="A424">
        <v>422</v>
      </c>
      <c r="B424">
        <v>100</v>
      </c>
      <c r="C424">
        <v>100</v>
      </c>
      <c r="D424">
        <v>100</v>
      </c>
      <c r="E424" s="4">
        <f t="shared" si="28"/>
        <v>1</v>
      </c>
      <c r="F424" s="4">
        <f t="shared" si="29"/>
        <v>0</v>
      </c>
      <c r="G424" s="4">
        <f t="shared" si="27"/>
        <v>0</v>
      </c>
      <c r="H424" s="4">
        <f t="shared" si="30"/>
        <v>0</v>
      </c>
      <c r="I424" s="5">
        <f>SQRT(SUM('p-pi-multi'!$C$3:C424)/COUNTIF($A$3:A424,"&lt;&gt;0"))</f>
        <v>16.890994263328356</v>
      </c>
    </row>
    <row r="425" spans="1:9">
      <c r="A425">
        <v>423</v>
      </c>
      <c r="B425">
        <v>100</v>
      </c>
      <c r="C425">
        <v>100</v>
      </c>
      <c r="D425">
        <v>100</v>
      </c>
      <c r="E425" s="4">
        <f t="shared" si="28"/>
        <v>1</v>
      </c>
      <c r="F425" s="4">
        <f t="shared" si="29"/>
        <v>0</v>
      </c>
      <c r="G425" s="4">
        <f t="shared" si="27"/>
        <v>0</v>
      </c>
      <c r="H425" s="4">
        <f t="shared" si="30"/>
        <v>0</v>
      </c>
      <c r="I425" s="5">
        <f>SQRT(SUM('p-pi-multi'!$C$3:C425)/COUNTIF($A$3:A425,"&lt;&gt;0"))</f>
        <v>16.878021575206741</v>
      </c>
    </row>
    <row r="426" spans="1:9">
      <c r="A426">
        <v>424</v>
      </c>
      <c r="B426">
        <v>100</v>
      </c>
      <c r="C426">
        <v>100</v>
      </c>
      <c r="D426">
        <v>100</v>
      </c>
      <c r="E426" s="4">
        <f t="shared" si="28"/>
        <v>1</v>
      </c>
      <c r="F426" s="4">
        <f t="shared" si="29"/>
        <v>0</v>
      </c>
      <c r="G426" s="4">
        <f t="shared" si="27"/>
        <v>0</v>
      </c>
      <c r="H426" s="4">
        <f t="shared" si="30"/>
        <v>0</v>
      </c>
      <c r="I426" s="5">
        <f>SQRT(SUM('p-pi-multi'!$C$3:C426)/COUNTIF($A$3:A426,"&lt;&gt;0"))</f>
        <v>16.865100170873131</v>
      </c>
    </row>
    <row r="427" spans="1:9">
      <c r="A427">
        <v>425</v>
      </c>
      <c r="B427">
        <v>100</v>
      </c>
      <c r="C427">
        <v>100</v>
      </c>
      <c r="D427">
        <v>100</v>
      </c>
      <c r="E427" s="4">
        <f t="shared" si="28"/>
        <v>1</v>
      </c>
      <c r="F427" s="4">
        <f t="shared" si="29"/>
        <v>0</v>
      </c>
      <c r="G427" s="4">
        <f t="shared" si="27"/>
        <v>0</v>
      </c>
      <c r="H427" s="4">
        <f t="shared" si="30"/>
        <v>0</v>
      </c>
      <c r="I427" s="5">
        <f>SQRT(SUM('p-pi-multi'!$C$3:C427)/COUNTIF($A$3:A427,"&lt;&gt;0"))</f>
        <v>16.852229735522346</v>
      </c>
    </row>
    <row r="428" spans="1:9">
      <c r="A428">
        <v>426</v>
      </c>
      <c r="B428">
        <v>100</v>
      </c>
      <c r="C428">
        <v>100</v>
      </c>
      <c r="D428">
        <v>100</v>
      </c>
      <c r="E428" s="4">
        <f t="shared" si="28"/>
        <v>1</v>
      </c>
      <c r="F428" s="4">
        <f t="shared" si="29"/>
        <v>0</v>
      </c>
      <c r="G428" s="4">
        <f t="shared" si="27"/>
        <v>0</v>
      </c>
      <c r="H428" s="4">
        <f t="shared" si="30"/>
        <v>0</v>
      </c>
      <c r="I428" s="5">
        <f>SQRT(SUM('p-pi-multi'!$C$3:C428)/COUNTIF($A$3:A428,"&lt;&gt;0"))</f>
        <v>16.83940995698871</v>
      </c>
    </row>
    <row r="429" spans="1:9">
      <c r="A429">
        <v>427</v>
      </c>
      <c r="B429">
        <v>100</v>
      </c>
      <c r="C429">
        <v>100</v>
      </c>
      <c r="D429">
        <v>100</v>
      </c>
      <c r="E429" s="4">
        <f t="shared" si="28"/>
        <v>1</v>
      </c>
      <c r="F429" s="4">
        <f t="shared" si="29"/>
        <v>0</v>
      </c>
      <c r="G429" s="4">
        <f t="shared" si="27"/>
        <v>0</v>
      </c>
      <c r="H429" s="4">
        <f t="shared" si="30"/>
        <v>0</v>
      </c>
      <c r="I429" s="5">
        <f>SQRT(SUM('p-pi-multi'!$C$3:C429)/COUNTIF($A$3:A429,"&lt;&gt;0"))</f>
        <v>16.826640525717931</v>
      </c>
    </row>
    <row r="430" spans="1:9">
      <c r="A430">
        <v>428</v>
      </c>
      <c r="B430">
        <v>100</v>
      </c>
      <c r="C430">
        <v>100</v>
      </c>
      <c r="D430">
        <v>100</v>
      </c>
      <c r="E430" s="4">
        <f t="shared" si="28"/>
        <v>1</v>
      </c>
      <c r="F430" s="4">
        <f t="shared" si="29"/>
        <v>0</v>
      </c>
      <c r="G430" s="4">
        <f t="shared" si="27"/>
        <v>0</v>
      </c>
      <c r="H430" s="4">
        <f t="shared" si="30"/>
        <v>0</v>
      </c>
      <c r="I430" s="5">
        <f>SQRT(SUM('p-pi-multi'!$C$3:C430)/COUNTIF($A$3:A430,"&lt;&gt;0"))</f>
        <v>16.813921134739321</v>
      </c>
    </row>
    <row r="431" spans="1:9">
      <c r="A431">
        <v>429</v>
      </c>
      <c r="B431">
        <v>100</v>
      </c>
      <c r="C431">
        <v>100</v>
      </c>
      <c r="D431">
        <v>100</v>
      </c>
      <c r="E431" s="4">
        <f t="shared" si="28"/>
        <v>1</v>
      </c>
      <c r="F431" s="4">
        <f t="shared" si="29"/>
        <v>0</v>
      </c>
      <c r="G431" s="4">
        <f t="shared" si="27"/>
        <v>0</v>
      </c>
      <c r="H431" s="4">
        <f t="shared" si="30"/>
        <v>0</v>
      </c>
      <c r="I431" s="5">
        <f>SQRT(SUM('p-pi-multi'!$C$3:C431)/COUNTIF($A$3:A431,"&lt;&gt;0"))</f>
        <v>16.801251479638392</v>
      </c>
    </row>
    <row r="432" spans="1:9">
      <c r="A432">
        <v>430</v>
      </c>
      <c r="B432">
        <v>100</v>
      </c>
      <c r="C432">
        <v>100</v>
      </c>
      <c r="D432">
        <v>100</v>
      </c>
      <c r="E432" s="4">
        <f t="shared" si="28"/>
        <v>1</v>
      </c>
      <c r="F432" s="4">
        <f t="shared" si="29"/>
        <v>0</v>
      </c>
      <c r="G432" s="4">
        <f t="shared" si="27"/>
        <v>0</v>
      </c>
      <c r="H432" s="4">
        <f t="shared" si="30"/>
        <v>0</v>
      </c>
      <c r="I432" s="5">
        <f>SQRT(SUM('p-pi-multi'!$C$3:C432)/COUNTIF($A$3:A432,"&lt;&gt;0"))</f>
        <v>16.788631258529794</v>
      </c>
    </row>
    <row r="433" spans="1:9">
      <c r="A433">
        <v>431</v>
      </c>
      <c r="B433">
        <v>100</v>
      </c>
      <c r="C433">
        <v>100</v>
      </c>
      <c r="D433">
        <v>100</v>
      </c>
      <c r="E433" s="4">
        <f t="shared" si="28"/>
        <v>1</v>
      </c>
      <c r="F433" s="4">
        <f t="shared" si="29"/>
        <v>0</v>
      </c>
      <c r="G433" s="4">
        <f t="shared" si="27"/>
        <v>0</v>
      </c>
      <c r="H433" s="4">
        <f t="shared" si="30"/>
        <v>0</v>
      </c>
      <c r="I433" s="5">
        <f>SQRT(SUM('p-pi-multi'!$C$3:C433)/COUNTIF($A$3:A433,"&lt;&gt;0"))</f>
        <v>16.776060172030608</v>
      </c>
    </row>
    <row r="434" spans="1:9">
      <c r="A434">
        <v>432</v>
      </c>
      <c r="B434">
        <v>100</v>
      </c>
      <c r="C434">
        <v>100</v>
      </c>
      <c r="D434">
        <v>100</v>
      </c>
      <c r="E434" s="4">
        <f t="shared" si="28"/>
        <v>1</v>
      </c>
      <c r="F434" s="4">
        <f t="shared" si="29"/>
        <v>0</v>
      </c>
      <c r="G434" s="4">
        <f t="shared" si="27"/>
        <v>0</v>
      </c>
      <c r="H434" s="4">
        <f t="shared" si="30"/>
        <v>0</v>
      </c>
      <c r="I434" s="5">
        <f>SQRT(SUM('p-pi-multi'!$C$3:C434)/COUNTIF($A$3:A434,"&lt;&gt;0"))</f>
        <v>16.763537923233976</v>
      </c>
    </row>
    <row r="435" spans="1:9">
      <c r="A435">
        <v>433</v>
      </c>
      <c r="B435">
        <v>100</v>
      </c>
      <c r="C435">
        <v>100</v>
      </c>
      <c r="D435">
        <v>100</v>
      </c>
      <c r="E435" s="4">
        <f t="shared" si="28"/>
        <v>1</v>
      </c>
      <c r="F435" s="4">
        <f t="shared" si="29"/>
        <v>0</v>
      </c>
      <c r="G435" s="4">
        <f t="shared" si="27"/>
        <v>0</v>
      </c>
      <c r="H435" s="4">
        <f t="shared" si="30"/>
        <v>0</v>
      </c>
      <c r="I435" s="5">
        <f>SQRT(SUM('p-pi-multi'!$C$3:C435)/COUNTIF($A$3:A435,"&lt;&gt;0"))</f>
        <v>16.751064217683073</v>
      </c>
    </row>
    <row r="436" spans="1:9">
      <c r="A436">
        <v>434</v>
      </c>
      <c r="B436">
        <v>100</v>
      </c>
      <c r="C436">
        <v>100</v>
      </c>
      <c r="D436">
        <v>100</v>
      </c>
      <c r="E436" s="4">
        <f t="shared" si="28"/>
        <v>1</v>
      </c>
      <c r="F436" s="4">
        <f t="shared" si="29"/>
        <v>0</v>
      </c>
      <c r="G436" s="4">
        <f t="shared" si="27"/>
        <v>0</v>
      </c>
      <c r="H436" s="4">
        <f t="shared" si="30"/>
        <v>0</v>
      </c>
      <c r="I436" s="5">
        <f>SQRT(SUM('p-pi-multi'!$C$3:C436)/COUNTIF($A$3:A436,"&lt;&gt;0"))</f>
        <v>16.73863876334541</v>
      </c>
    </row>
    <row r="437" spans="1:9">
      <c r="A437">
        <v>435</v>
      </c>
      <c r="B437">
        <v>100</v>
      </c>
      <c r="C437">
        <v>100</v>
      </c>
      <c r="D437">
        <v>100</v>
      </c>
      <c r="E437" s="4">
        <f t="shared" si="28"/>
        <v>1</v>
      </c>
      <c r="F437" s="4">
        <f t="shared" si="29"/>
        <v>0</v>
      </c>
      <c r="G437" s="4">
        <f t="shared" si="27"/>
        <v>0</v>
      </c>
      <c r="H437" s="4">
        <f t="shared" si="30"/>
        <v>0</v>
      </c>
      <c r="I437" s="5">
        <f>SQRT(SUM('p-pi-multi'!$C$3:C437)/COUNTIF($A$3:A437,"&lt;&gt;0"))</f>
        <v>16.726261270587461</v>
      </c>
    </row>
    <row r="438" spans="1:9">
      <c r="A438">
        <v>436</v>
      </c>
      <c r="B438">
        <v>100</v>
      </c>
      <c r="C438">
        <v>100</v>
      </c>
      <c r="D438">
        <v>100</v>
      </c>
      <c r="E438" s="4">
        <f t="shared" si="28"/>
        <v>1</v>
      </c>
      <c r="F438" s="4">
        <f t="shared" si="29"/>
        <v>0</v>
      </c>
      <c r="G438" s="4">
        <f t="shared" si="27"/>
        <v>0</v>
      </c>
      <c r="H438" s="4">
        <f t="shared" si="30"/>
        <v>0</v>
      </c>
      <c r="I438" s="5">
        <f>SQRT(SUM('p-pi-multi'!$C$3:C438)/COUNTIF($A$3:A438,"&lt;&gt;0"))</f>
        <v>16.713931452149609</v>
      </c>
    </row>
    <row r="439" spans="1:9">
      <c r="A439">
        <v>437</v>
      </c>
      <c r="B439">
        <v>100</v>
      </c>
      <c r="C439">
        <v>100</v>
      </c>
      <c r="D439">
        <v>100</v>
      </c>
      <c r="E439" s="4">
        <f t="shared" si="28"/>
        <v>1</v>
      </c>
      <c r="F439" s="4">
        <f t="shared" si="29"/>
        <v>0</v>
      </c>
      <c r="G439" s="4">
        <f t="shared" si="27"/>
        <v>0</v>
      </c>
      <c r="H439" s="4">
        <f t="shared" si="30"/>
        <v>0</v>
      </c>
      <c r="I439" s="5">
        <f>SQRT(SUM('p-pi-multi'!$C$3:C439)/COUNTIF($A$3:A439,"&lt;&gt;0"))</f>
        <v>16.701649023121433</v>
      </c>
    </row>
    <row r="440" spans="1:9">
      <c r="A440">
        <v>438</v>
      </c>
      <c r="B440">
        <v>100</v>
      </c>
      <c r="C440">
        <v>100</v>
      </c>
      <c r="D440">
        <v>100</v>
      </c>
      <c r="E440" s="4">
        <f t="shared" si="28"/>
        <v>1</v>
      </c>
      <c r="F440" s="4">
        <f t="shared" si="29"/>
        <v>0</v>
      </c>
      <c r="G440" s="4">
        <f t="shared" si="27"/>
        <v>0</v>
      </c>
      <c r="H440" s="4">
        <f t="shared" si="30"/>
        <v>0</v>
      </c>
      <c r="I440" s="5">
        <f>SQRT(SUM('p-pi-multi'!$C$3:C440)/COUNTIF($A$3:A440,"&lt;&gt;0"))</f>
        <v>16.689413700917274</v>
      </c>
    </row>
    <row r="441" spans="1:9">
      <c r="A441">
        <v>439</v>
      </c>
      <c r="B441">
        <v>100</v>
      </c>
      <c r="C441">
        <v>100</v>
      </c>
      <c r="D441">
        <v>100</v>
      </c>
      <c r="E441" s="4">
        <f t="shared" si="28"/>
        <v>1</v>
      </c>
      <c r="F441" s="4">
        <f t="shared" si="29"/>
        <v>0</v>
      </c>
      <c r="G441" s="4">
        <f t="shared" si="27"/>
        <v>0</v>
      </c>
      <c r="H441" s="4">
        <f t="shared" si="30"/>
        <v>0</v>
      </c>
      <c r="I441" s="5">
        <f>SQRT(SUM('p-pi-multi'!$C$3:C441)/COUNTIF($A$3:A441,"&lt;&gt;0"))</f>
        <v>16.677225205252132</v>
      </c>
    </row>
    <row r="442" spans="1:9">
      <c r="A442">
        <v>440</v>
      </c>
      <c r="B442">
        <v>100</v>
      </c>
      <c r="C442">
        <v>100</v>
      </c>
      <c r="D442">
        <v>100</v>
      </c>
      <c r="E442" s="4">
        <f t="shared" si="28"/>
        <v>1</v>
      </c>
      <c r="F442" s="4">
        <f t="shared" si="29"/>
        <v>0</v>
      </c>
      <c r="G442" s="4">
        <f t="shared" si="27"/>
        <v>0</v>
      </c>
      <c r="H442" s="4">
        <f t="shared" si="30"/>
        <v>0</v>
      </c>
      <c r="I442" s="5">
        <f>SQRT(SUM('p-pi-multi'!$C$3:C442)/COUNTIF($A$3:A442,"&lt;&gt;0"))</f>
        <v>16.665083258117853</v>
      </c>
    </row>
    <row r="443" spans="1:9">
      <c r="A443">
        <v>441</v>
      </c>
      <c r="B443">
        <v>100</v>
      </c>
      <c r="C443">
        <v>120</v>
      </c>
      <c r="D443">
        <v>100</v>
      </c>
      <c r="E443" s="4">
        <f t="shared" si="28"/>
        <v>1</v>
      </c>
      <c r="F443" s="4">
        <f t="shared" si="29"/>
        <v>20</v>
      </c>
      <c r="G443" s="4">
        <f t="shared" si="27"/>
        <v>4.0000000000000008E-2</v>
      </c>
      <c r="H443" s="4">
        <f t="shared" si="30"/>
        <v>400</v>
      </c>
      <c r="I443" s="5">
        <f>SQRT(SUM('p-pi-multi'!$C$3:C443)/COUNTIF($A$3:A443,"&lt;&gt;0"))</f>
        <v>16.654349189889572</v>
      </c>
    </row>
    <row r="444" spans="1:9">
      <c r="A444">
        <v>442</v>
      </c>
      <c r="B444">
        <v>100</v>
      </c>
      <c r="C444">
        <v>93</v>
      </c>
      <c r="D444">
        <v>92</v>
      </c>
      <c r="E444" s="4">
        <f t="shared" si="28"/>
        <v>1</v>
      </c>
      <c r="F444" s="4">
        <f t="shared" si="29"/>
        <v>7</v>
      </c>
      <c r="G444" s="4">
        <f t="shared" si="27"/>
        <v>4.9000000000000007E-3</v>
      </c>
      <c r="H444" s="4">
        <f t="shared" si="30"/>
        <v>49</v>
      </c>
      <c r="I444" s="5">
        <f>SQRT(SUM('p-pi-multi'!$C$3:C444)/COUNTIF($A$3:A444,"&lt;&gt;0"))</f>
        <v>16.641821602347019</v>
      </c>
    </row>
    <row r="445" spans="1:9">
      <c r="A445">
        <v>443</v>
      </c>
      <c r="B445">
        <v>100</v>
      </c>
      <c r="C445">
        <v>98</v>
      </c>
      <c r="D445">
        <v>100</v>
      </c>
      <c r="E445" s="4">
        <f t="shared" si="28"/>
        <v>1</v>
      </c>
      <c r="F445" s="4">
        <f t="shared" si="29"/>
        <v>2</v>
      </c>
      <c r="G445" s="4">
        <f t="shared" si="27"/>
        <v>4.0000000000000002E-4</v>
      </c>
      <c r="H445" s="4">
        <f t="shared" si="30"/>
        <v>4</v>
      </c>
      <c r="I445" s="5">
        <f>SQRT(SUM('p-pi-multi'!$C$3:C445)/COUNTIF($A$3:A445,"&lt;&gt;0"))</f>
        <v>16.629680556012911</v>
      </c>
    </row>
    <row r="446" spans="1:9">
      <c r="A446">
        <v>444</v>
      </c>
      <c r="B446">
        <v>100</v>
      </c>
      <c r="C446">
        <v>99</v>
      </c>
      <c r="D446">
        <v>99</v>
      </c>
      <c r="E446" s="4">
        <f t="shared" si="28"/>
        <v>1</v>
      </c>
      <c r="F446" s="4">
        <f t="shared" si="29"/>
        <v>1</v>
      </c>
      <c r="G446" s="4">
        <f t="shared" si="27"/>
        <v>1E-4</v>
      </c>
      <c r="H446" s="4">
        <f t="shared" si="30"/>
        <v>1</v>
      </c>
      <c r="I446" s="5">
        <f>SQRT(SUM('p-pi-multi'!$C$3:C446)/COUNTIF($A$3:A446,"&lt;&gt;0"))</f>
        <v>16.61765315549691</v>
      </c>
    </row>
    <row r="447" spans="1:9">
      <c r="A447">
        <v>445</v>
      </c>
      <c r="B447">
        <v>100</v>
      </c>
      <c r="C447">
        <v>102</v>
      </c>
      <c r="D447">
        <v>99</v>
      </c>
      <c r="E447" s="4">
        <f t="shared" si="28"/>
        <v>1</v>
      </c>
      <c r="F447" s="4">
        <f t="shared" si="29"/>
        <v>2</v>
      </c>
      <c r="G447" s="4">
        <f t="shared" si="27"/>
        <v>4.0000000000000002E-4</v>
      </c>
      <c r="H447" s="4">
        <f t="shared" si="30"/>
        <v>4</v>
      </c>
      <c r="I447" s="5">
        <f>SQRT(SUM('p-pi-multi'!$C$3:C447)/COUNTIF($A$3:A447,"&lt;&gt;0"))</f>
        <v>16.605874146812486</v>
      </c>
    </row>
    <row r="448" spans="1:9">
      <c r="A448">
        <v>446</v>
      </c>
      <c r="B448">
        <v>100</v>
      </c>
      <c r="C448">
        <v>94</v>
      </c>
      <c r="D448">
        <v>98</v>
      </c>
      <c r="E448" s="4">
        <f t="shared" si="28"/>
        <v>1</v>
      </c>
      <c r="F448" s="4">
        <f t="shared" si="29"/>
        <v>6</v>
      </c>
      <c r="G448" s="4">
        <f t="shared" si="27"/>
        <v>3.5999999999999999E-3</v>
      </c>
      <c r="H448" s="4">
        <f t="shared" si="30"/>
        <v>36</v>
      </c>
      <c r="I448" s="5">
        <f>SQRT(SUM('p-pi-multi'!$C$3:C448)/COUNTIF($A$3:A448,"&lt;&gt;0"))</f>
        <v>16.593599176558623</v>
      </c>
    </row>
    <row r="449" spans="1:9">
      <c r="A449">
        <v>447</v>
      </c>
      <c r="B449">
        <v>100</v>
      </c>
      <c r="C449">
        <v>100</v>
      </c>
      <c r="D449">
        <v>101</v>
      </c>
      <c r="E449" s="4">
        <f t="shared" si="28"/>
        <v>1</v>
      </c>
      <c r="F449" s="4">
        <f t="shared" si="29"/>
        <v>0</v>
      </c>
      <c r="G449" s="4">
        <f t="shared" si="27"/>
        <v>0</v>
      </c>
      <c r="H449" s="4">
        <f t="shared" si="30"/>
        <v>0</v>
      </c>
      <c r="I449" s="5">
        <f>SQRT(SUM('p-pi-multi'!$C$3:C449)/COUNTIF($A$3:A449,"&lt;&gt;0"))</f>
        <v>16.581774852852558</v>
      </c>
    </row>
    <row r="450" spans="1:9">
      <c r="A450">
        <v>448</v>
      </c>
      <c r="B450">
        <v>100</v>
      </c>
      <c r="C450">
        <v>99</v>
      </c>
      <c r="D450">
        <v>99</v>
      </c>
      <c r="E450" s="4">
        <f t="shared" si="28"/>
        <v>1</v>
      </c>
      <c r="F450" s="4">
        <f t="shared" si="29"/>
        <v>1</v>
      </c>
      <c r="G450" s="4">
        <f t="shared" si="27"/>
        <v>1E-4</v>
      </c>
      <c r="H450" s="4">
        <f t="shared" si="30"/>
        <v>1</v>
      </c>
      <c r="I450" s="5">
        <f>SQRT(SUM('p-pi-multi'!$C$3:C450)/COUNTIF($A$3:A450,"&lt;&gt;0"))</f>
        <v>16.569927579805533</v>
      </c>
    </row>
    <row r="451" spans="1:9">
      <c r="A451">
        <v>449</v>
      </c>
      <c r="B451">
        <v>100</v>
      </c>
      <c r="C451">
        <v>99</v>
      </c>
      <c r="D451">
        <v>99</v>
      </c>
      <c r="E451" s="4">
        <f t="shared" si="28"/>
        <v>1</v>
      </c>
      <c r="F451" s="4">
        <f t="shared" si="29"/>
        <v>1</v>
      </c>
      <c r="G451" s="4">
        <f t="shared" si="27"/>
        <v>1E-4</v>
      </c>
      <c r="H451" s="4">
        <f t="shared" si="30"/>
        <v>1</v>
      </c>
      <c r="I451" s="5">
        <f>SQRT(SUM('p-pi-multi'!$C$3:C451)/COUNTIF($A$3:A451,"&lt;&gt;0"))</f>
        <v>16.55812465845392</v>
      </c>
    </row>
    <row r="452" spans="1:9">
      <c r="A452">
        <v>450</v>
      </c>
      <c r="B452">
        <v>100</v>
      </c>
      <c r="C452">
        <v>99</v>
      </c>
      <c r="D452">
        <v>99</v>
      </c>
      <c r="E452" s="4">
        <f t="shared" si="28"/>
        <v>1</v>
      </c>
      <c r="F452" s="4">
        <f t="shared" si="29"/>
        <v>1</v>
      </c>
      <c r="G452" s="4">
        <f t="shared" ref="G452:G515" si="31">POWER(ABS(B452-C452)/B452,2)</f>
        <v>1E-4</v>
      </c>
      <c r="H452" s="4">
        <f t="shared" si="30"/>
        <v>1</v>
      </c>
      <c r="I452" s="5">
        <f>SQRT(SUM('p-pi-multi'!$C$3:C452)/COUNTIF($A$3:A452,"&lt;&gt;0"))</f>
        <v>16.546365831270087</v>
      </c>
    </row>
    <row r="453" spans="1:9">
      <c r="A453">
        <v>451</v>
      </c>
      <c r="B453">
        <v>453</v>
      </c>
      <c r="C453">
        <v>99</v>
      </c>
      <c r="D453">
        <v>99</v>
      </c>
      <c r="E453" s="4">
        <f t="shared" si="28"/>
        <v>0</v>
      </c>
      <c r="F453" s="4">
        <f t="shared" si="29"/>
        <v>354</v>
      </c>
      <c r="G453" s="4">
        <f t="shared" si="31"/>
        <v>0.61067497039603524</v>
      </c>
      <c r="H453" s="4">
        <f t="shared" si="30"/>
        <v>125316</v>
      </c>
      <c r="I453" s="5">
        <f>SQRT(SUM('p-pi-multi'!$C$3:C453)/COUNTIF($A$3:A453,"&lt;&gt;0"))</f>
        <v>16.534650842767725</v>
      </c>
    </row>
    <row r="454" spans="1:9">
      <c r="A454">
        <v>452</v>
      </c>
      <c r="B454">
        <v>453</v>
      </c>
      <c r="C454">
        <v>205</v>
      </c>
      <c r="D454">
        <v>232</v>
      </c>
      <c r="E454" s="4">
        <f t="shared" si="28"/>
        <v>0</v>
      </c>
      <c r="F454" s="4">
        <f t="shared" si="29"/>
        <v>248</v>
      </c>
      <c r="G454" s="4">
        <f t="shared" si="31"/>
        <v>0.29971395016787766</v>
      </c>
      <c r="H454" s="4">
        <f t="shared" si="30"/>
        <v>61504</v>
      </c>
      <c r="I454" s="5">
        <f>SQRT(SUM('p-pi-multi'!$C$3:C454)/COUNTIF($A$3:A454,"&lt;&gt;0"))</f>
        <v>16.530074495653622</v>
      </c>
    </row>
    <row r="455" spans="1:9">
      <c r="A455">
        <v>453</v>
      </c>
      <c r="B455">
        <v>453</v>
      </c>
      <c r="C455">
        <v>221</v>
      </c>
      <c r="D455">
        <v>219</v>
      </c>
      <c r="E455" s="4">
        <f t="shared" si="28"/>
        <v>0</v>
      </c>
      <c r="F455" s="4">
        <f t="shared" si="29"/>
        <v>232</v>
      </c>
      <c r="G455" s="4">
        <f t="shared" si="31"/>
        <v>0.26228869104181585</v>
      </c>
      <c r="H455" s="4">
        <f t="shared" si="30"/>
        <v>53824</v>
      </c>
      <c r="I455" s="5">
        <f>SQRT(SUM('p-pi-multi'!$C$3:C455)/COUNTIF($A$3:A455,"&lt;&gt;0"))</f>
        <v>16.526585712726277</v>
      </c>
    </row>
    <row r="456" spans="1:9">
      <c r="A456">
        <v>454</v>
      </c>
      <c r="B456">
        <v>453</v>
      </c>
      <c r="C456">
        <v>248</v>
      </c>
      <c r="D456">
        <v>231</v>
      </c>
      <c r="E456" s="4">
        <f t="shared" si="28"/>
        <v>0</v>
      </c>
      <c r="F456" s="4">
        <f t="shared" si="29"/>
        <v>205</v>
      </c>
      <c r="G456" s="4">
        <f t="shared" si="31"/>
        <v>0.20479121286103436</v>
      </c>
      <c r="H456" s="4">
        <f t="shared" si="30"/>
        <v>42025</v>
      </c>
      <c r="I456" s="5">
        <f>SQRT(SUM('p-pi-multi'!$C$3:C456)/COUNTIF($A$3:A456,"&lt;&gt;0"))</f>
        <v>16.524911110946093</v>
      </c>
    </row>
    <row r="457" spans="1:9">
      <c r="A457">
        <v>455</v>
      </c>
      <c r="B457">
        <v>453</v>
      </c>
      <c r="C457">
        <v>258</v>
      </c>
      <c r="D457">
        <v>238</v>
      </c>
      <c r="E457" s="4">
        <f t="shared" si="28"/>
        <v>0</v>
      </c>
      <c r="F457" s="4">
        <f t="shared" si="29"/>
        <v>195</v>
      </c>
      <c r="G457" s="4">
        <f t="shared" si="31"/>
        <v>0.18529889039954386</v>
      </c>
      <c r="H457" s="4">
        <f t="shared" si="30"/>
        <v>38025</v>
      </c>
      <c r="I457" s="5">
        <f>SQRT(SUM('p-pi-multi'!$C$3:C457)/COUNTIF($A$3:A457,"&lt;&gt;0"))</f>
        <v>16.523908751852886</v>
      </c>
    </row>
    <row r="458" spans="1:9">
      <c r="A458">
        <v>456</v>
      </c>
      <c r="B458">
        <v>453</v>
      </c>
      <c r="C458">
        <v>247</v>
      </c>
      <c r="D458">
        <v>250</v>
      </c>
      <c r="E458" s="4">
        <f t="shared" si="28"/>
        <v>0</v>
      </c>
      <c r="F458" s="4">
        <f t="shared" si="29"/>
        <v>206</v>
      </c>
      <c r="G458" s="4">
        <f t="shared" si="31"/>
        <v>0.20679404899395251</v>
      </c>
      <c r="H458" s="4">
        <f t="shared" si="30"/>
        <v>42436</v>
      </c>
      <c r="I458" s="5">
        <f>SQRT(SUM('p-pi-multi'!$C$3:C458)/COUNTIF($A$3:A458,"&lt;&gt;0"))</f>
        <v>16.522180731984228</v>
      </c>
    </row>
    <row r="459" spans="1:9">
      <c r="A459">
        <v>457</v>
      </c>
      <c r="B459">
        <v>453</v>
      </c>
      <c r="C459">
        <v>319</v>
      </c>
      <c r="D459">
        <v>269</v>
      </c>
      <c r="E459" s="4">
        <f t="shared" si="28"/>
        <v>0</v>
      </c>
      <c r="F459" s="4">
        <f t="shared" si="29"/>
        <v>134</v>
      </c>
      <c r="G459" s="4">
        <f t="shared" si="31"/>
        <v>8.7501035529630775E-2</v>
      </c>
      <c r="H459" s="4">
        <f t="shared" si="30"/>
        <v>17956</v>
      </c>
      <c r="I459" s="5">
        <f>SQRT(SUM('p-pi-multi'!$C$3:C459)/COUNTIF($A$3:A459,"&lt;&gt;0"))</f>
        <v>16.525227713550052</v>
      </c>
    </row>
    <row r="460" spans="1:9">
      <c r="A460">
        <v>458</v>
      </c>
      <c r="B460">
        <v>453</v>
      </c>
      <c r="C460">
        <v>310</v>
      </c>
      <c r="D460">
        <v>257</v>
      </c>
      <c r="E460" s="4">
        <f t="shared" si="28"/>
        <v>0</v>
      </c>
      <c r="F460" s="4">
        <f t="shared" si="29"/>
        <v>143</v>
      </c>
      <c r="G460" s="4">
        <f t="shared" si="31"/>
        <v>9.964962550375471E-2</v>
      </c>
      <c r="H460" s="4">
        <f t="shared" si="30"/>
        <v>20449</v>
      </c>
      <c r="I460" s="5">
        <f>SQRT(SUM('p-pi-multi'!$C$3:C460)/COUNTIF($A$3:A460,"&lt;&gt;0"))</f>
        <v>16.527666364569299</v>
      </c>
    </row>
    <row r="461" spans="1:9">
      <c r="A461">
        <v>459</v>
      </c>
      <c r="B461">
        <v>453</v>
      </c>
      <c r="C461">
        <v>307</v>
      </c>
      <c r="D461">
        <v>270</v>
      </c>
      <c r="E461" s="4">
        <f t="shared" si="28"/>
        <v>0</v>
      </c>
      <c r="F461" s="4">
        <f t="shared" si="29"/>
        <v>146</v>
      </c>
      <c r="G461" s="4">
        <f t="shared" si="31"/>
        <v>0.10387458639728275</v>
      </c>
      <c r="H461" s="4">
        <f t="shared" si="30"/>
        <v>21316</v>
      </c>
      <c r="I461" s="5">
        <f>SQRT(SUM('p-pi-multi'!$C$3:C461)/COUNTIF($A$3:A461,"&lt;&gt;0"))</f>
        <v>16.529896332611543</v>
      </c>
    </row>
    <row r="462" spans="1:9">
      <c r="A462">
        <v>460</v>
      </c>
      <c r="B462">
        <v>453</v>
      </c>
      <c r="C462">
        <v>299</v>
      </c>
      <c r="D462">
        <v>282</v>
      </c>
      <c r="E462" s="4">
        <f t="shared" si="28"/>
        <v>0</v>
      </c>
      <c r="F462" s="4">
        <f t="shared" si="29"/>
        <v>154</v>
      </c>
      <c r="G462" s="4">
        <f t="shared" si="31"/>
        <v>0.11556997987417707</v>
      </c>
      <c r="H462" s="4">
        <f t="shared" si="30"/>
        <v>23716</v>
      </c>
      <c r="I462" s="5">
        <f>SQRT(SUM('p-pi-multi'!$C$3:C462)/COUNTIF($A$3:A462,"&lt;&gt;0"))</f>
        <v>16.531590312515899</v>
      </c>
    </row>
    <row r="463" spans="1:9">
      <c r="A463">
        <v>461</v>
      </c>
      <c r="B463">
        <v>453</v>
      </c>
      <c r="C463">
        <v>333</v>
      </c>
      <c r="D463">
        <v>296</v>
      </c>
      <c r="E463" s="4">
        <f t="shared" si="28"/>
        <v>0</v>
      </c>
      <c r="F463" s="4">
        <f t="shared" si="29"/>
        <v>120</v>
      </c>
      <c r="G463" s="4">
        <f t="shared" si="31"/>
        <v>7.0172360861365746E-2</v>
      </c>
      <c r="H463" s="4">
        <f t="shared" si="30"/>
        <v>14400</v>
      </c>
      <c r="I463" s="5">
        <f>SQRT(SUM('p-pi-multi'!$C$3:C463)/COUNTIF($A$3:A463,"&lt;&gt;0"))</f>
        <v>16.53550705277609</v>
      </c>
    </row>
    <row r="464" spans="1:9">
      <c r="A464">
        <v>462</v>
      </c>
      <c r="B464">
        <v>453</v>
      </c>
      <c r="C464">
        <v>354</v>
      </c>
      <c r="D464">
        <v>295</v>
      </c>
      <c r="E464" s="4">
        <f t="shared" si="28"/>
        <v>0</v>
      </c>
      <c r="F464" s="4">
        <f t="shared" si="29"/>
        <v>99</v>
      </c>
      <c r="G464" s="4">
        <f t="shared" si="31"/>
        <v>4.7761063111267051E-2</v>
      </c>
      <c r="H464" s="4">
        <f t="shared" si="30"/>
        <v>9801</v>
      </c>
      <c r="I464" s="5">
        <f>SQRT(SUM('p-pi-multi'!$C$3:C464)/COUNTIF($A$3:A464,"&lt;&gt;0"))</f>
        <v>16.54077998757624</v>
      </c>
    </row>
    <row r="465" spans="1:9">
      <c r="A465">
        <v>463</v>
      </c>
      <c r="B465">
        <v>453</v>
      </c>
      <c r="C465">
        <v>335</v>
      </c>
      <c r="D465">
        <v>296</v>
      </c>
      <c r="E465" s="4">
        <f t="shared" si="28"/>
        <v>0</v>
      </c>
      <c r="F465" s="4">
        <f t="shared" si="29"/>
        <v>118</v>
      </c>
      <c r="G465" s="4">
        <f t="shared" si="31"/>
        <v>6.7852774488448356E-2</v>
      </c>
      <c r="H465" s="4">
        <f t="shared" si="30"/>
        <v>13924</v>
      </c>
      <c r="I465" s="5">
        <f>SQRT(SUM('p-pi-multi'!$C$3:C465)/COUNTIF($A$3:A465,"&lt;&gt;0"))</f>
        <v>16.54478835157078</v>
      </c>
    </row>
    <row r="466" spans="1:9">
      <c r="A466">
        <v>464</v>
      </c>
      <c r="B466">
        <v>453</v>
      </c>
      <c r="C466">
        <v>327</v>
      </c>
      <c r="D466">
        <v>310</v>
      </c>
      <c r="E466" s="4">
        <f t="shared" si="28"/>
        <v>0</v>
      </c>
      <c r="F466" s="4">
        <f t="shared" si="29"/>
        <v>126</v>
      </c>
      <c r="G466" s="4">
        <f t="shared" si="31"/>
        <v>7.736502784965571E-2</v>
      </c>
      <c r="H466" s="4">
        <f t="shared" si="30"/>
        <v>15876</v>
      </c>
      <c r="I466" s="5">
        <f>SQRT(SUM('p-pi-multi'!$C$3:C466)/COUNTIF($A$3:A466,"&lt;&gt;0"))</f>
        <v>16.548257539276058</v>
      </c>
    </row>
    <row r="467" spans="1:9">
      <c r="A467">
        <v>465</v>
      </c>
      <c r="B467">
        <v>453</v>
      </c>
      <c r="C467">
        <v>379</v>
      </c>
      <c r="D467">
        <v>322</v>
      </c>
      <c r="E467" s="4">
        <f t="shared" si="28"/>
        <v>1</v>
      </c>
      <c r="F467" s="4">
        <f t="shared" si="29"/>
        <v>74</v>
      </c>
      <c r="G467" s="4">
        <f t="shared" si="31"/>
        <v>2.6684989449780469E-2</v>
      </c>
      <c r="H467" s="4">
        <f t="shared" si="30"/>
        <v>5476</v>
      </c>
      <c r="I467" s="5">
        <f>SQRT(SUM('p-pi-multi'!$C$3:C467)/COUNTIF($A$3:A467,"&lt;&gt;0"))</f>
        <v>16.555088877500339</v>
      </c>
    </row>
    <row r="468" spans="1:9">
      <c r="A468">
        <v>466</v>
      </c>
      <c r="B468">
        <v>453</v>
      </c>
      <c r="C468">
        <v>314</v>
      </c>
      <c r="D468">
        <v>312</v>
      </c>
      <c r="E468" s="4">
        <f t="shared" si="28"/>
        <v>0</v>
      </c>
      <c r="F468" s="4">
        <f t="shared" si="29"/>
        <v>139</v>
      </c>
      <c r="G468" s="4">
        <f t="shared" si="31"/>
        <v>9.4152790569614397E-2</v>
      </c>
      <c r="H468" s="4">
        <f t="shared" si="30"/>
        <v>19321</v>
      </c>
      <c r="I468" s="5">
        <f>SQRT(SUM('p-pi-multi'!$C$3:C468)/COUNTIF($A$3:A468,"&lt;&gt;0"))</f>
        <v>16.557676538709018</v>
      </c>
    </row>
    <row r="469" spans="1:9">
      <c r="A469">
        <v>467</v>
      </c>
      <c r="B469">
        <v>453</v>
      </c>
      <c r="C469">
        <v>382</v>
      </c>
      <c r="D469">
        <v>342</v>
      </c>
      <c r="E469" s="4">
        <f t="shared" si="28"/>
        <v>1</v>
      </c>
      <c r="F469" s="4">
        <f t="shared" si="29"/>
        <v>71</v>
      </c>
      <c r="G469" s="4">
        <f t="shared" si="31"/>
        <v>2.4565199382093377E-2</v>
      </c>
      <c r="H469" s="4">
        <f t="shared" si="30"/>
        <v>5041</v>
      </c>
      <c r="I469" s="5">
        <f>SQRT(SUM('p-pi-multi'!$C$3:C469)/COUNTIF($A$3:A469,"&lt;&gt;0"))</f>
        <v>16.564648511205601</v>
      </c>
    </row>
    <row r="470" spans="1:9">
      <c r="A470">
        <v>468</v>
      </c>
      <c r="B470">
        <v>453</v>
      </c>
      <c r="C470">
        <v>387</v>
      </c>
      <c r="D470">
        <v>327</v>
      </c>
      <c r="E470" s="4">
        <f t="shared" si="28"/>
        <v>1</v>
      </c>
      <c r="F470" s="4">
        <f t="shared" si="29"/>
        <v>66</v>
      </c>
      <c r="G470" s="4">
        <f t="shared" si="31"/>
        <v>2.1227139160563131E-2</v>
      </c>
      <c r="H470" s="4">
        <f t="shared" si="30"/>
        <v>4356</v>
      </c>
      <c r="I470" s="5">
        <f>SQRT(SUM('p-pi-multi'!$C$3:C470)/COUNTIF($A$3:A470,"&lt;&gt;0"))</f>
        <v>16.571910123103045</v>
      </c>
    </row>
    <row r="471" spans="1:9">
      <c r="A471">
        <v>469</v>
      </c>
      <c r="B471">
        <v>453</v>
      </c>
      <c r="C471">
        <v>350</v>
      </c>
      <c r="D471">
        <v>331</v>
      </c>
      <c r="E471" s="4">
        <f t="shared" si="28"/>
        <v>0</v>
      </c>
      <c r="F471" s="4">
        <f t="shared" si="29"/>
        <v>103</v>
      </c>
      <c r="G471" s="4">
        <f t="shared" si="31"/>
        <v>5.1698512248488128E-2</v>
      </c>
      <c r="H471" s="4">
        <f t="shared" si="30"/>
        <v>10609</v>
      </c>
      <c r="I471" s="5">
        <f>SQRT(SUM('p-pi-multi'!$C$3:C471)/COUNTIF($A$3:A471,"&lt;&gt;0"))</f>
        <v>16.576758204786525</v>
      </c>
    </row>
    <row r="472" spans="1:9">
      <c r="A472">
        <v>470</v>
      </c>
      <c r="B472">
        <v>453</v>
      </c>
      <c r="C472">
        <v>415</v>
      </c>
      <c r="D472">
        <v>349</v>
      </c>
      <c r="E472" s="4">
        <f t="shared" si="28"/>
        <v>1</v>
      </c>
      <c r="F472" s="4">
        <f t="shared" si="29"/>
        <v>38</v>
      </c>
      <c r="G472" s="4">
        <f t="shared" si="31"/>
        <v>7.0367284085980633E-3</v>
      </c>
      <c r="H472" s="4">
        <f t="shared" si="30"/>
        <v>1444</v>
      </c>
      <c r="I472" s="5">
        <f>SQRT(SUM('p-pi-multi'!$C$3:C472)/COUNTIF($A$3:A472,"&lt;&gt;0"))</f>
        <v>16.58575394857144</v>
      </c>
    </row>
    <row r="473" spans="1:9">
      <c r="A473">
        <v>471</v>
      </c>
      <c r="B473">
        <v>453</v>
      </c>
      <c r="C473">
        <v>396</v>
      </c>
      <c r="D473">
        <v>333</v>
      </c>
      <c r="E473" s="4">
        <f t="shared" ref="E473:E536" si="32">IF(AND(C473&lt;=B473*1.2,C473&gt;=B473*0.8),1,0)</f>
        <v>1</v>
      </c>
      <c r="F473" s="4">
        <f t="shared" ref="F473:F536" si="33">ABS(B473-C473)</f>
        <v>57</v>
      </c>
      <c r="G473" s="4">
        <f t="shared" si="31"/>
        <v>1.5832638919345644E-2</v>
      </c>
      <c r="H473" s="4">
        <f t="shared" ref="H473:H536" si="34">POWER(F473,2)</f>
        <v>3249</v>
      </c>
      <c r="I473" s="5">
        <f>SQRT(SUM('p-pi-multi'!$C$3:C473)/COUNTIF($A$3:A473,"&lt;&gt;0"))</f>
        <v>16.593491165049805</v>
      </c>
    </row>
    <row r="474" spans="1:9">
      <c r="A474">
        <v>472</v>
      </c>
      <c r="B474">
        <v>453</v>
      </c>
      <c r="C474">
        <v>381</v>
      </c>
      <c r="D474">
        <v>343</v>
      </c>
      <c r="E474" s="4">
        <f t="shared" si="32"/>
        <v>1</v>
      </c>
      <c r="F474" s="4">
        <f t="shared" si="33"/>
        <v>72</v>
      </c>
      <c r="G474" s="4">
        <f t="shared" si="31"/>
        <v>2.5262049910091663E-2</v>
      </c>
      <c r="H474" s="4">
        <f t="shared" si="34"/>
        <v>5184</v>
      </c>
      <c r="I474" s="5">
        <f>SQRT(SUM('p-pi-multi'!$C$3:C474)/COUNTIF($A$3:A474,"&lt;&gt;0"))</f>
        <v>16.600234835994623</v>
      </c>
    </row>
    <row r="475" spans="1:9">
      <c r="A475">
        <v>473</v>
      </c>
      <c r="B475">
        <v>453</v>
      </c>
      <c r="C475">
        <v>391</v>
      </c>
      <c r="D475">
        <v>353</v>
      </c>
      <c r="E475" s="4">
        <f t="shared" si="32"/>
        <v>1</v>
      </c>
      <c r="F475" s="4">
        <f t="shared" si="33"/>
        <v>62</v>
      </c>
      <c r="G475" s="4">
        <f t="shared" si="31"/>
        <v>1.8732121885492354E-2</v>
      </c>
      <c r="H475" s="4">
        <f t="shared" si="34"/>
        <v>3844</v>
      </c>
      <c r="I475" s="5">
        <f>SQRT(SUM('p-pi-multi'!$C$3:C475)/COUNTIF($A$3:A475,"&lt;&gt;0"))</f>
        <v>16.607583789445929</v>
      </c>
    </row>
    <row r="476" spans="1:9">
      <c r="A476">
        <v>474</v>
      </c>
      <c r="B476">
        <v>453</v>
      </c>
      <c r="C476">
        <v>414</v>
      </c>
      <c r="D476">
        <v>354</v>
      </c>
      <c r="E476" s="4">
        <f t="shared" si="32"/>
        <v>1</v>
      </c>
      <c r="F476" s="4">
        <f t="shared" si="33"/>
        <v>39</v>
      </c>
      <c r="G476" s="4">
        <f t="shared" si="31"/>
        <v>7.4119556159817548E-3</v>
      </c>
      <c r="H476" s="4">
        <f t="shared" si="34"/>
        <v>1521</v>
      </c>
      <c r="I476" s="5">
        <f>SQRT(SUM('p-pi-multi'!$C$3:C476)/COUNTIF($A$3:A476,"&lt;&gt;0"))</f>
        <v>16.616358672327284</v>
      </c>
    </row>
    <row r="477" spans="1:9">
      <c r="A477">
        <v>475</v>
      </c>
      <c r="B477">
        <v>453</v>
      </c>
      <c r="C477">
        <v>410</v>
      </c>
      <c r="D477">
        <v>350</v>
      </c>
      <c r="E477" s="4">
        <f t="shared" si="32"/>
        <v>1</v>
      </c>
      <c r="F477" s="4">
        <f t="shared" si="33"/>
        <v>43</v>
      </c>
      <c r="G477" s="4">
        <f t="shared" si="31"/>
        <v>9.0103260578239738E-3</v>
      </c>
      <c r="H477" s="4">
        <f t="shared" si="34"/>
        <v>1849</v>
      </c>
      <c r="I477" s="5">
        <f>SQRT(SUM('p-pi-multi'!$C$3:C477)/COUNTIF($A$3:A477,"&lt;&gt;0"))</f>
        <v>16.624838740808727</v>
      </c>
    </row>
    <row r="478" spans="1:9">
      <c r="A478">
        <v>476</v>
      </c>
      <c r="B478">
        <v>453</v>
      </c>
      <c r="C478">
        <v>414</v>
      </c>
      <c r="D478">
        <v>355</v>
      </c>
      <c r="E478" s="4">
        <f t="shared" si="32"/>
        <v>1</v>
      </c>
      <c r="F478" s="4">
        <f t="shared" si="33"/>
        <v>39</v>
      </c>
      <c r="G478" s="4">
        <f t="shared" si="31"/>
        <v>7.4119556159817548E-3</v>
      </c>
      <c r="H478" s="4">
        <f t="shared" si="34"/>
        <v>1521</v>
      </c>
      <c r="I478" s="5">
        <f>SQRT(SUM('p-pi-multi'!$C$3:C478)/COUNTIF($A$3:A478,"&lt;&gt;0"))</f>
        <v>16.633531487567492</v>
      </c>
    </row>
    <row r="479" spans="1:9">
      <c r="A479">
        <v>477</v>
      </c>
      <c r="B479">
        <v>453</v>
      </c>
      <c r="C479">
        <v>417</v>
      </c>
      <c r="D479">
        <v>357</v>
      </c>
      <c r="E479" s="4">
        <f t="shared" si="32"/>
        <v>1</v>
      </c>
      <c r="F479" s="4">
        <f t="shared" si="33"/>
        <v>36</v>
      </c>
      <c r="G479" s="4">
        <f t="shared" si="31"/>
        <v>6.3155124775229159E-3</v>
      </c>
      <c r="H479" s="4">
        <f t="shared" si="34"/>
        <v>1296</v>
      </c>
      <c r="I479" s="5">
        <f>SQRT(SUM('p-pi-multi'!$C$3:C479)/COUNTIF($A$3:A479,"&lt;&gt;0"))</f>
        <v>16.642372230518085</v>
      </c>
    </row>
    <row r="480" spans="1:9">
      <c r="A480">
        <v>478</v>
      </c>
      <c r="B480">
        <v>453</v>
      </c>
      <c r="C480">
        <v>357</v>
      </c>
      <c r="D480">
        <v>358</v>
      </c>
      <c r="E480" s="4">
        <f t="shared" si="32"/>
        <v>0</v>
      </c>
      <c r="F480" s="4">
        <f t="shared" si="33"/>
        <v>96</v>
      </c>
      <c r="G480" s="4">
        <f t="shared" si="31"/>
        <v>4.4910310951274068E-2</v>
      </c>
      <c r="H480" s="4">
        <f t="shared" si="34"/>
        <v>9216</v>
      </c>
      <c r="I480" s="5">
        <f>SQRT(SUM('p-pi-multi'!$C$3:C480)/COUNTIF($A$3:A480,"&lt;&gt;0"))</f>
        <v>16.647401697069675</v>
      </c>
    </row>
    <row r="481" spans="1:9">
      <c r="A481">
        <v>479</v>
      </c>
      <c r="B481">
        <v>453</v>
      </c>
      <c r="C481">
        <v>418</v>
      </c>
      <c r="D481">
        <v>383</v>
      </c>
      <c r="E481" s="4">
        <f t="shared" si="32"/>
        <v>1</v>
      </c>
      <c r="F481" s="4">
        <f t="shared" si="33"/>
        <v>35</v>
      </c>
      <c r="G481" s="4">
        <f t="shared" si="31"/>
        <v>5.9695237538314608E-3</v>
      </c>
      <c r="H481" s="4">
        <f t="shared" si="34"/>
        <v>1225</v>
      </c>
      <c r="I481" s="5">
        <f>SQRT(SUM('p-pi-multi'!$C$3:C481)/COUNTIF($A$3:A481,"&lt;&gt;0"))</f>
        <v>16.656231945745716</v>
      </c>
    </row>
    <row r="482" spans="1:9">
      <c r="A482">
        <v>480</v>
      </c>
      <c r="B482">
        <v>453</v>
      </c>
      <c r="C482">
        <v>428</v>
      </c>
      <c r="D482">
        <v>368</v>
      </c>
      <c r="E482" s="4">
        <f t="shared" si="32"/>
        <v>1</v>
      </c>
      <c r="F482" s="4">
        <f t="shared" si="33"/>
        <v>25</v>
      </c>
      <c r="G482" s="4">
        <f t="shared" si="31"/>
        <v>3.0456753846078871E-3</v>
      </c>
      <c r="H482" s="4">
        <f t="shared" si="34"/>
        <v>625</v>
      </c>
      <c r="I482" s="5">
        <f>SQRT(SUM('p-pi-multi'!$C$3:C482)/COUNTIF($A$3:A482,"&lt;&gt;0"))</f>
        <v>16.665645802068397</v>
      </c>
    </row>
    <row r="483" spans="1:9">
      <c r="A483">
        <v>481</v>
      </c>
      <c r="B483">
        <v>453</v>
      </c>
      <c r="C483">
        <v>387</v>
      </c>
      <c r="D483">
        <v>367</v>
      </c>
      <c r="E483" s="4">
        <f t="shared" si="32"/>
        <v>1</v>
      </c>
      <c r="F483" s="4">
        <f t="shared" si="33"/>
        <v>66</v>
      </c>
      <c r="G483" s="4">
        <f t="shared" si="31"/>
        <v>2.1227139160563131E-2</v>
      </c>
      <c r="H483" s="4">
        <f t="shared" si="34"/>
        <v>4356</v>
      </c>
      <c r="I483" s="5">
        <f>SQRT(SUM('p-pi-multi'!$C$3:C483)/COUNTIF($A$3:A483,"&lt;&gt;0"))</f>
        <v>16.672459145875692</v>
      </c>
    </row>
    <row r="484" spans="1:9">
      <c r="A484">
        <v>482</v>
      </c>
      <c r="B484">
        <v>453</v>
      </c>
      <c r="C484">
        <v>380</v>
      </c>
      <c r="D484">
        <v>384</v>
      </c>
      <c r="E484" s="4">
        <f t="shared" si="32"/>
        <v>1</v>
      </c>
      <c r="F484" s="4">
        <f t="shared" si="33"/>
        <v>73</v>
      </c>
      <c r="G484" s="4">
        <f t="shared" si="31"/>
        <v>2.5968646599320688E-2</v>
      </c>
      <c r="H484" s="4">
        <f t="shared" si="34"/>
        <v>5329</v>
      </c>
      <c r="I484" s="5">
        <f>SQRT(SUM('p-pi-multi'!$C$3:C484)/COUNTIF($A$3:A484,"&lt;&gt;0"))</f>
        <v>16.678806090788029</v>
      </c>
    </row>
    <row r="485" spans="1:9">
      <c r="A485">
        <v>483</v>
      </c>
      <c r="B485">
        <v>453</v>
      </c>
      <c r="C485">
        <v>409</v>
      </c>
      <c r="D485">
        <v>391</v>
      </c>
      <c r="E485" s="4">
        <f t="shared" si="32"/>
        <v>1</v>
      </c>
      <c r="F485" s="4">
        <f t="shared" si="33"/>
        <v>44</v>
      </c>
      <c r="G485" s="4">
        <f t="shared" si="31"/>
        <v>9.4342840713613919E-3</v>
      </c>
      <c r="H485" s="4">
        <f t="shared" si="34"/>
        <v>1936</v>
      </c>
      <c r="I485" s="5">
        <f>SQRT(SUM('p-pi-multi'!$C$3:C485)/COUNTIF($A$3:A485,"&lt;&gt;0"))</f>
        <v>16.686923507617223</v>
      </c>
    </row>
    <row r="486" spans="1:9">
      <c r="A486">
        <v>484</v>
      </c>
      <c r="B486">
        <v>453</v>
      </c>
      <c r="C486">
        <v>427</v>
      </c>
      <c r="D486">
        <v>386</v>
      </c>
      <c r="E486" s="4">
        <f t="shared" si="32"/>
        <v>1</v>
      </c>
      <c r="F486" s="4">
        <f t="shared" si="33"/>
        <v>26</v>
      </c>
      <c r="G486" s="4">
        <f t="shared" si="31"/>
        <v>3.2942024959918912E-3</v>
      </c>
      <c r="H486" s="4">
        <f t="shared" si="34"/>
        <v>676</v>
      </c>
      <c r="I486" s="5">
        <f>SQRT(SUM('p-pi-multi'!$C$3:C486)/COUNTIF($A$3:A486,"&lt;&gt;0"))</f>
        <v>16.696117230617197</v>
      </c>
    </row>
    <row r="487" spans="1:9">
      <c r="A487">
        <v>485</v>
      </c>
      <c r="B487">
        <v>453</v>
      </c>
      <c r="C487">
        <v>443</v>
      </c>
      <c r="D487">
        <v>383</v>
      </c>
      <c r="E487" s="4">
        <f t="shared" si="32"/>
        <v>1</v>
      </c>
      <c r="F487" s="4">
        <f t="shared" si="33"/>
        <v>10</v>
      </c>
      <c r="G487" s="4">
        <f t="shared" si="31"/>
        <v>4.8730806153726209E-4</v>
      </c>
      <c r="H487" s="4">
        <f t="shared" si="34"/>
        <v>100</v>
      </c>
      <c r="I487" s="5">
        <f>SQRT(SUM('p-pi-multi'!$C$3:C487)/COUNTIF($A$3:A487,"&lt;&gt;0"))</f>
        <v>16.70625538749378</v>
      </c>
    </row>
    <row r="488" spans="1:9">
      <c r="A488">
        <v>486</v>
      </c>
      <c r="B488">
        <v>453</v>
      </c>
      <c r="C488">
        <v>418</v>
      </c>
      <c r="D488">
        <v>378</v>
      </c>
      <c r="E488" s="4">
        <f t="shared" si="32"/>
        <v>1</v>
      </c>
      <c r="F488" s="4">
        <f t="shared" si="33"/>
        <v>35</v>
      </c>
      <c r="G488" s="4">
        <f t="shared" si="31"/>
        <v>5.9695237538314608E-3</v>
      </c>
      <c r="H488" s="4">
        <f t="shared" si="34"/>
        <v>1225</v>
      </c>
      <c r="I488" s="5">
        <f>SQRT(SUM('p-pi-multi'!$C$3:C488)/COUNTIF($A$3:A488,"&lt;&gt;0"))</f>
        <v>16.71480701840591</v>
      </c>
    </row>
    <row r="489" spans="1:9">
      <c r="A489">
        <v>487</v>
      </c>
      <c r="B489">
        <v>453</v>
      </c>
      <c r="C489">
        <v>409</v>
      </c>
      <c r="D489">
        <v>389</v>
      </c>
      <c r="E489" s="4">
        <f t="shared" si="32"/>
        <v>1</v>
      </c>
      <c r="F489" s="4">
        <f t="shared" si="33"/>
        <v>44</v>
      </c>
      <c r="G489" s="4">
        <f t="shared" si="31"/>
        <v>9.4342840713613919E-3</v>
      </c>
      <c r="H489" s="4">
        <f t="shared" si="34"/>
        <v>1936</v>
      </c>
      <c r="I489" s="5">
        <f>SQRT(SUM('p-pi-multi'!$C$3:C489)/COUNTIF($A$3:A489,"&lt;&gt;0"))</f>
        <v>16.722766637869483</v>
      </c>
    </row>
    <row r="490" spans="1:9">
      <c r="A490">
        <v>488</v>
      </c>
      <c r="B490">
        <v>453</v>
      </c>
      <c r="C490">
        <v>415</v>
      </c>
      <c r="D490">
        <v>395</v>
      </c>
      <c r="E490" s="4">
        <f t="shared" si="32"/>
        <v>1</v>
      </c>
      <c r="F490" s="4">
        <f t="shared" si="33"/>
        <v>38</v>
      </c>
      <c r="G490" s="4">
        <f t="shared" si="31"/>
        <v>7.0367284085980633E-3</v>
      </c>
      <c r="H490" s="4">
        <f t="shared" si="34"/>
        <v>1444</v>
      </c>
      <c r="I490" s="5">
        <f>SQRT(SUM('p-pi-multi'!$C$3:C490)/COUNTIF($A$3:A490,"&lt;&gt;0"))</f>
        <v>16.731057309343143</v>
      </c>
    </row>
    <row r="491" spans="1:9">
      <c r="A491">
        <v>489</v>
      </c>
      <c r="B491">
        <v>453</v>
      </c>
      <c r="C491">
        <v>395</v>
      </c>
      <c r="D491">
        <v>396</v>
      </c>
      <c r="E491" s="4">
        <f t="shared" si="32"/>
        <v>1</v>
      </c>
      <c r="F491" s="4">
        <f t="shared" si="33"/>
        <v>58</v>
      </c>
      <c r="G491" s="4">
        <f t="shared" si="31"/>
        <v>1.639304319011349E-2</v>
      </c>
      <c r="H491" s="4">
        <f t="shared" si="34"/>
        <v>3364</v>
      </c>
      <c r="I491" s="5">
        <f>SQRT(SUM('p-pi-multi'!$C$3:C491)/COUNTIF($A$3:A491,"&lt;&gt;0"))</f>
        <v>16.738088277399068</v>
      </c>
    </row>
    <row r="492" spans="1:9">
      <c r="A492">
        <v>490</v>
      </c>
      <c r="B492">
        <v>453</v>
      </c>
      <c r="C492">
        <v>404</v>
      </c>
      <c r="D492">
        <v>406</v>
      </c>
      <c r="E492" s="4">
        <f t="shared" si="32"/>
        <v>1</v>
      </c>
      <c r="F492" s="4">
        <f t="shared" si="33"/>
        <v>49</v>
      </c>
      <c r="G492" s="4">
        <f t="shared" si="31"/>
        <v>1.1700266557509661E-2</v>
      </c>
      <c r="H492" s="4">
        <f t="shared" si="34"/>
        <v>2401</v>
      </c>
      <c r="I492" s="5">
        <f>SQRT(SUM('p-pi-multi'!$C$3:C492)/COUNTIF($A$3:A492,"&lt;&gt;0"))</f>
        <v>16.745636044373239</v>
      </c>
    </row>
    <row r="493" spans="1:9">
      <c r="A493">
        <v>491</v>
      </c>
      <c r="B493">
        <v>453</v>
      </c>
      <c r="C493">
        <v>426</v>
      </c>
      <c r="D493">
        <v>407</v>
      </c>
      <c r="E493" s="4">
        <f t="shared" si="32"/>
        <v>1</v>
      </c>
      <c r="F493" s="4">
        <f t="shared" si="33"/>
        <v>27</v>
      </c>
      <c r="G493" s="4">
        <f t="shared" si="31"/>
        <v>3.55247576860664E-3</v>
      </c>
      <c r="H493" s="4">
        <f t="shared" si="34"/>
        <v>729</v>
      </c>
      <c r="I493" s="5">
        <f>SQRT(SUM('p-pi-multi'!$C$3:C493)/COUNTIF($A$3:A493,"&lt;&gt;0"))</f>
        <v>16.754486890299869</v>
      </c>
    </row>
    <row r="494" spans="1:9">
      <c r="A494">
        <v>492</v>
      </c>
      <c r="B494">
        <v>453</v>
      </c>
      <c r="C494">
        <v>403</v>
      </c>
      <c r="D494">
        <v>402</v>
      </c>
      <c r="E494" s="4">
        <f t="shared" si="32"/>
        <v>1</v>
      </c>
      <c r="F494" s="4">
        <f t="shared" si="33"/>
        <v>50</v>
      </c>
      <c r="G494" s="4">
        <f t="shared" si="31"/>
        <v>1.2182701538431548E-2</v>
      </c>
      <c r="H494" s="4">
        <f t="shared" si="34"/>
        <v>2500</v>
      </c>
      <c r="I494" s="5">
        <f>SQRT(SUM('p-pi-multi'!$C$3:C494)/COUNTIF($A$3:A494,"&lt;&gt;0"))</f>
        <v>16.761902699688395</v>
      </c>
    </row>
    <row r="495" spans="1:9">
      <c r="A495">
        <v>493</v>
      </c>
      <c r="B495">
        <v>453</v>
      </c>
      <c r="C495">
        <v>493</v>
      </c>
      <c r="D495">
        <v>413</v>
      </c>
      <c r="E495" s="4">
        <f t="shared" si="32"/>
        <v>1</v>
      </c>
      <c r="F495" s="4">
        <f t="shared" si="33"/>
        <v>40</v>
      </c>
      <c r="G495" s="4">
        <f t="shared" si="31"/>
        <v>7.7969289845961935E-3</v>
      </c>
      <c r="H495" s="4">
        <f t="shared" si="34"/>
        <v>1600</v>
      </c>
      <c r="I495" s="5">
        <f>SQRT(SUM('p-pi-multi'!$C$3:C495)/COUNTIF($A$3:A495,"&lt;&gt;0"))</f>
        <v>16.774727441309533</v>
      </c>
    </row>
    <row r="496" spans="1:9">
      <c r="A496">
        <v>494</v>
      </c>
      <c r="B496">
        <v>453</v>
      </c>
      <c r="C496">
        <v>389</v>
      </c>
      <c r="D496">
        <v>383</v>
      </c>
      <c r="E496" s="4">
        <f t="shared" si="32"/>
        <v>1</v>
      </c>
      <c r="F496" s="4">
        <f t="shared" si="33"/>
        <v>64</v>
      </c>
      <c r="G496" s="4">
        <f t="shared" si="31"/>
        <v>1.9960138200566253E-2</v>
      </c>
      <c r="H496" s="4">
        <f t="shared" si="34"/>
        <v>4096</v>
      </c>
      <c r="I496" s="5">
        <f>SQRT(SUM('p-pi-multi'!$C$3:C496)/COUNTIF($A$3:A496,"&lt;&gt;0"))</f>
        <v>16.781219018321963</v>
      </c>
    </row>
    <row r="497" spans="1:9">
      <c r="A497">
        <v>495</v>
      </c>
      <c r="B497">
        <v>453</v>
      </c>
      <c r="C497">
        <v>451</v>
      </c>
      <c r="D497">
        <v>419</v>
      </c>
      <c r="E497" s="4">
        <f t="shared" si="32"/>
        <v>1</v>
      </c>
      <c r="F497" s="4">
        <f t="shared" si="33"/>
        <v>2</v>
      </c>
      <c r="G497" s="4">
        <f t="shared" si="31"/>
        <v>1.9492322461490482E-5</v>
      </c>
      <c r="H497" s="4">
        <f t="shared" si="34"/>
        <v>4</v>
      </c>
      <c r="I497" s="5">
        <f>SQRT(SUM('p-pi-multi'!$C$3:C497)/COUNTIF($A$3:A497,"&lt;&gt;0"))</f>
        <v>16.791411946334804</v>
      </c>
    </row>
    <row r="498" spans="1:9">
      <c r="A498">
        <v>496</v>
      </c>
      <c r="B498">
        <v>453</v>
      </c>
      <c r="C498">
        <v>440</v>
      </c>
      <c r="D498">
        <v>400</v>
      </c>
      <c r="E498" s="4">
        <f t="shared" si="32"/>
        <v>1</v>
      </c>
      <c r="F498" s="4">
        <f t="shared" si="33"/>
        <v>13</v>
      </c>
      <c r="G498" s="4">
        <f t="shared" si="31"/>
        <v>8.235506239979728E-4</v>
      </c>
      <c r="H498" s="4">
        <f t="shared" si="34"/>
        <v>169</v>
      </c>
      <c r="I498" s="5">
        <f>SQRT(SUM('p-pi-multi'!$C$3:C498)/COUNTIF($A$3:A498,"&lt;&gt;0"))</f>
        <v>16.800897633469546</v>
      </c>
    </row>
    <row r="499" spans="1:9">
      <c r="A499">
        <v>497</v>
      </c>
      <c r="B499">
        <v>453</v>
      </c>
      <c r="C499">
        <v>404</v>
      </c>
      <c r="D499">
        <v>405</v>
      </c>
      <c r="E499" s="4">
        <f t="shared" si="32"/>
        <v>1</v>
      </c>
      <c r="F499" s="4">
        <f t="shared" si="33"/>
        <v>49</v>
      </c>
      <c r="G499" s="4">
        <f t="shared" si="31"/>
        <v>1.1700266557509661E-2</v>
      </c>
      <c r="H499" s="4">
        <f t="shared" si="34"/>
        <v>2401</v>
      </c>
      <c r="I499" s="5">
        <f>SQRT(SUM('p-pi-multi'!$C$3:C499)/COUNTIF($A$3:A499,"&lt;&gt;0"))</f>
        <v>16.808185224564237</v>
      </c>
    </row>
    <row r="500" spans="1:9">
      <c r="A500">
        <v>498</v>
      </c>
      <c r="B500">
        <v>453</v>
      </c>
      <c r="C500">
        <v>456</v>
      </c>
      <c r="D500">
        <v>419</v>
      </c>
      <c r="E500" s="4">
        <f t="shared" si="32"/>
        <v>1</v>
      </c>
      <c r="F500" s="4">
        <f t="shared" si="33"/>
        <v>3</v>
      </c>
      <c r="G500" s="4">
        <f t="shared" si="31"/>
        <v>4.3857725538353582E-5</v>
      </c>
      <c r="H500" s="4">
        <f t="shared" si="34"/>
        <v>9</v>
      </c>
      <c r="I500" s="5">
        <f>SQRT(SUM('p-pi-multi'!$C$3:C500)/COUNTIF($A$3:A500,"&lt;&gt;0"))</f>
        <v>16.818544937516474</v>
      </c>
    </row>
    <row r="501" spans="1:9">
      <c r="A501">
        <v>499</v>
      </c>
      <c r="B501">
        <v>453</v>
      </c>
      <c r="C501">
        <v>466</v>
      </c>
      <c r="D501">
        <v>403</v>
      </c>
      <c r="E501" s="4">
        <f t="shared" si="32"/>
        <v>1</v>
      </c>
      <c r="F501" s="4">
        <f t="shared" si="33"/>
        <v>13</v>
      </c>
      <c r="G501" s="4">
        <f t="shared" si="31"/>
        <v>8.235506239979728E-4</v>
      </c>
      <c r="H501" s="4">
        <f t="shared" si="34"/>
        <v>169</v>
      </c>
      <c r="I501" s="5">
        <f>SQRT(SUM('p-pi-multi'!$C$3:C501)/COUNTIF($A$3:A501,"&lt;&gt;0"))</f>
        <v>16.829452187217612</v>
      </c>
    </row>
    <row r="502" spans="1:9">
      <c r="A502">
        <v>500</v>
      </c>
      <c r="B502">
        <v>453</v>
      </c>
      <c r="C502">
        <v>419</v>
      </c>
      <c r="D502">
        <v>399</v>
      </c>
      <c r="E502" s="4">
        <f t="shared" si="32"/>
        <v>1</v>
      </c>
      <c r="F502" s="4">
        <f t="shared" si="33"/>
        <v>34</v>
      </c>
      <c r="G502" s="4">
        <f t="shared" si="31"/>
        <v>5.6332811913707478E-3</v>
      </c>
      <c r="H502" s="4">
        <f t="shared" si="34"/>
        <v>1156</v>
      </c>
      <c r="I502" s="5">
        <f>SQRT(SUM('p-pi-multi'!$C$3:C502)/COUNTIF($A$3:A502,"&lt;&gt;0"))</f>
        <v>16.837517631765081</v>
      </c>
    </row>
    <row r="503" spans="1:9">
      <c r="A503">
        <v>501</v>
      </c>
      <c r="B503">
        <v>453</v>
      </c>
      <c r="C503">
        <v>476</v>
      </c>
      <c r="D503">
        <v>416</v>
      </c>
      <c r="E503" s="4">
        <f t="shared" si="32"/>
        <v>1</v>
      </c>
      <c r="F503" s="4">
        <f t="shared" si="33"/>
        <v>23</v>
      </c>
      <c r="G503" s="4">
        <f t="shared" si="31"/>
        <v>2.5778596455321161E-3</v>
      </c>
      <c r="H503" s="4">
        <f t="shared" si="34"/>
        <v>529</v>
      </c>
      <c r="I503" s="5">
        <f>SQRT(SUM('p-pi-multi'!$C$3:C503)/COUNTIF($A$3:A503,"&lt;&gt;0"))</f>
        <v>16.848923631642176</v>
      </c>
    </row>
    <row r="504" spans="1:9">
      <c r="A504">
        <v>502</v>
      </c>
      <c r="B504">
        <v>453</v>
      </c>
      <c r="C504">
        <v>420</v>
      </c>
      <c r="D504">
        <v>397</v>
      </c>
      <c r="E504" s="4">
        <f t="shared" si="32"/>
        <v>1</v>
      </c>
      <c r="F504" s="4">
        <f t="shared" si="33"/>
        <v>33</v>
      </c>
      <c r="G504" s="4">
        <f t="shared" si="31"/>
        <v>5.3067847901407828E-3</v>
      </c>
      <c r="H504" s="4">
        <f t="shared" si="34"/>
        <v>1089</v>
      </c>
      <c r="I504" s="5">
        <f>SQRT(SUM('p-pi-multi'!$C$3:C504)/COUNTIF($A$3:A504,"&lt;&gt;0"))</f>
        <v>16.856968010823547</v>
      </c>
    </row>
    <row r="505" spans="1:9">
      <c r="A505">
        <v>503</v>
      </c>
      <c r="B505">
        <v>453</v>
      </c>
      <c r="C505">
        <v>472</v>
      </c>
      <c r="D505">
        <v>416</v>
      </c>
      <c r="E505" s="4">
        <f t="shared" si="32"/>
        <v>1</v>
      </c>
      <c r="F505" s="4">
        <f t="shared" si="33"/>
        <v>19</v>
      </c>
      <c r="G505" s="4">
        <f t="shared" si="31"/>
        <v>1.7591821021495158E-3</v>
      </c>
      <c r="H505" s="4">
        <f t="shared" si="34"/>
        <v>361</v>
      </c>
      <c r="I505" s="5">
        <f>SQRT(SUM('p-pi-multi'!$C$3:C505)/COUNTIF($A$3:A505,"&lt;&gt;0"))</f>
        <v>16.868041235109189</v>
      </c>
    </row>
    <row r="506" spans="1:9">
      <c r="A506">
        <v>504</v>
      </c>
      <c r="B506">
        <v>453</v>
      </c>
      <c r="C506">
        <v>422</v>
      </c>
      <c r="D506">
        <v>399</v>
      </c>
      <c r="E506" s="4">
        <f t="shared" si="32"/>
        <v>1</v>
      </c>
      <c r="F506" s="4">
        <f t="shared" si="33"/>
        <v>31</v>
      </c>
      <c r="G506" s="4">
        <f t="shared" si="31"/>
        <v>4.6830304713730885E-3</v>
      </c>
      <c r="H506" s="4">
        <f t="shared" si="34"/>
        <v>961</v>
      </c>
      <c r="I506" s="5">
        <f>SQRT(SUM('p-pi-multi'!$C$3:C506)/COUNTIF($A$3:A506,"&lt;&gt;0"))</f>
        <v>16.876124301170915</v>
      </c>
    </row>
    <row r="507" spans="1:9">
      <c r="A507">
        <v>505</v>
      </c>
      <c r="B507">
        <v>453</v>
      </c>
      <c r="C507">
        <v>476</v>
      </c>
      <c r="D507">
        <v>416</v>
      </c>
      <c r="E507" s="4">
        <f t="shared" si="32"/>
        <v>1</v>
      </c>
      <c r="F507" s="4">
        <f t="shared" si="33"/>
        <v>23</v>
      </c>
      <c r="G507" s="4">
        <f t="shared" si="31"/>
        <v>2.5778596455321161E-3</v>
      </c>
      <c r="H507" s="4">
        <f t="shared" si="34"/>
        <v>529</v>
      </c>
      <c r="I507" s="5">
        <f>SQRT(SUM('p-pi-multi'!$C$3:C507)/COUNTIF($A$3:A507,"&lt;&gt;0"))</f>
        <v>16.887337807298749</v>
      </c>
    </row>
    <row r="508" spans="1:9">
      <c r="A508">
        <v>506</v>
      </c>
      <c r="B508">
        <v>453</v>
      </c>
      <c r="C508">
        <v>482</v>
      </c>
      <c r="D508">
        <v>399</v>
      </c>
      <c r="E508" s="4">
        <f t="shared" si="32"/>
        <v>1</v>
      </c>
      <c r="F508" s="4">
        <f t="shared" si="33"/>
        <v>29</v>
      </c>
      <c r="G508" s="4">
        <f t="shared" si="31"/>
        <v>4.0982607975283726E-3</v>
      </c>
      <c r="H508" s="4">
        <f t="shared" si="34"/>
        <v>841</v>
      </c>
      <c r="I508" s="5">
        <f>SQRT(SUM('p-pi-multi'!$C$3:C508)/COUNTIF($A$3:A508,"&lt;&gt;0"))</f>
        <v>16.898850441525877</v>
      </c>
    </row>
    <row r="509" spans="1:9">
      <c r="A509">
        <v>507</v>
      </c>
      <c r="B509">
        <v>453</v>
      </c>
      <c r="C509">
        <v>395</v>
      </c>
      <c r="D509">
        <v>395</v>
      </c>
      <c r="E509" s="4">
        <f t="shared" si="32"/>
        <v>1</v>
      </c>
      <c r="F509" s="4">
        <f t="shared" si="33"/>
        <v>58</v>
      </c>
      <c r="G509" s="4">
        <f t="shared" si="31"/>
        <v>1.639304319011349E-2</v>
      </c>
      <c r="H509" s="4">
        <f t="shared" si="34"/>
        <v>3364</v>
      </c>
      <c r="I509" s="5">
        <f>SQRT(SUM('p-pi-multi'!$C$3:C509)/COUNTIF($A$3:A509,"&lt;&gt;0"))</f>
        <v>16.905235350284855</v>
      </c>
    </row>
    <row r="510" spans="1:9">
      <c r="A510">
        <v>508</v>
      </c>
      <c r="B510">
        <v>453</v>
      </c>
      <c r="C510">
        <v>459</v>
      </c>
      <c r="D510">
        <v>425</v>
      </c>
      <c r="E510" s="4">
        <f t="shared" si="32"/>
        <v>1</v>
      </c>
      <c r="F510" s="4">
        <f t="shared" si="33"/>
        <v>6</v>
      </c>
      <c r="G510" s="4">
        <f t="shared" si="31"/>
        <v>1.7543090215341433E-4</v>
      </c>
      <c r="H510" s="4">
        <f t="shared" si="34"/>
        <v>36</v>
      </c>
      <c r="I510" s="5">
        <f>SQRT(SUM('p-pi-multi'!$C$3:C510)/COUNTIF($A$3:A510,"&lt;&gt;0"))</f>
        <v>16.915317104798998</v>
      </c>
    </row>
    <row r="511" spans="1:9">
      <c r="A511">
        <v>509</v>
      </c>
      <c r="B511">
        <v>453</v>
      </c>
      <c r="C511">
        <v>465</v>
      </c>
      <c r="D511">
        <v>405</v>
      </c>
      <c r="E511" s="4">
        <f t="shared" si="32"/>
        <v>1</v>
      </c>
      <c r="F511" s="4">
        <f t="shared" si="33"/>
        <v>12</v>
      </c>
      <c r="G511" s="4">
        <f t="shared" si="31"/>
        <v>7.0172360861365732E-4</v>
      </c>
      <c r="H511" s="4">
        <f t="shared" si="34"/>
        <v>144</v>
      </c>
      <c r="I511" s="5">
        <f>SQRT(SUM('p-pi-multi'!$C$3:C511)/COUNTIF($A$3:A511,"&lt;&gt;0"))</f>
        <v>16.925701501453535</v>
      </c>
    </row>
    <row r="512" spans="1:9">
      <c r="A512">
        <v>510</v>
      </c>
      <c r="B512">
        <v>453</v>
      </c>
      <c r="C512">
        <v>483</v>
      </c>
      <c r="D512">
        <v>403</v>
      </c>
      <c r="E512" s="4">
        <f t="shared" si="32"/>
        <v>1</v>
      </c>
      <c r="F512" s="4">
        <f t="shared" si="33"/>
        <v>30</v>
      </c>
      <c r="G512" s="4">
        <f t="shared" si="31"/>
        <v>4.3857725538353591E-3</v>
      </c>
      <c r="H512" s="4">
        <f t="shared" si="34"/>
        <v>900</v>
      </c>
      <c r="I512" s="5">
        <f>SQRT(SUM('p-pi-multi'!$C$3:C512)/COUNTIF($A$3:A512,"&lt;&gt;0"))</f>
        <v>16.937080795767404</v>
      </c>
    </row>
    <row r="513" spans="1:9">
      <c r="A513">
        <v>511</v>
      </c>
      <c r="B513">
        <v>453</v>
      </c>
      <c r="C513">
        <v>436</v>
      </c>
      <c r="D513">
        <v>395</v>
      </c>
      <c r="E513" s="4">
        <f t="shared" si="32"/>
        <v>1</v>
      </c>
      <c r="F513" s="4">
        <f t="shared" si="33"/>
        <v>17</v>
      </c>
      <c r="G513" s="4">
        <f t="shared" si="31"/>
        <v>1.4083202978426869E-3</v>
      </c>
      <c r="H513" s="4">
        <f t="shared" si="34"/>
        <v>289</v>
      </c>
      <c r="I513" s="5">
        <f>SQRT(SUM('p-pi-multi'!$C$3:C513)/COUNTIF($A$3:A513,"&lt;&gt;0"))</f>
        <v>16.945694313689071</v>
      </c>
    </row>
    <row r="514" spans="1:9">
      <c r="A514">
        <v>512</v>
      </c>
      <c r="B514">
        <v>453</v>
      </c>
      <c r="C514">
        <v>470</v>
      </c>
      <c r="D514">
        <v>410</v>
      </c>
      <c r="E514" s="4">
        <f t="shared" si="32"/>
        <v>1</v>
      </c>
      <c r="F514" s="4">
        <f t="shared" si="33"/>
        <v>17</v>
      </c>
      <c r="G514" s="4">
        <f t="shared" si="31"/>
        <v>1.4083202978426869E-3</v>
      </c>
      <c r="H514" s="4">
        <f t="shared" si="34"/>
        <v>289</v>
      </c>
      <c r="I514" s="5">
        <f>SQRT(SUM('p-pi-multi'!$C$3:C514)/COUNTIF($A$3:A514,"&lt;&gt;0"))</f>
        <v>16.956228114619122</v>
      </c>
    </row>
    <row r="515" spans="1:9">
      <c r="A515">
        <v>513</v>
      </c>
      <c r="B515">
        <v>453</v>
      </c>
      <c r="C515">
        <v>441</v>
      </c>
      <c r="D515">
        <v>399</v>
      </c>
      <c r="E515" s="4">
        <f t="shared" si="32"/>
        <v>1</v>
      </c>
      <c r="F515" s="4">
        <f t="shared" si="33"/>
        <v>12</v>
      </c>
      <c r="G515" s="4">
        <f t="shared" si="31"/>
        <v>7.0172360861365732E-4</v>
      </c>
      <c r="H515" s="4">
        <f t="shared" si="34"/>
        <v>144</v>
      </c>
      <c r="I515" s="5">
        <f>SQRT(SUM('p-pi-multi'!$C$3:C515)/COUNTIF($A$3:A515,"&lt;&gt;0"))</f>
        <v>16.965048349388102</v>
      </c>
    </row>
    <row r="516" spans="1:9">
      <c r="A516">
        <v>514</v>
      </c>
      <c r="B516">
        <v>453</v>
      </c>
      <c r="C516">
        <v>406</v>
      </c>
      <c r="D516">
        <v>408</v>
      </c>
      <c r="E516" s="4">
        <f t="shared" si="32"/>
        <v>1</v>
      </c>
      <c r="F516" s="4">
        <f t="shared" si="33"/>
        <v>47</v>
      </c>
      <c r="G516" s="4">
        <f t="shared" ref="G516:G579" si="35">POWER(ABS(B516-C516)/B516,2)</f>
        <v>1.0764635079358119E-2</v>
      </c>
      <c r="H516" s="4">
        <f t="shared" si="34"/>
        <v>2209</v>
      </c>
      <c r="I516" s="5">
        <f>SQRT(SUM('p-pi-multi'!$C$3:C516)/COUNTIF($A$3:A516,"&lt;&gt;0"))</f>
        <v>16.971823754576885</v>
      </c>
    </row>
    <row r="517" spans="1:9">
      <c r="A517">
        <v>515</v>
      </c>
      <c r="B517">
        <v>453</v>
      </c>
      <c r="C517">
        <v>459</v>
      </c>
      <c r="D517">
        <v>422</v>
      </c>
      <c r="E517" s="4">
        <f t="shared" si="32"/>
        <v>1</v>
      </c>
      <c r="F517" s="4">
        <f t="shared" si="33"/>
        <v>6</v>
      </c>
      <c r="G517" s="4">
        <f t="shared" si="35"/>
        <v>1.7543090215341433E-4</v>
      </c>
      <c r="H517" s="4">
        <f t="shared" si="34"/>
        <v>36</v>
      </c>
      <c r="I517" s="5">
        <f>SQRT(SUM('p-pi-multi'!$C$3:C517)/COUNTIF($A$3:A517,"&lt;&gt;0"))</f>
        <v>16.981600551230542</v>
      </c>
    </row>
    <row r="518" spans="1:9">
      <c r="A518">
        <v>516</v>
      </c>
      <c r="B518">
        <v>453</v>
      </c>
      <c r="C518">
        <v>429</v>
      </c>
      <c r="D518">
        <v>406</v>
      </c>
      <c r="E518" s="4">
        <f t="shared" si="32"/>
        <v>1</v>
      </c>
      <c r="F518" s="4">
        <f t="shared" si="33"/>
        <v>24</v>
      </c>
      <c r="G518" s="4">
        <f t="shared" si="35"/>
        <v>2.8068944344546293E-3</v>
      </c>
      <c r="H518" s="4">
        <f t="shared" si="34"/>
        <v>576</v>
      </c>
      <c r="I518" s="5">
        <f>SQRT(SUM('p-pi-multi'!$C$3:C518)/COUNTIF($A$3:A518,"&lt;&gt;0"))</f>
        <v>16.989622915818511</v>
      </c>
    </row>
    <row r="519" spans="1:9">
      <c r="A519">
        <v>517</v>
      </c>
      <c r="B519">
        <v>453</v>
      </c>
      <c r="C519">
        <v>477</v>
      </c>
      <c r="D519">
        <v>417</v>
      </c>
      <c r="E519" s="4">
        <f t="shared" si="32"/>
        <v>1</v>
      </c>
      <c r="F519" s="4">
        <f t="shared" si="33"/>
        <v>24</v>
      </c>
      <c r="G519" s="4">
        <f t="shared" si="35"/>
        <v>2.8068944344546293E-3</v>
      </c>
      <c r="H519" s="4">
        <f t="shared" si="34"/>
        <v>576</v>
      </c>
      <c r="I519" s="5">
        <f>SQRT(SUM('p-pi-multi'!$C$3:C519)/COUNTIF($A$3:A519,"&lt;&gt;0"))</f>
        <v>17.00034133233391</v>
      </c>
    </row>
    <row r="520" spans="1:9">
      <c r="A520">
        <v>518</v>
      </c>
      <c r="B520">
        <v>453</v>
      </c>
      <c r="C520">
        <v>444</v>
      </c>
      <c r="D520">
        <v>401</v>
      </c>
      <c r="E520" s="4">
        <f t="shared" si="32"/>
        <v>1</v>
      </c>
      <c r="F520" s="4">
        <f t="shared" si="33"/>
        <v>9</v>
      </c>
      <c r="G520" s="4">
        <f t="shared" si="35"/>
        <v>3.9471952984518224E-4</v>
      </c>
      <c r="H520" s="4">
        <f t="shared" si="34"/>
        <v>81</v>
      </c>
      <c r="I520" s="5">
        <f>SQRT(SUM('p-pi-multi'!$C$3:C520)/COUNTIF($A$3:A520,"&lt;&gt;0"))</f>
        <v>17.009139037905793</v>
      </c>
    </row>
    <row r="521" spans="1:9">
      <c r="A521">
        <v>519</v>
      </c>
      <c r="B521">
        <v>453</v>
      </c>
      <c r="C521">
        <v>429</v>
      </c>
      <c r="D521">
        <v>411</v>
      </c>
      <c r="E521" s="4">
        <f t="shared" si="32"/>
        <v>1</v>
      </c>
      <c r="F521" s="4">
        <f t="shared" si="33"/>
        <v>24</v>
      </c>
      <c r="G521" s="4">
        <f t="shared" si="35"/>
        <v>2.8068944344546293E-3</v>
      </c>
      <c r="H521" s="4">
        <f t="shared" si="34"/>
        <v>576</v>
      </c>
      <c r="I521" s="5">
        <f>SQRT(SUM('p-pi-multi'!$C$3:C521)/COUNTIF($A$3:A521,"&lt;&gt;0"))</f>
        <v>17.017049140916136</v>
      </c>
    </row>
    <row r="522" spans="1:9">
      <c r="A522">
        <v>520</v>
      </c>
      <c r="B522">
        <v>453</v>
      </c>
      <c r="C522">
        <v>498</v>
      </c>
      <c r="D522">
        <v>418</v>
      </c>
      <c r="E522" s="4">
        <f t="shared" si="32"/>
        <v>1</v>
      </c>
      <c r="F522" s="4">
        <f t="shared" si="33"/>
        <v>45</v>
      </c>
      <c r="G522" s="4">
        <f t="shared" si="35"/>
        <v>9.8679882461295537E-3</v>
      </c>
      <c r="H522" s="4">
        <f t="shared" si="34"/>
        <v>2025</v>
      </c>
      <c r="I522" s="5">
        <f>SQRT(SUM('p-pi-multi'!$C$3:C522)/COUNTIF($A$3:A522,"&lt;&gt;0"))</f>
        <v>17.028821721738979</v>
      </c>
    </row>
    <row r="523" spans="1:9">
      <c r="A523">
        <v>521</v>
      </c>
      <c r="B523">
        <v>453</v>
      </c>
      <c r="C523">
        <v>413</v>
      </c>
      <c r="D523">
        <v>393</v>
      </c>
      <c r="E523" s="4">
        <f t="shared" si="32"/>
        <v>1</v>
      </c>
      <c r="F523" s="4">
        <f t="shared" si="33"/>
        <v>40</v>
      </c>
      <c r="G523" s="4">
        <f t="shared" si="35"/>
        <v>7.7969289845961935E-3</v>
      </c>
      <c r="H523" s="4">
        <f t="shared" si="34"/>
        <v>1600</v>
      </c>
      <c r="I523" s="5">
        <f>SQRT(SUM('p-pi-multi'!$C$3:C523)/COUNTIF($A$3:A523,"&lt;&gt;0"))</f>
        <v>17.035753302833708</v>
      </c>
    </row>
    <row r="524" spans="1:9">
      <c r="A524">
        <v>522</v>
      </c>
      <c r="B524">
        <v>453</v>
      </c>
      <c r="C524">
        <v>416</v>
      </c>
      <c r="D524">
        <v>422</v>
      </c>
      <c r="E524" s="4">
        <f t="shared" si="32"/>
        <v>1</v>
      </c>
      <c r="F524" s="4">
        <f t="shared" si="33"/>
        <v>37</v>
      </c>
      <c r="G524" s="4">
        <f t="shared" si="35"/>
        <v>6.6712473624451173E-3</v>
      </c>
      <c r="H524" s="4">
        <f t="shared" si="34"/>
        <v>1369</v>
      </c>
      <c r="I524" s="5">
        <f>SQRT(SUM('p-pi-multi'!$C$3:C524)/COUNTIF($A$3:A524,"&lt;&gt;0"))</f>
        <v>17.042824132347615</v>
      </c>
    </row>
    <row r="525" spans="1:9">
      <c r="A525">
        <v>523</v>
      </c>
      <c r="B525">
        <v>453</v>
      </c>
      <c r="C525">
        <v>483</v>
      </c>
      <c r="D525">
        <v>424</v>
      </c>
      <c r="E525" s="4">
        <f t="shared" si="32"/>
        <v>1</v>
      </c>
      <c r="F525" s="4">
        <f t="shared" si="33"/>
        <v>30</v>
      </c>
      <c r="G525" s="4">
        <f t="shared" si="35"/>
        <v>4.3857725538353591E-3</v>
      </c>
      <c r="H525" s="4">
        <f t="shared" si="34"/>
        <v>900</v>
      </c>
      <c r="I525" s="5">
        <f>SQRT(SUM('p-pi-multi'!$C$3:C525)/COUNTIF($A$3:A525,"&lt;&gt;0"))</f>
        <v>17.053621428426627</v>
      </c>
    </row>
    <row r="526" spans="1:9">
      <c r="A526">
        <v>524</v>
      </c>
      <c r="B526">
        <v>453</v>
      </c>
      <c r="C526">
        <v>405</v>
      </c>
      <c r="D526">
        <v>401</v>
      </c>
      <c r="E526" s="4">
        <f t="shared" si="32"/>
        <v>1</v>
      </c>
      <c r="F526" s="4">
        <f t="shared" si="33"/>
        <v>48</v>
      </c>
      <c r="G526" s="4">
        <f t="shared" si="35"/>
        <v>1.1227577737818517E-2</v>
      </c>
      <c r="H526" s="4">
        <f t="shared" si="34"/>
        <v>2304</v>
      </c>
      <c r="I526" s="5">
        <f>SQRT(SUM('p-pi-multi'!$C$3:C526)/COUNTIF($A$3:A526,"&lt;&gt;0"))</f>
        <v>17.060008591140011</v>
      </c>
    </row>
    <row r="527" spans="1:9">
      <c r="A527">
        <v>525</v>
      </c>
      <c r="B527">
        <v>453</v>
      </c>
      <c r="C527">
        <v>462</v>
      </c>
      <c r="D527">
        <v>428</v>
      </c>
      <c r="E527" s="4">
        <f t="shared" si="32"/>
        <v>1</v>
      </c>
      <c r="F527" s="4">
        <f t="shared" si="33"/>
        <v>9</v>
      </c>
      <c r="G527" s="4">
        <f t="shared" si="35"/>
        <v>3.9471952984518224E-4</v>
      </c>
      <c r="H527" s="4">
        <f t="shared" si="34"/>
        <v>81</v>
      </c>
      <c r="I527" s="5">
        <f>SQRT(SUM('p-pi-multi'!$C$3:C527)/COUNTIF($A$3:A527,"&lt;&gt;0"))</f>
        <v>17.069549607693926</v>
      </c>
    </row>
    <row r="528" spans="1:9">
      <c r="A528">
        <v>526</v>
      </c>
      <c r="B528">
        <v>453</v>
      </c>
      <c r="C528">
        <v>450</v>
      </c>
      <c r="D528">
        <v>410</v>
      </c>
      <c r="E528" s="4">
        <f t="shared" si="32"/>
        <v>1</v>
      </c>
      <c r="F528" s="4">
        <f t="shared" si="33"/>
        <v>3</v>
      </c>
      <c r="G528" s="4">
        <f t="shared" si="35"/>
        <v>4.3857725538353582E-5</v>
      </c>
      <c r="H528" s="4">
        <f t="shared" si="34"/>
        <v>9</v>
      </c>
      <c r="I528" s="5">
        <f>SQRT(SUM('p-pi-multi'!$C$3:C528)/COUNTIF($A$3:A528,"&lt;&gt;0"))</f>
        <v>17.078381148738803</v>
      </c>
    </row>
    <row r="529" spans="1:9">
      <c r="A529">
        <v>527</v>
      </c>
      <c r="B529">
        <v>453</v>
      </c>
      <c r="C529">
        <v>433</v>
      </c>
      <c r="D529">
        <v>414</v>
      </c>
      <c r="E529" s="4">
        <f t="shared" si="32"/>
        <v>1</v>
      </c>
      <c r="F529" s="4">
        <f t="shared" si="33"/>
        <v>20</v>
      </c>
      <c r="G529" s="4">
        <f t="shared" si="35"/>
        <v>1.9492322461490484E-3</v>
      </c>
      <c r="H529" s="4">
        <f t="shared" si="34"/>
        <v>400</v>
      </c>
      <c r="I529" s="5">
        <f>SQRT(SUM('p-pi-multi'!$C$3:C529)/COUNTIF($A$3:A529,"&lt;&gt;0"))</f>
        <v>17.086230682551999</v>
      </c>
    </row>
    <row r="530" spans="1:9">
      <c r="A530">
        <v>528</v>
      </c>
      <c r="B530">
        <v>453</v>
      </c>
      <c r="C530">
        <v>499</v>
      </c>
      <c r="D530">
        <v>421</v>
      </c>
      <c r="E530" s="4">
        <f t="shared" si="32"/>
        <v>1</v>
      </c>
      <c r="F530" s="4">
        <f t="shared" si="33"/>
        <v>46</v>
      </c>
      <c r="G530" s="4">
        <f t="shared" si="35"/>
        <v>1.0311438582128464E-2</v>
      </c>
      <c r="H530" s="4">
        <f t="shared" si="34"/>
        <v>2116</v>
      </c>
      <c r="I530" s="5">
        <f>SQRT(SUM('p-pi-multi'!$C$3:C530)/COUNTIF($A$3:A530,"&lt;&gt;0"))</f>
        <v>17.097702751947097</v>
      </c>
    </row>
    <row r="531" spans="1:9">
      <c r="A531">
        <v>529</v>
      </c>
      <c r="B531">
        <v>453</v>
      </c>
      <c r="C531">
        <v>458</v>
      </c>
      <c r="D531">
        <v>398</v>
      </c>
      <c r="E531" s="4">
        <f t="shared" si="32"/>
        <v>1</v>
      </c>
      <c r="F531" s="4">
        <f t="shared" si="33"/>
        <v>5</v>
      </c>
      <c r="G531" s="4">
        <f t="shared" si="35"/>
        <v>1.2182701538431552E-4</v>
      </c>
      <c r="H531" s="4">
        <f t="shared" si="34"/>
        <v>25</v>
      </c>
      <c r="I531" s="5">
        <f>SQRT(SUM('p-pi-multi'!$C$3:C531)/COUNTIF($A$3:A531,"&lt;&gt;0"))</f>
        <v>17.106858638463418</v>
      </c>
    </row>
    <row r="532" spans="1:9">
      <c r="A532">
        <v>530</v>
      </c>
      <c r="B532">
        <v>453</v>
      </c>
      <c r="C532">
        <v>467</v>
      </c>
      <c r="D532">
        <v>410</v>
      </c>
      <c r="E532" s="4">
        <f t="shared" si="32"/>
        <v>1</v>
      </c>
      <c r="F532" s="4">
        <f t="shared" si="33"/>
        <v>14</v>
      </c>
      <c r="G532" s="4">
        <f t="shared" si="35"/>
        <v>9.5512380061303366E-4</v>
      </c>
      <c r="H532" s="4">
        <f t="shared" si="34"/>
        <v>196</v>
      </c>
      <c r="I532" s="5">
        <f>SQRT(SUM('p-pi-multi'!$C$3:C532)/COUNTIF($A$3:A532,"&lt;&gt;0"))</f>
        <v>17.116471158088061</v>
      </c>
    </row>
    <row r="533" spans="1:9">
      <c r="A533">
        <v>531</v>
      </c>
      <c r="B533">
        <v>453</v>
      </c>
      <c r="C533">
        <v>486</v>
      </c>
      <c r="D533">
        <v>406</v>
      </c>
      <c r="E533" s="4">
        <f t="shared" si="32"/>
        <v>1</v>
      </c>
      <c r="F533" s="4">
        <f t="shared" si="33"/>
        <v>33</v>
      </c>
      <c r="G533" s="4">
        <f t="shared" si="35"/>
        <v>5.3067847901407828E-3</v>
      </c>
      <c r="H533" s="4">
        <f t="shared" si="34"/>
        <v>1089</v>
      </c>
      <c r="I533" s="5">
        <f>SQRT(SUM('p-pi-multi'!$C$3:C533)/COUNTIF($A$3:A533,"&lt;&gt;0"))</f>
        <v>17.127086728678524</v>
      </c>
    </row>
    <row r="534" spans="1:9">
      <c r="A534">
        <v>532</v>
      </c>
      <c r="B534">
        <v>453</v>
      </c>
      <c r="C534">
        <v>438</v>
      </c>
      <c r="D534">
        <v>398</v>
      </c>
      <c r="E534" s="4">
        <f t="shared" si="32"/>
        <v>1</v>
      </c>
      <c r="F534" s="4">
        <f t="shared" si="33"/>
        <v>15</v>
      </c>
      <c r="G534" s="4">
        <f t="shared" si="35"/>
        <v>1.0964431384588398E-3</v>
      </c>
      <c r="H534" s="4">
        <f t="shared" si="34"/>
        <v>225</v>
      </c>
      <c r="I534" s="5">
        <f>SQRT(SUM('p-pi-multi'!$C$3:C534)/COUNTIF($A$3:A534,"&lt;&gt;0"))</f>
        <v>17.135023272712267</v>
      </c>
    </row>
    <row r="535" spans="1:9">
      <c r="A535">
        <v>533</v>
      </c>
      <c r="B535">
        <v>453</v>
      </c>
      <c r="C535">
        <v>433</v>
      </c>
      <c r="D535">
        <v>413</v>
      </c>
      <c r="E535" s="4">
        <f t="shared" si="32"/>
        <v>1</v>
      </c>
      <c r="F535" s="4">
        <f t="shared" si="33"/>
        <v>20</v>
      </c>
      <c r="G535" s="4">
        <f t="shared" si="35"/>
        <v>1.9492322461490484E-3</v>
      </c>
      <c r="H535" s="4">
        <f t="shared" si="34"/>
        <v>400</v>
      </c>
      <c r="I535" s="5">
        <f>SQRT(SUM('p-pi-multi'!$C$3:C535)/COUNTIF($A$3:A535,"&lt;&gt;0"))</f>
        <v>17.142652772837007</v>
      </c>
    </row>
    <row r="536" spans="1:9">
      <c r="A536">
        <v>534</v>
      </c>
      <c r="B536">
        <v>453</v>
      </c>
      <c r="C536">
        <v>475</v>
      </c>
      <c r="D536">
        <v>416</v>
      </c>
      <c r="E536" s="4">
        <f t="shared" si="32"/>
        <v>1</v>
      </c>
      <c r="F536" s="4">
        <f t="shared" si="33"/>
        <v>22</v>
      </c>
      <c r="G536" s="4">
        <f t="shared" si="35"/>
        <v>2.358571017840348E-3</v>
      </c>
      <c r="H536" s="4">
        <f t="shared" si="34"/>
        <v>484</v>
      </c>
      <c r="I536" s="5">
        <f>SQRT(SUM('p-pi-multi'!$C$3:C536)/COUNTIF($A$3:A536,"&lt;&gt;0"))</f>
        <v>17.152543188335525</v>
      </c>
    </row>
    <row r="537" spans="1:9">
      <c r="A537">
        <v>535</v>
      </c>
      <c r="B537">
        <v>453</v>
      </c>
      <c r="C537">
        <v>482</v>
      </c>
      <c r="D537">
        <v>402</v>
      </c>
      <c r="E537" s="4">
        <f t="shared" ref="E537:E600" si="36">IF(AND(C537&lt;=B537*1.2,C537&gt;=B537*0.8),1,0)</f>
        <v>1</v>
      </c>
      <c r="F537" s="4">
        <f t="shared" ref="F537:F600" si="37">ABS(B537-C537)</f>
        <v>29</v>
      </c>
      <c r="G537" s="4">
        <f t="shared" si="35"/>
        <v>4.0982607975283726E-3</v>
      </c>
      <c r="H537" s="4">
        <f t="shared" ref="H537:H600" si="38">POWER(F537,2)</f>
        <v>841</v>
      </c>
      <c r="I537" s="5">
        <f>SQRT(SUM('p-pi-multi'!$C$3:C537)/COUNTIF($A$3:A537,"&lt;&gt;0"))</f>
        <v>17.162772143903542</v>
      </c>
    </row>
    <row r="538" spans="1:9">
      <c r="A538">
        <v>536</v>
      </c>
      <c r="B538">
        <v>453</v>
      </c>
      <c r="C538">
        <v>418</v>
      </c>
      <c r="D538">
        <v>398</v>
      </c>
      <c r="E538" s="4">
        <f t="shared" si="36"/>
        <v>1</v>
      </c>
      <c r="F538" s="4">
        <f t="shared" si="37"/>
        <v>35</v>
      </c>
      <c r="G538" s="4">
        <f t="shared" si="35"/>
        <v>5.9695237538314608E-3</v>
      </c>
      <c r="H538" s="4">
        <f t="shared" si="38"/>
        <v>1225</v>
      </c>
      <c r="I538" s="5">
        <f>SQRT(SUM('p-pi-multi'!$C$3:C538)/COUNTIF($A$3:A538,"&lt;&gt;0"))</f>
        <v>17.169480038024432</v>
      </c>
    </row>
    <row r="539" spans="1:9">
      <c r="A539">
        <v>537</v>
      </c>
      <c r="B539">
        <v>453</v>
      </c>
      <c r="C539">
        <v>474</v>
      </c>
      <c r="D539">
        <v>419</v>
      </c>
      <c r="E539" s="4">
        <f t="shared" si="36"/>
        <v>1</v>
      </c>
      <c r="F539" s="4">
        <f t="shared" si="37"/>
        <v>21</v>
      </c>
      <c r="G539" s="4">
        <f t="shared" si="35"/>
        <v>2.1490285513793258E-3</v>
      </c>
      <c r="H539" s="4">
        <f t="shared" si="38"/>
        <v>441</v>
      </c>
      <c r="I539" s="5">
        <f>SQRT(SUM('p-pi-multi'!$C$3:C539)/COUNTIF($A$3:A539,"&lt;&gt;0"))</f>
        <v>17.179195767710603</v>
      </c>
    </row>
    <row r="540" spans="1:9">
      <c r="A540">
        <v>538</v>
      </c>
      <c r="B540">
        <v>453</v>
      </c>
      <c r="C540">
        <v>461</v>
      </c>
      <c r="D540">
        <v>401</v>
      </c>
      <c r="E540" s="4">
        <f t="shared" si="36"/>
        <v>1</v>
      </c>
      <c r="F540" s="4">
        <f t="shared" si="37"/>
        <v>8</v>
      </c>
      <c r="G540" s="4">
        <f t="shared" si="35"/>
        <v>3.1187715938384771E-4</v>
      </c>
      <c r="H540" s="4">
        <f t="shared" si="38"/>
        <v>64</v>
      </c>
      <c r="I540" s="5">
        <f>SQRT(SUM('p-pi-multi'!$C$3:C540)/COUNTIF($A$3:A540,"&lt;&gt;0"))</f>
        <v>17.18816701983835</v>
      </c>
    </row>
    <row r="541" spans="1:9">
      <c r="A541">
        <v>539</v>
      </c>
      <c r="B541">
        <v>453</v>
      </c>
      <c r="C541">
        <v>464</v>
      </c>
      <c r="D541">
        <v>404</v>
      </c>
      <c r="E541" s="4">
        <f t="shared" si="36"/>
        <v>1</v>
      </c>
      <c r="F541" s="4">
        <f t="shared" si="37"/>
        <v>11</v>
      </c>
      <c r="G541" s="4">
        <f t="shared" si="35"/>
        <v>5.8964275446008699E-4</v>
      </c>
      <c r="H541" s="4">
        <f t="shared" si="38"/>
        <v>121</v>
      </c>
      <c r="I541" s="5">
        <f>SQRT(SUM('p-pi-multi'!$C$3:C541)/COUNTIF($A$3:A541,"&lt;&gt;0"))</f>
        <v>17.197262154278178</v>
      </c>
    </row>
    <row r="542" spans="1:9">
      <c r="A542">
        <v>540</v>
      </c>
      <c r="B542">
        <v>453</v>
      </c>
      <c r="C542">
        <v>483</v>
      </c>
      <c r="D542">
        <v>403</v>
      </c>
      <c r="E542" s="4">
        <f t="shared" si="36"/>
        <v>1</v>
      </c>
      <c r="F542" s="4">
        <f t="shared" si="37"/>
        <v>30</v>
      </c>
      <c r="G542" s="4">
        <f t="shared" si="35"/>
        <v>4.3857725538353591E-3</v>
      </c>
      <c r="H542" s="4">
        <f t="shared" si="38"/>
        <v>900</v>
      </c>
      <c r="I542" s="5">
        <f>SQRT(SUM('p-pi-multi'!$C$3:C542)/COUNTIF($A$3:A542,"&lt;&gt;0"))</f>
        <v>17.207341241243302</v>
      </c>
    </row>
    <row r="543" spans="1:9">
      <c r="A543">
        <v>541</v>
      </c>
      <c r="B543">
        <v>453</v>
      </c>
      <c r="C543">
        <v>396</v>
      </c>
      <c r="D543">
        <v>395</v>
      </c>
      <c r="E543" s="4">
        <f t="shared" si="36"/>
        <v>1</v>
      </c>
      <c r="F543" s="4">
        <f t="shared" si="37"/>
        <v>57</v>
      </c>
      <c r="G543" s="4">
        <f t="shared" si="35"/>
        <v>1.5832638919345644E-2</v>
      </c>
      <c r="H543" s="4">
        <f t="shared" si="38"/>
        <v>3249</v>
      </c>
      <c r="I543" s="5">
        <f>SQRT(SUM('p-pi-multi'!$C$3:C543)/COUNTIF($A$3:A543,"&lt;&gt;0"))</f>
        <v>17.212706478799998</v>
      </c>
    </row>
    <row r="544" spans="1:9">
      <c r="A544">
        <v>542</v>
      </c>
      <c r="B544">
        <v>453</v>
      </c>
      <c r="C544">
        <v>439</v>
      </c>
      <c r="D544">
        <v>425</v>
      </c>
      <c r="E544" s="4">
        <f t="shared" si="36"/>
        <v>1</v>
      </c>
      <c r="F544" s="4">
        <f t="shared" si="37"/>
        <v>14</v>
      </c>
      <c r="G544" s="4">
        <f t="shared" si="35"/>
        <v>9.5512380061303366E-4</v>
      </c>
      <c r="H544" s="4">
        <f t="shared" si="38"/>
        <v>196</v>
      </c>
      <c r="I544" s="5">
        <f>SQRT(SUM('p-pi-multi'!$C$3:C544)/COUNTIF($A$3:A544,"&lt;&gt;0"))</f>
        <v>17.220353957044672</v>
      </c>
    </row>
    <row r="545" spans="1:9">
      <c r="A545">
        <v>543</v>
      </c>
      <c r="B545">
        <v>453</v>
      </c>
      <c r="C545">
        <v>435</v>
      </c>
      <c r="D545">
        <v>413</v>
      </c>
      <c r="E545" s="4">
        <f t="shared" si="36"/>
        <v>1</v>
      </c>
      <c r="F545" s="4">
        <f t="shared" si="37"/>
        <v>18</v>
      </c>
      <c r="G545" s="4">
        <f t="shared" si="35"/>
        <v>1.578878119380729E-3</v>
      </c>
      <c r="H545" s="4">
        <f t="shared" si="38"/>
        <v>324</v>
      </c>
      <c r="I545" s="5">
        <f>SQRT(SUM('p-pi-multi'!$C$3:C545)/COUNTIF($A$3:A545,"&lt;&gt;0"))</f>
        <v>17.227756096209895</v>
      </c>
    </row>
    <row r="546" spans="1:9">
      <c r="A546">
        <v>544</v>
      </c>
      <c r="B546">
        <v>453</v>
      </c>
      <c r="C546">
        <v>456</v>
      </c>
      <c r="D546">
        <v>416</v>
      </c>
      <c r="E546" s="4">
        <f t="shared" si="36"/>
        <v>1</v>
      </c>
      <c r="F546" s="4">
        <f t="shared" si="37"/>
        <v>3</v>
      </c>
      <c r="G546" s="4">
        <f t="shared" si="35"/>
        <v>4.3857725538353582E-5</v>
      </c>
      <c r="H546" s="4">
        <f t="shared" si="38"/>
        <v>9</v>
      </c>
      <c r="I546" s="5">
        <f>SQRT(SUM('p-pi-multi'!$C$3:C546)/COUNTIF($A$3:A546,"&lt;&gt;0"))</f>
        <v>17.236247715036985</v>
      </c>
    </row>
    <row r="547" spans="1:9">
      <c r="A547">
        <v>545</v>
      </c>
      <c r="B547">
        <v>453</v>
      </c>
      <c r="C547">
        <v>450</v>
      </c>
      <c r="D547">
        <v>409</v>
      </c>
      <c r="E547" s="4">
        <f t="shared" si="36"/>
        <v>1</v>
      </c>
      <c r="F547" s="4">
        <f t="shared" si="37"/>
        <v>3</v>
      </c>
      <c r="G547" s="4">
        <f t="shared" si="35"/>
        <v>4.3857725538353582E-5</v>
      </c>
      <c r="H547" s="4">
        <f t="shared" si="38"/>
        <v>9</v>
      </c>
      <c r="I547" s="5">
        <f>SQRT(SUM('p-pi-multi'!$C$3:C547)/COUNTIF($A$3:A547,"&lt;&gt;0"))</f>
        <v>17.244384806059319</v>
      </c>
    </row>
    <row r="548" spans="1:9">
      <c r="A548">
        <v>546</v>
      </c>
      <c r="B548">
        <v>453</v>
      </c>
      <c r="C548">
        <v>471</v>
      </c>
      <c r="D548">
        <v>411</v>
      </c>
      <c r="E548" s="4">
        <f t="shared" si="36"/>
        <v>1</v>
      </c>
      <c r="F548" s="4">
        <f t="shared" si="37"/>
        <v>18</v>
      </c>
      <c r="G548" s="4">
        <f t="shared" si="35"/>
        <v>1.578878119380729E-3</v>
      </c>
      <c r="H548" s="4">
        <f t="shared" si="38"/>
        <v>324</v>
      </c>
      <c r="I548" s="5">
        <f>SQRT(SUM('p-pi-multi'!$C$3:C548)/COUNTIF($A$3:A548,"&lt;&gt;0"))</f>
        <v>17.253602904518615</v>
      </c>
    </row>
    <row r="549" spans="1:9">
      <c r="A549">
        <v>547</v>
      </c>
      <c r="B549">
        <v>453</v>
      </c>
      <c r="C549">
        <v>463</v>
      </c>
      <c r="D549">
        <v>403</v>
      </c>
      <c r="E549" s="4">
        <f t="shared" si="36"/>
        <v>1</v>
      </c>
      <c r="F549" s="4">
        <f t="shared" si="37"/>
        <v>10</v>
      </c>
      <c r="G549" s="4">
        <f t="shared" si="35"/>
        <v>4.8730806153726209E-4</v>
      </c>
      <c r="H549" s="4">
        <f t="shared" si="38"/>
        <v>100</v>
      </c>
      <c r="I549" s="5">
        <f>SQRT(SUM('p-pi-multi'!$C$3:C549)/COUNTIF($A$3:A549,"&lt;&gt;0"))</f>
        <v>17.262358792430732</v>
      </c>
    </row>
    <row r="550" spans="1:9">
      <c r="A550">
        <v>548</v>
      </c>
      <c r="B550">
        <v>453</v>
      </c>
      <c r="C550">
        <v>425</v>
      </c>
      <c r="D550">
        <v>405</v>
      </c>
      <c r="E550" s="4">
        <f t="shared" si="36"/>
        <v>1</v>
      </c>
      <c r="F550" s="4">
        <f t="shared" si="37"/>
        <v>28</v>
      </c>
      <c r="G550" s="4">
        <f t="shared" si="35"/>
        <v>3.8204952024521346E-3</v>
      </c>
      <c r="H550" s="4">
        <f t="shared" si="38"/>
        <v>784</v>
      </c>
      <c r="I550" s="5">
        <f>SQRT(SUM('p-pi-multi'!$C$3:C550)/COUNTIF($A$3:A550,"&lt;&gt;0"))</f>
        <v>17.269070702261544</v>
      </c>
    </row>
    <row r="551" spans="1:9">
      <c r="A551">
        <v>549</v>
      </c>
      <c r="B551">
        <v>453</v>
      </c>
      <c r="C551">
        <v>459</v>
      </c>
      <c r="D551">
        <v>419</v>
      </c>
      <c r="E551" s="4">
        <f t="shared" si="36"/>
        <v>1</v>
      </c>
      <c r="F551" s="4">
        <f t="shared" si="37"/>
        <v>6</v>
      </c>
      <c r="G551" s="4">
        <f t="shared" si="35"/>
        <v>1.7543090215341433E-4</v>
      </c>
      <c r="H551" s="4">
        <f t="shared" si="38"/>
        <v>36</v>
      </c>
      <c r="I551" s="5">
        <f>SQRT(SUM('p-pi-multi'!$C$3:C551)/COUNTIF($A$3:A551,"&lt;&gt;0"))</f>
        <v>17.277547893210592</v>
      </c>
    </row>
    <row r="552" spans="1:9">
      <c r="A552">
        <v>550</v>
      </c>
      <c r="B552">
        <v>453</v>
      </c>
      <c r="C552">
        <v>468</v>
      </c>
      <c r="D552">
        <v>408</v>
      </c>
      <c r="E552" s="4">
        <f t="shared" si="36"/>
        <v>1</v>
      </c>
      <c r="F552" s="4">
        <f t="shared" si="37"/>
        <v>15</v>
      </c>
      <c r="G552" s="4">
        <f t="shared" si="35"/>
        <v>1.0964431384588398E-3</v>
      </c>
      <c r="H552" s="4">
        <f t="shared" si="38"/>
        <v>225</v>
      </c>
      <c r="I552" s="5">
        <f>SQRT(SUM('p-pi-multi'!$C$3:C552)/COUNTIF($A$3:A552,"&lt;&gt;0"))</f>
        <v>17.286463437667585</v>
      </c>
    </row>
    <row r="553" spans="1:9">
      <c r="A553">
        <v>551</v>
      </c>
      <c r="B553">
        <v>453</v>
      </c>
      <c r="C553">
        <v>464</v>
      </c>
      <c r="D553">
        <v>404</v>
      </c>
      <c r="E553" s="4">
        <f t="shared" si="36"/>
        <v>1</v>
      </c>
      <c r="F553" s="4">
        <f t="shared" si="37"/>
        <v>11</v>
      </c>
      <c r="G553" s="4">
        <f t="shared" si="35"/>
        <v>5.8964275446008699E-4</v>
      </c>
      <c r="H553" s="4">
        <f t="shared" si="38"/>
        <v>121</v>
      </c>
      <c r="I553" s="5">
        <f>SQRT(SUM('p-pi-multi'!$C$3:C553)/COUNTIF($A$3:A553,"&lt;&gt;0"))</f>
        <v>17.295132179205474</v>
      </c>
    </row>
    <row r="554" spans="1:9">
      <c r="A554">
        <v>552</v>
      </c>
      <c r="B554">
        <v>453</v>
      </c>
      <c r="C554">
        <v>485</v>
      </c>
      <c r="D554">
        <v>405</v>
      </c>
      <c r="E554" s="4">
        <f t="shared" si="36"/>
        <v>1</v>
      </c>
      <c r="F554" s="4">
        <f t="shared" si="37"/>
        <v>32</v>
      </c>
      <c r="G554" s="4">
        <f t="shared" si="35"/>
        <v>4.9900345501415633E-3</v>
      </c>
      <c r="H554" s="4">
        <f t="shared" si="38"/>
        <v>1024</v>
      </c>
      <c r="I554" s="5">
        <f>SQRT(SUM('p-pi-multi'!$C$3:C554)/COUNTIF($A$3:A554,"&lt;&gt;0"))</f>
        <v>17.304864441345195</v>
      </c>
    </row>
    <row r="555" spans="1:9">
      <c r="A555">
        <v>553</v>
      </c>
      <c r="B555">
        <v>453</v>
      </c>
      <c r="C555">
        <v>417</v>
      </c>
      <c r="D555">
        <v>396</v>
      </c>
      <c r="E555" s="4">
        <f t="shared" si="36"/>
        <v>1</v>
      </c>
      <c r="F555" s="4">
        <f t="shared" si="37"/>
        <v>36</v>
      </c>
      <c r="G555" s="4">
        <f t="shared" si="35"/>
        <v>6.3155124775229159E-3</v>
      </c>
      <c r="H555" s="4">
        <f t="shared" si="38"/>
        <v>1296</v>
      </c>
      <c r="I555" s="5">
        <f>SQRT(SUM('p-pi-multi'!$C$3:C555)/COUNTIF($A$3:A555,"&lt;&gt;0"))</f>
        <v>17.311004767948894</v>
      </c>
    </row>
    <row r="556" spans="1:9">
      <c r="A556">
        <v>554</v>
      </c>
      <c r="B556">
        <v>453</v>
      </c>
      <c r="C556">
        <v>414</v>
      </c>
      <c r="D556">
        <v>419</v>
      </c>
      <c r="E556" s="4">
        <f t="shared" si="36"/>
        <v>1</v>
      </c>
      <c r="F556" s="4">
        <f t="shared" si="37"/>
        <v>39</v>
      </c>
      <c r="G556" s="4">
        <f t="shared" si="35"/>
        <v>7.4119556159817548E-3</v>
      </c>
      <c r="H556" s="4">
        <f t="shared" si="38"/>
        <v>1521</v>
      </c>
      <c r="I556" s="5">
        <f>SQRT(SUM('p-pi-multi'!$C$3:C556)/COUNTIF($A$3:A556,"&lt;&gt;0"))</f>
        <v>17.316964408281539</v>
      </c>
    </row>
    <row r="557" spans="1:9">
      <c r="A557">
        <v>555</v>
      </c>
      <c r="B557">
        <v>453</v>
      </c>
      <c r="C557">
        <v>483</v>
      </c>
      <c r="D557">
        <v>423</v>
      </c>
      <c r="E557" s="4">
        <f t="shared" si="36"/>
        <v>1</v>
      </c>
      <c r="F557" s="4">
        <f t="shared" si="37"/>
        <v>30</v>
      </c>
      <c r="G557" s="4">
        <f t="shared" si="35"/>
        <v>4.3857725538353591E-3</v>
      </c>
      <c r="H557" s="4">
        <f t="shared" si="38"/>
        <v>900</v>
      </c>
      <c r="I557" s="5">
        <f>SQRT(SUM('p-pi-multi'!$C$3:C557)/COUNTIF($A$3:A557,"&lt;&gt;0"))</f>
        <v>17.326488600036857</v>
      </c>
    </row>
    <row r="558" spans="1:9">
      <c r="A558">
        <v>556</v>
      </c>
      <c r="B558">
        <v>453</v>
      </c>
      <c r="C558">
        <v>460</v>
      </c>
      <c r="D558">
        <v>400</v>
      </c>
      <c r="E558" s="4">
        <f t="shared" si="36"/>
        <v>1</v>
      </c>
      <c r="F558" s="4">
        <f t="shared" si="37"/>
        <v>7</v>
      </c>
      <c r="G558" s="4">
        <f t="shared" si="35"/>
        <v>2.3878095015325841E-4</v>
      </c>
      <c r="H558" s="4">
        <f t="shared" si="38"/>
        <v>49</v>
      </c>
      <c r="I558" s="5">
        <f>SQRT(SUM('p-pi-multi'!$C$3:C558)/COUNTIF($A$3:A558,"&lt;&gt;0"))</f>
        <v>17.334780192334335</v>
      </c>
    </row>
    <row r="559" spans="1:9">
      <c r="A559">
        <v>557</v>
      </c>
      <c r="B559">
        <v>453</v>
      </c>
      <c r="C559">
        <v>424</v>
      </c>
      <c r="D559">
        <v>406</v>
      </c>
      <c r="E559" s="4">
        <f t="shared" si="36"/>
        <v>1</v>
      </c>
      <c r="F559" s="4">
        <f t="shared" si="37"/>
        <v>29</v>
      </c>
      <c r="G559" s="4">
        <f t="shared" si="35"/>
        <v>4.0982607975283726E-3</v>
      </c>
      <c r="H559" s="4">
        <f t="shared" si="38"/>
        <v>841</v>
      </c>
      <c r="I559" s="5">
        <f>SQRT(SUM('p-pi-multi'!$C$3:C559)/COUNTIF($A$3:A559,"&lt;&gt;0"))</f>
        <v>17.341174629258585</v>
      </c>
    </row>
    <row r="560" spans="1:9">
      <c r="A560">
        <v>558</v>
      </c>
      <c r="B560">
        <v>453</v>
      </c>
      <c r="C560">
        <v>476</v>
      </c>
      <c r="D560">
        <v>419</v>
      </c>
      <c r="E560" s="4">
        <f t="shared" si="36"/>
        <v>1</v>
      </c>
      <c r="F560" s="4">
        <f t="shared" si="37"/>
        <v>23</v>
      </c>
      <c r="G560" s="4">
        <f t="shared" si="35"/>
        <v>2.5778596455321161E-3</v>
      </c>
      <c r="H560" s="4">
        <f t="shared" si="38"/>
        <v>529</v>
      </c>
      <c r="I560" s="5">
        <f>SQRT(SUM('p-pi-multi'!$C$3:C560)/COUNTIF($A$3:A560,"&lt;&gt;0"))</f>
        <v>17.350229564758525</v>
      </c>
    </row>
    <row r="561" spans="1:9">
      <c r="A561">
        <v>559</v>
      </c>
      <c r="B561">
        <v>453</v>
      </c>
      <c r="C561">
        <v>442</v>
      </c>
      <c r="D561">
        <v>402</v>
      </c>
      <c r="E561" s="4">
        <f t="shared" si="36"/>
        <v>1</v>
      </c>
      <c r="F561" s="4">
        <f t="shared" si="37"/>
        <v>11</v>
      </c>
      <c r="G561" s="4">
        <f t="shared" si="35"/>
        <v>5.8964275446008699E-4</v>
      </c>
      <c r="H561" s="4">
        <f t="shared" si="38"/>
        <v>121</v>
      </c>
      <c r="I561" s="5">
        <f>SQRT(SUM('p-pi-multi'!$C$3:C561)/COUNTIF($A$3:A561,"&lt;&gt;0"))</f>
        <v>17.357495429495962</v>
      </c>
    </row>
    <row r="562" spans="1:9">
      <c r="A562">
        <v>560</v>
      </c>
      <c r="B562">
        <v>453</v>
      </c>
      <c r="C562">
        <v>453</v>
      </c>
      <c r="D562">
        <v>413</v>
      </c>
      <c r="E562" s="4">
        <f t="shared" si="36"/>
        <v>1</v>
      </c>
      <c r="F562" s="4">
        <f t="shared" si="37"/>
        <v>0</v>
      </c>
      <c r="G562" s="4">
        <f t="shared" si="35"/>
        <v>0</v>
      </c>
      <c r="H562" s="4">
        <f t="shared" si="38"/>
        <v>0</v>
      </c>
      <c r="I562" s="5">
        <f>SQRT(SUM('p-pi-multi'!$C$3:C562)/COUNTIF($A$3:A562,"&lt;&gt;0"))</f>
        <v>17.365297907855524</v>
      </c>
    </row>
    <row r="563" spans="1:9">
      <c r="A563">
        <v>561</v>
      </c>
      <c r="B563">
        <v>453</v>
      </c>
      <c r="C563">
        <v>469</v>
      </c>
      <c r="D563">
        <v>409</v>
      </c>
      <c r="E563" s="4">
        <f t="shared" si="36"/>
        <v>1</v>
      </c>
      <c r="F563" s="4">
        <f t="shared" si="37"/>
        <v>16</v>
      </c>
      <c r="G563" s="4">
        <f t="shared" si="35"/>
        <v>1.2475086375353908E-3</v>
      </c>
      <c r="H563" s="4">
        <f t="shared" si="38"/>
        <v>256</v>
      </c>
      <c r="I563" s="5">
        <f>SQRT(SUM('p-pi-multi'!$C$3:C563)/COUNTIF($A$3:A563,"&lt;&gt;0"))</f>
        <v>17.37388989002962</v>
      </c>
    </row>
    <row r="564" spans="1:9">
      <c r="A564">
        <v>562</v>
      </c>
      <c r="B564">
        <v>453</v>
      </c>
      <c r="C564">
        <v>483</v>
      </c>
      <c r="D564">
        <v>403</v>
      </c>
      <c r="E564" s="4">
        <f t="shared" si="36"/>
        <v>1</v>
      </c>
      <c r="F564" s="4">
        <f t="shared" si="37"/>
        <v>30</v>
      </c>
      <c r="G564" s="4">
        <f t="shared" si="35"/>
        <v>4.3857725538353591E-3</v>
      </c>
      <c r="H564" s="4">
        <f t="shared" si="38"/>
        <v>900</v>
      </c>
      <c r="I564" s="5">
        <f>SQRT(SUM('p-pi-multi'!$C$3:C564)/COUNTIF($A$3:A564,"&lt;&gt;0"))</f>
        <v>17.383163613801699</v>
      </c>
    </row>
    <row r="565" spans="1:9">
      <c r="A565">
        <v>563</v>
      </c>
      <c r="B565">
        <v>453</v>
      </c>
      <c r="C565">
        <v>477</v>
      </c>
      <c r="D565">
        <v>397</v>
      </c>
      <c r="E565" s="4">
        <f t="shared" si="36"/>
        <v>1</v>
      </c>
      <c r="F565" s="4">
        <f t="shared" si="37"/>
        <v>24</v>
      </c>
      <c r="G565" s="4">
        <f t="shared" si="35"/>
        <v>2.8068944344546293E-3</v>
      </c>
      <c r="H565" s="4">
        <f t="shared" si="38"/>
        <v>576</v>
      </c>
      <c r="I565" s="5">
        <f>SQRT(SUM('p-pi-multi'!$C$3:C565)/COUNTIF($A$3:A565,"&lt;&gt;0"))</f>
        <v>17.39209309741236</v>
      </c>
    </row>
    <row r="566" spans="1:9">
      <c r="A566">
        <v>564</v>
      </c>
      <c r="B566">
        <v>453</v>
      </c>
      <c r="C566">
        <v>457</v>
      </c>
      <c r="D566">
        <v>397</v>
      </c>
      <c r="E566" s="4">
        <f t="shared" si="36"/>
        <v>1</v>
      </c>
      <c r="F566" s="4">
        <f t="shared" si="37"/>
        <v>4</v>
      </c>
      <c r="G566" s="4">
        <f t="shared" si="35"/>
        <v>7.7969289845961927E-5</v>
      </c>
      <c r="H566" s="4">
        <f t="shared" si="38"/>
        <v>16</v>
      </c>
      <c r="I566" s="5">
        <f>SQRT(SUM('p-pi-multi'!$C$3:C566)/COUNTIF($A$3:A566,"&lt;&gt;0"))</f>
        <v>17.399967392159876</v>
      </c>
    </row>
    <row r="567" spans="1:9">
      <c r="A567">
        <v>565</v>
      </c>
      <c r="B567">
        <v>453</v>
      </c>
      <c r="C567">
        <v>463</v>
      </c>
      <c r="D567">
        <v>403</v>
      </c>
      <c r="E567" s="4">
        <f t="shared" si="36"/>
        <v>1</v>
      </c>
      <c r="F567" s="4">
        <f t="shared" si="37"/>
        <v>10</v>
      </c>
      <c r="G567" s="4">
        <f t="shared" si="35"/>
        <v>4.8730806153726209E-4</v>
      </c>
      <c r="H567" s="4">
        <f t="shared" si="38"/>
        <v>100</v>
      </c>
      <c r="I567" s="5">
        <f>SQRT(SUM('p-pi-multi'!$C$3:C567)/COUNTIF($A$3:A567,"&lt;&gt;0"))</f>
        <v>17.408115287879564</v>
      </c>
    </row>
    <row r="568" spans="1:9">
      <c r="A568">
        <v>566</v>
      </c>
      <c r="B568">
        <v>453</v>
      </c>
      <c r="C568">
        <v>420</v>
      </c>
      <c r="D568">
        <v>400</v>
      </c>
      <c r="E568" s="4">
        <f t="shared" si="36"/>
        <v>1</v>
      </c>
      <c r="F568" s="4">
        <f t="shared" si="37"/>
        <v>33</v>
      </c>
      <c r="G568" s="4">
        <f t="shared" si="35"/>
        <v>5.3067847901407828E-3</v>
      </c>
      <c r="H568" s="4">
        <f t="shared" si="38"/>
        <v>1089</v>
      </c>
      <c r="I568" s="5">
        <f>SQRT(SUM('p-pi-multi'!$C$3:C568)/COUNTIF($A$3:A568,"&lt;&gt;0"))</f>
        <v>17.414049402932502</v>
      </c>
    </row>
    <row r="569" spans="1:9">
      <c r="A569">
        <v>567</v>
      </c>
      <c r="B569">
        <v>453</v>
      </c>
      <c r="C569">
        <v>412</v>
      </c>
      <c r="D569">
        <v>415</v>
      </c>
      <c r="E569" s="4">
        <f t="shared" si="36"/>
        <v>1</v>
      </c>
      <c r="F569" s="4">
        <f t="shared" si="37"/>
        <v>41</v>
      </c>
      <c r="G569" s="4">
        <f t="shared" si="35"/>
        <v>8.1916485144413759E-3</v>
      </c>
      <c r="H569" s="4">
        <f t="shared" si="38"/>
        <v>1681</v>
      </c>
      <c r="I569" s="5">
        <f>SQRT(SUM('p-pi-multi'!$C$3:C569)/COUNTIF($A$3:A569,"&lt;&gt;0"))</f>
        <v>17.4195555944342</v>
      </c>
    </row>
    <row r="570" spans="1:9">
      <c r="A570">
        <v>568</v>
      </c>
      <c r="B570">
        <v>453</v>
      </c>
      <c r="C570">
        <v>459</v>
      </c>
      <c r="D570">
        <v>421</v>
      </c>
      <c r="E570" s="4">
        <f t="shared" si="36"/>
        <v>1</v>
      </c>
      <c r="F570" s="4">
        <f t="shared" si="37"/>
        <v>6</v>
      </c>
      <c r="G570" s="4">
        <f t="shared" si="35"/>
        <v>1.7543090215341433E-4</v>
      </c>
      <c r="H570" s="4">
        <f t="shared" si="38"/>
        <v>36</v>
      </c>
      <c r="I570" s="5">
        <f>SQRT(SUM('p-pi-multi'!$C$3:C570)/COUNTIF($A$3:A570,"&lt;&gt;0"))</f>
        <v>17.427414860856281</v>
      </c>
    </row>
    <row r="571" spans="1:9">
      <c r="A571">
        <v>569</v>
      </c>
      <c r="B571">
        <v>453</v>
      </c>
      <c r="C571">
        <v>449</v>
      </c>
      <c r="D571">
        <v>406</v>
      </c>
      <c r="E571" s="4">
        <f t="shared" si="36"/>
        <v>1</v>
      </c>
      <c r="F571" s="4">
        <f t="shared" si="37"/>
        <v>4</v>
      </c>
      <c r="G571" s="4">
        <f t="shared" si="35"/>
        <v>7.7969289845961927E-5</v>
      </c>
      <c r="H571" s="4">
        <f t="shared" si="38"/>
        <v>16</v>
      </c>
      <c r="I571" s="5">
        <f>SQRT(SUM('p-pi-multi'!$C$3:C571)/COUNTIF($A$3:A571,"&lt;&gt;0"))</f>
        <v>17.434738972030729</v>
      </c>
    </row>
    <row r="572" spans="1:9">
      <c r="A572">
        <v>570</v>
      </c>
      <c r="B572">
        <v>453</v>
      </c>
      <c r="C572">
        <v>470</v>
      </c>
      <c r="D572">
        <v>410</v>
      </c>
      <c r="E572" s="4">
        <f t="shared" si="36"/>
        <v>1</v>
      </c>
      <c r="F572" s="4">
        <f t="shared" si="37"/>
        <v>17</v>
      </c>
      <c r="G572" s="4">
        <f t="shared" si="35"/>
        <v>1.4083202978426869E-3</v>
      </c>
      <c r="H572" s="4">
        <f t="shared" si="38"/>
        <v>289</v>
      </c>
      <c r="I572" s="5">
        <f>SQRT(SUM('p-pi-multi'!$C$3:C572)/COUNTIF($A$3:A572,"&lt;&gt;0"))</f>
        <v>17.443090423109432</v>
      </c>
    </row>
    <row r="573" spans="1:9">
      <c r="A573">
        <v>571</v>
      </c>
      <c r="B573">
        <v>453</v>
      </c>
      <c r="C573">
        <v>423</v>
      </c>
      <c r="D573">
        <v>402</v>
      </c>
      <c r="E573" s="4">
        <f t="shared" si="36"/>
        <v>1</v>
      </c>
      <c r="F573" s="4">
        <f t="shared" si="37"/>
        <v>30</v>
      </c>
      <c r="G573" s="4">
        <f t="shared" si="35"/>
        <v>4.3857725538353591E-3</v>
      </c>
      <c r="H573" s="4">
        <f t="shared" si="38"/>
        <v>900</v>
      </c>
      <c r="I573" s="5">
        <f>SQRT(SUM('p-pi-multi'!$C$3:C573)/COUNTIF($A$3:A573,"&lt;&gt;0"))</f>
        <v>17.449050175124448</v>
      </c>
    </row>
    <row r="574" spans="1:9">
      <c r="A574">
        <v>572</v>
      </c>
      <c r="B574">
        <v>453</v>
      </c>
      <c r="C574">
        <v>454</v>
      </c>
      <c r="D574">
        <v>418</v>
      </c>
      <c r="E574" s="4">
        <f t="shared" si="36"/>
        <v>1</v>
      </c>
      <c r="F574" s="4">
        <f t="shared" si="37"/>
        <v>1</v>
      </c>
      <c r="G574" s="4">
        <f t="shared" si="35"/>
        <v>4.8730806153726205E-6</v>
      </c>
      <c r="H574" s="4">
        <f t="shared" si="38"/>
        <v>1</v>
      </c>
      <c r="I574" s="5">
        <f>SQRT(SUM('p-pi-multi'!$C$3:C574)/COUNTIF($A$3:A574,"&lt;&gt;0"))</f>
        <v>17.456539440300567</v>
      </c>
    </row>
    <row r="575" spans="1:9">
      <c r="A575">
        <v>573</v>
      </c>
      <c r="B575">
        <v>453</v>
      </c>
      <c r="C575">
        <v>450</v>
      </c>
      <c r="D575">
        <v>409</v>
      </c>
      <c r="E575" s="4">
        <f t="shared" si="36"/>
        <v>1</v>
      </c>
      <c r="F575" s="4">
        <f t="shared" si="37"/>
        <v>3</v>
      </c>
      <c r="G575" s="4">
        <f t="shared" si="35"/>
        <v>4.3857725538353582E-5</v>
      </c>
      <c r="H575" s="4">
        <f t="shared" si="38"/>
        <v>9</v>
      </c>
      <c r="I575" s="5">
        <f>SQRT(SUM('p-pi-multi'!$C$3:C575)/COUNTIF($A$3:A575,"&lt;&gt;0"))</f>
        <v>17.463799506227655</v>
      </c>
    </row>
    <row r="576" spans="1:9">
      <c r="A576">
        <v>574</v>
      </c>
      <c r="B576">
        <v>453</v>
      </c>
      <c r="C576">
        <v>470</v>
      </c>
      <c r="D576">
        <v>410</v>
      </c>
      <c r="E576" s="4">
        <f t="shared" si="36"/>
        <v>1</v>
      </c>
      <c r="F576" s="4">
        <f t="shared" si="37"/>
        <v>17</v>
      </c>
      <c r="G576" s="4">
        <f t="shared" si="35"/>
        <v>1.4083202978426869E-3</v>
      </c>
      <c r="H576" s="4">
        <f t="shared" si="38"/>
        <v>289</v>
      </c>
      <c r="I576" s="5">
        <f>SQRT(SUM('p-pi-multi'!$C$3:C576)/COUNTIF($A$3:A576,"&lt;&gt;0"))</f>
        <v>17.472028416972208</v>
      </c>
    </row>
    <row r="577" spans="1:9">
      <c r="A577">
        <v>575</v>
      </c>
      <c r="B577">
        <v>453</v>
      </c>
      <c r="C577">
        <v>485</v>
      </c>
      <c r="D577">
        <v>403</v>
      </c>
      <c r="E577" s="4">
        <f t="shared" si="36"/>
        <v>1</v>
      </c>
      <c r="F577" s="4">
        <f t="shared" si="37"/>
        <v>32</v>
      </c>
      <c r="G577" s="4">
        <f t="shared" si="35"/>
        <v>4.9900345501415633E-3</v>
      </c>
      <c r="H577" s="4">
        <f t="shared" si="38"/>
        <v>1024</v>
      </c>
      <c r="I577" s="5">
        <f>SQRT(SUM('p-pi-multi'!$C$3:C577)/COUNTIF($A$3:A577,"&lt;&gt;0"))</f>
        <v>17.480971020686663</v>
      </c>
    </row>
    <row r="578" spans="1:9">
      <c r="A578">
        <v>576</v>
      </c>
      <c r="B578">
        <v>453</v>
      </c>
      <c r="C578">
        <v>476</v>
      </c>
      <c r="D578">
        <v>396</v>
      </c>
      <c r="E578" s="4">
        <f t="shared" si="36"/>
        <v>1</v>
      </c>
      <c r="F578" s="4">
        <f t="shared" si="37"/>
        <v>23</v>
      </c>
      <c r="G578" s="4">
        <f t="shared" si="35"/>
        <v>2.5778596455321161E-3</v>
      </c>
      <c r="H578" s="4">
        <f t="shared" si="38"/>
        <v>529</v>
      </c>
      <c r="I578" s="5">
        <f>SQRT(SUM('p-pi-multi'!$C$3:C578)/COUNTIF($A$3:A578,"&lt;&gt;0"))</f>
        <v>17.489431332474286</v>
      </c>
    </row>
    <row r="579" spans="1:9">
      <c r="A579">
        <v>577</v>
      </c>
      <c r="B579">
        <v>453</v>
      </c>
      <c r="C579">
        <v>437</v>
      </c>
      <c r="D579">
        <v>397</v>
      </c>
      <c r="E579" s="4">
        <f t="shared" si="36"/>
        <v>1</v>
      </c>
      <c r="F579" s="4">
        <f t="shared" si="37"/>
        <v>16</v>
      </c>
      <c r="G579" s="4">
        <f t="shared" si="35"/>
        <v>1.2475086375353908E-3</v>
      </c>
      <c r="H579" s="4">
        <f t="shared" si="38"/>
        <v>256</v>
      </c>
      <c r="I579" s="5">
        <f>SQRT(SUM('p-pi-multi'!$C$3:C579)/COUNTIF($A$3:A579,"&lt;&gt;0"))</f>
        <v>17.495926735663019</v>
      </c>
    </row>
    <row r="580" spans="1:9">
      <c r="A580">
        <v>578</v>
      </c>
      <c r="B580">
        <v>453</v>
      </c>
      <c r="C580">
        <v>467</v>
      </c>
      <c r="D580">
        <v>410</v>
      </c>
      <c r="E580" s="4">
        <f t="shared" si="36"/>
        <v>1</v>
      </c>
      <c r="F580" s="4">
        <f t="shared" si="37"/>
        <v>14</v>
      </c>
      <c r="G580" s="4">
        <f t="shared" ref="G580:G643" si="39">POWER(ABS(B580-C580)/B580,2)</f>
        <v>9.5512380061303366E-4</v>
      </c>
      <c r="H580" s="4">
        <f t="shared" si="38"/>
        <v>196</v>
      </c>
      <c r="I580" s="5">
        <f>SQRT(SUM('p-pi-multi'!$C$3:C580)/COUNTIF($A$3:A580,"&lt;&gt;0"))</f>
        <v>17.503879945566037</v>
      </c>
    </row>
    <row r="581" spans="1:9">
      <c r="A581">
        <v>579</v>
      </c>
      <c r="B581">
        <v>453</v>
      </c>
      <c r="C581">
        <v>460</v>
      </c>
      <c r="D581">
        <v>400</v>
      </c>
      <c r="E581" s="4">
        <f t="shared" si="36"/>
        <v>1</v>
      </c>
      <c r="F581" s="4">
        <f t="shared" si="37"/>
        <v>7</v>
      </c>
      <c r="G581" s="4">
        <f t="shared" si="39"/>
        <v>2.3878095015325841E-4</v>
      </c>
      <c r="H581" s="4">
        <f t="shared" si="38"/>
        <v>49</v>
      </c>
      <c r="I581" s="5">
        <f>SQRT(SUM('p-pi-multi'!$C$3:C581)/COUNTIF($A$3:A581,"&lt;&gt;0"))</f>
        <v>17.511456896135623</v>
      </c>
    </row>
    <row r="582" spans="1:9">
      <c r="A582">
        <v>580</v>
      </c>
      <c r="B582">
        <v>453</v>
      </c>
      <c r="C582">
        <v>461</v>
      </c>
      <c r="D582">
        <v>401</v>
      </c>
      <c r="E582" s="4">
        <f t="shared" si="36"/>
        <v>1</v>
      </c>
      <c r="F582" s="4">
        <f t="shared" si="37"/>
        <v>8</v>
      </c>
      <c r="G582" s="4">
        <f t="shared" si="39"/>
        <v>3.1187715938384771E-4</v>
      </c>
      <c r="H582" s="4">
        <f t="shared" si="38"/>
        <v>64</v>
      </c>
      <c r="I582" s="5">
        <f>SQRT(SUM('p-pi-multi'!$C$3:C582)/COUNTIF($A$3:A582,"&lt;&gt;0"))</f>
        <v>17.519053666774081</v>
      </c>
    </row>
    <row r="583" spans="1:9">
      <c r="A583">
        <v>581</v>
      </c>
      <c r="B583">
        <v>453</v>
      </c>
      <c r="C583">
        <v>421</v>
      </c>
      <c r="D583">
        <v>401</v>
      </c>
      <c r="E583" s="4">
        <f t="shared" si="36"/>
        <v>1</v>
      </c>
      <c r="F583" s="4">
        <f t="shared" si="37"/>
        <v>32</v>
      </c>
      <c r="G583" s="4">
        <f t="shared" si="39"/>
        <v>4.9900345501415633E-3</v>
      </c>
      <c r="H583" s="4">
        <f t="shared" si="38"/>
        <v>1024</v>
      </c>
      <c r="I583" s="5">
        <f>SQRT(SUM('p-pi-multi'!$C$3:C583)/COUNTIF($A$3:A583,"&lt;&gt;0"))</f>
        <v>17.524656836757956</v>
      </c>
    </row>
    <row r="584" spans="1:9">
      <c r="A584">
        <v>582</v>
      </c>
      <c r="B584">
        <v>453</v>
      </c>
      <c r="C584">
        <v>475</v>
      </c>
      <c r="D584">
        <v>415</v>
      </c>
      <c r="E584" s="4">
        <f t="shared" si="36"/>
        <v>1</v>
      </c>
      <c r="F584" s="4">
        <f t="shared" si="37"/>
        <v>22</v>
      </c>
      <c r="G584" s="4">
        <f t="shared" si="39"/>
        <v>2.358571017840348E-3</v>
      </c>
      <c r="H584" s="4">
        <f t="shared" si="38"/>
        <v>484</v>
      </c>
      <c r="I584" s="5">
        <f>SQRT(SUM('p-pi-multi'!$C$3:C584)/COUNTIF($A$3:A584,"&lt;&gt;0"))</f>
        <v>17.532885154921598</v>
      </c>
    </row>
    <row r="585" spans="1:9">
      <c r="A585">
        <v>583</v>
      </c>
      <c r="B585">
        <v>453</v>
      </c>
      <c r="C585">
        <v>477</v>
      </c>
      <c r="D585">
        <v>397</v>
      </c>
      <c r="E585" s="4">
        <f t="shared" si="36"/>
        <v>1</v>
      </c>
      <c r="F585" s="4">
        <f t="shared" si="37"/>
        <v>24</v>
      </c>
      <c r="G585" s="4">
        <f t="shared" si="39"/>
        <v>2.8068944344546293E-3</v>
      </c>
      <c r="H585" s="4">
        <f t="shared" si="38"/>
        <v>576</v>
      </c>
      <c r="I585" s="5">
        <f>SQRT(SUM('p-pi-multi'!$C$3:C585)/COUNTIF($A$3:A585,"&lt;&gt;0"))</f>
        <v>17.541179190976546</v>
      </c>
    </row>
    <row r="586" spans="1:9">
      <c r="A586">
        <v>584</v>
      </c>
      <c r="B586">
        <v>453</v>
      </c>
      <c r="C586">
        <v>435</v>
      </c>
      <c r="D586">
        <v>395</v>
      </c>
      <c r="E586" s="4">
        <f t="shared" si="36"/>
        <v>1</v>
      </c>
      <c r="F586" s="4">
        <f t="shared" si="37"/>
        <v>18</v>
      </c>
      <c r="G586" s="4">
        <f t="shared" si="39"/>
        <v>1.578878119380729E-3</v>
      </c>
      <c r="H586" s="4">
        <f t="shared" si="38"/>
        <v>324</v>
      </c>
      <c r="I586" s="5">
        <f>SQRT(SUM('p-pi-multi'!$C$3:C586)/COUNTIF($A$3:A586,"&lt;&gt;0"))</f>
        <v>17.547391797760419</v>
      </c>
    </row>
    <row r="587" spans="1:9">
      <c r="A587">
        <v>585</v>
      </c>
      <c r="B587">
        <v>453</v>
      </c>
      <c r="C587">
        <v>466</v>
      </c>
      <c r="D587">
        <v>409</v>
      </c>
      <c r="E587" s="4">
        <f t="shared" si="36"/>
        <v>1</v>
      </c>
      <c r="F587" s="4">
        <f t="shared" si="37"/>
        <v>13</v>
      </c>
      <c r="G587" s="4">
        <f t="shared" si="39"/>
        <v>8.235506239979728E-4</v>
      </c>
      <c r="H587" s="4">
        <f t="shared" si="38"/>
        <v>169</v>
      </c>
      <c r="I587" s="5">
        <f>SQRT(SUM('p-pi-multi'!$C$3:C587)/COUNTIF($A$3:A587,"&lt;&gt;0"))</f>
        <v>17.555090332470424</v>
      </c>
    </row>
    <row r="588" spans="1:9">
      <c r="A588">
        <v>586</v>
      </c>
      <c r="B588">
        <v>453</v>
      </c>
      <c r="C588">
        <v>440</v>
      </c>
      <c r="D588">
        <v>398</v>
      </c>
      <c r="E588" s="4">
        <f t="shared" si="36"/>
        <v>1</v>
      </c>
      <c r="F588" s="4">
        <f t="shared" si="37"/>
        <v>13</v>
      </c>
      <c r="G588" s="4">
        <f t="shared" si="39"/>
        <v>8.235506239979728E-4</v>
      </c>
      <c r="H588" s="4">
        <f t="shared" si="38"/>
        <v>169</v>
      </c>
      <c r="I588" s="5">
        <f>SQRT(SUM('p-pi-multi'!$C$3:C588)/COUNTIF($A$3:A588,"&lt;&gt;0"))</f>
        <v>17.561496045175364</v>
      </c>
    </row>
    <row r="589" spans="1:9">
      <c r="A589">
        <v>587</v>
      </c>
      <c r="B589">
        <v>453</v>
      </c>
      <c r="C589">
        <v>405</v>
      </c>
      <c r="D589">
        <v>407</v>
      </c>
      <c r="E589" s="4">
        <f t="shared" si="36"/>
        <v>1</v>
      </c>
      <c r="F589" s="4">
        <f t="shared" si="37"/>
        <v>48</v>
      </c>
      <c r="G589" s="4">
        <f t="shared" si="39"/>
        <v>1.1227577737818517E-2</v>
      </c>
      <c r="H589" s="4">
        <f t="shared" si="38"/>
        <v>2304</v>
      </c>
      <c r="I589" s="5">
        <f>SQRT(SUM('p-pi-multi'!$C$3:C589)/COUNTIF($A$3:A589,"&lt;&gt;0"))</f>
        <v>17.566180531543566</v>
      </c>
    </row>
    <row r="590" spans="1:9">
      <c r="A590">
        <v>588</v>
      </c>
      <c r="B590">
        <v>453</v>
      </c>
      <c r="C590">
        <v>438</v>
      </c>
      <c r="D590">
        <v>421</v>
      </c>
      <c r="E590" s="4">
        <f t="shared" si="36"/>
        <v>1</v>
      </c>
      <c r="F590" s="4">
        <f t="shared" si="37"/>
        <v>15</v>
      </c>
      <c r="G590" s="4">
        <f t="shared" si="39"/>
        <v>1.0964431384588398E-3</v>
      </c>
      <c r="H590" s="4">
        <f t="shared" si="38"/>
        <v>225</v>
      </c>
      <c r="I590" s="5">
        <f>SQRT(SUM('p-pi-multi'!$C$3:C590)/COUNTIF($A$3:A590,"&lt;&gt;0"))</f>
        <v>17.572444802204689</v>
      </c>
    </row>
    <row r="591" spans="1:9">
      <c r="A591">
        <v>589</v>
      </c>
      <c r="B591">
        <v>453</v>
      </c>
      <c r="C591">
        <v>472</v>
      </c>
      <c r="D591">
        <v>412</v>
      </c>
      <c r="E591" s="4">
        <f t="shared" si="36"/>
        <v>1</v>
      </c>
      <c r="F591" s="4">
        <f t="shared" si="37"/>
        <v>19</v>
      </c>
      <c r="G591" s="4">
        <f t="shared" si="39"/>
        <v>1.7591821021495158E-3</v>
      </c>
      <c r="H591" s="4">
        <f t="shared" si="38"/>
        <v>361</v>
      </c>
      <c r="I591" s="5">
        <f>SQRT(SUM('p-pi-multi'!$C$3:C591)/COUNTIF($A$3:A591,"&lt;&gt;0"))</f>
        <v>17.580327406358812</v>
      </c>
    </row>
    <row r="592" spans="1:9">
      <c r="A592">
        <v>590</v>
      </c>
      <c r="B592">
        <v>453</v>
      </c>
      <c r="C592">
        <v>443</v>
      </c>
      <c r="D592">
        <v>401</v>
      </c>
      <c r="E592" s="4">
        <f t="shared" si="36"/>
        <v>1</v>
      </c>
      <c r="F592" s="4">
        <f t="shared" si="37"/>
        <v>10</v>
      </c>
      <c r="G592" s="4">
        <f t="shared" si="39"/>
        <v>4.8730806153726209E-4</v>
      </c>
      <c r="H592" s="4">
        <f t="shared" si="38"/>
        <v>100</v>
      </c>
      <c r="I592" s="5">
        <f>SQRT(SUM('p-pi-multi'!$C$3:C592)/COUNTIF($A$3:A592,"&lt;&gt;0"))</f>
        <v>17.586782401969877</v>
      </c>
    </row>
    <row r="593" spans="1:9">
      <c r="A593">
        <v>591</v>
      </c>
      <c r="B593">
        <v>453</v>
      </c>
      <c r="C593">
        <v>488</v>
      </c>
      <c r="D593">
        <v>410</v>
      </c>
      <c r="E593" s="4">
        <f t="shared" si="36"/>
        <v>1</v>
      </c>
      <c r="F593" s="4">
        <f t="shared" si="37"/>
        <v>35</v>
      </c>
      <c r="G593" s="4">
        <f t="shared" si="39"/>
        <v>5.9695237538314608E-3</v>
      </c>
      <c r="H593" s="4">
        <f t="shared" si="38"/>
        <v>1225</v>
      </c>
      <c r="I593" s="5">
        <f>SQRT(SUM('p-pi-multi'!$C$3:C593)/COUNTIF($A$3:A593,"&lt;&gt;0"))</f>
        <v>17.595377027054472</v>
      </c>
    </row>
    <row r="594" spans="1:9">
      <c r="A594">
        <v>592</v>
      </c>
      <c r="B594">
        <v>453</v>
      </c>
      <c r="C594">
        <v>454</v>
      </c>
      <c r="D594">
        <v>394</v>
      </c>
      <c r="E594" s="4">
        <f t="shared" si="36"/>
        <v>1</v>
      </c>
      <c r="F594" s="4">
        <f t="shared" si="37"/>
        <v>1</v>
      </c>
      <c r="G594" s="4">
        <f t="shared" si="39"/>
        <v>4.8730806153726205E-6</v>
      </c>
      <c r="H594" s="4">
        <f t="shared" si="38"/>
        <v>1</v>
      </c>
      <c r="I594" s="5">
        <f>SQRT(SUM('p-pi-multi'!$C$3:C594)/COUNTIF($A$3:A594,"&lt;&gt;0"))</f>
        <v>17.602307127652789</v>
      </c>
    </row>
    <row r="595" spans="1:9">
      <c r="A595">
        <v>593</v>
      </c>
      <c r="B595">
        <v>453</v>
      </c>
      <c r="C595">
        <v>422</v>
      </c>
      <c r="D595">
        <v>404</v>
      </c>
      <c r="E595" s="4">
        <f t="shared" si="36"/>
        <v>1</v>
      </c>
      <c r="F595" s="4">
        <f t="shared" si="37"/>
        <v>31</v>
      </c>
      <c r="G595" s="4">
        <f t="shared" si="39"/>
        <v>4.6830304713730885E-3</v>
      </c>
      <c r="H595" s="4">
        <f t="shared" si="38"/>
        <v>961</v>
      </c>
      <c r="I595" s="5">
        <f>SQRT(SUM('p-pi-multi'!$C$3:C595)/COUNTIF($A$3:A595,"&lt;&gt;0"))</f>
        <v>17.607678839970209</v>
      </c>
    </row>
    <row r="596" spans="1:9">
      <c r="A596">
        <v>594</v>
      </c>
      <c r="B596">
        <v>453</v>
      </c>
      <c r="C596">
        <v>496</v>
      </c>
      <c r="D596">
        <v>416</v>
      </c>
      <c r="E596" s="4">
        <f t="shared" si="36"/>
        <v>1</v>
      </c>
      <c r="F596" s="4">
        <f t="shared" si="37"/>
        <v>43</v>
      </c>
      <c r="G596" s="4">
        <f t="shared" si="39"/>
        <v>9.0103260578239738E-3</v>
      </c>
      <c r="H596" s="4">
        <f t="shared" si="38"/>
        <v>1849</v>
      </c>
      <c r="I596" s="5">
        <f>SQRT(SUM('p-pi-multi'!$C$3:C596)/COUNTIF($A$3:A596,"&lt;&gt;0"))</f>
        <v>17.616567041947597</v>
      </c>
    </row>
    <row r="597" spans="1:9">
      <c r="A597">
        <v>595</v>
      </c>
      <c r="B597">
        <v>453</v>
      </c>
      <c r="C597">
        <v>416</v>
      </c>
      <c r="D597">
        <v>391</v>
      </c>
      <c r="E597" s="4">
        <f t="shared" si="36"/>
        <v>1</v>
      </c>
      <c r="F597" s="4">
        <f t="shared" si="37"/>
        <v>37</v>
      </c>
      <c r="G597" s="4">
        <f t="shared" si="39"/>
        <v>6.6712473624451173E-3</v>
      </c>
      <c r="H597" s="4">
        <f t="shared" si="38"/>
        <v>1369</v>
      </c>
      <c r="I597" s="5">
        <f>SQRT(SUM('p-pi-multi'!$C$3:C597)/COUNTIF($A$3:A597,"&lt;&gt;0"))</f>
        <v>17.621606294641854</v>
      </c>
    </row>
    <row r="598" spans="1:9">
      <c r="A598">
        <v>596</v>
      </c>
      <c r="B598">
        <v>453</v>
      </c>
      <c r="C598">
        <v>431</v>
      </c>
      <c r="D598">
        <v>417</v>
      </c>
      <c r="E598" s="4">
        <f t="shared" si="36"/>
        <v>1</v>
      </c>
      <c r="F598" s="4">
        <f t="shared" si="37"/>
        <v>22</v>
      </c>
      <c r="G598" s="4">
        <f t="shared" si="39"/>
        <v>2.358571017840348E-3</v>
      </c>
      <c r="H598" s="4">
        <f t="shared" si="38"/>
        <v>484</v>
      </c>
      <c r="I598" s="5">
        <f>SQRT(SUM('p-pi-multi'!$C$3:C598)/COUNTIF($A$3:A598,"&lt;&gt;0"))</f>
        <v>17.627341103025611</v>
      </c>
    </row>
    <row r="599" spans="1:9">
      <c r="A599">
        <v>597</v>
      </c>
      <c r="B599">
        <v>453</v>
      </c>
      <c r="C599">
        <v>454</v>
      </c>
      <c r="D599">
        <v>414</v>
      </c>
      <c r="E599" s="4">
        <f t="shared" si="36"/>
        <v>1</v>
      </c>
      <c r="F599" s="4">
        <f t="shared" si="37"/>
        <v>1</v>
      </c>
      <c r="G599" s="4">
        <f t="shared" si="39"/>
        <v>4.8730806153726205E-6</v>
      </c>
      <c r="H599" s="4">
        <f t="shared" si="38"/>
        <v>1</v>
      </c>
      <c r="I599" s="5">
        <f>SQRT(SUM('p-pi-multi'!$C$3:C599)/COUNTIF($A$3:A599,"&lt;&gt;0"))</f>
        <v>17.634147245578024</v>
      </c>
    </row>
    <row r="600" spans="1:9">
      <c r="A600">
        <v>598</v>
      </c>
      <c r="B600">
        <v>453</v>
      </c>
      <c r="C600">
        <v>409</v>
      </c>
      <c r="D600">
        <v>408</v>
      </c>
      <c r="E600" s="4">
        <f t="shared" si="36"/>
        <v>1</v>
      </c>
      <c r="F600" s="4">
        <f t="shared" si="37"/>
        <v>44</v>
      </c>
      <c r="G600" s="4">
        <f t="shared" si="39"/>
        <v>9.4342840713613919E-3</v>
      </c>
      <c r="H600" s="4">
        <f t="shared" si="38"/>
        <v>1936</v>
      </c>
      <c r="I600" s="5">
        <f>SQRT(SUM('p-pi-multi'!$C$3:C600)/COUNTIF($A$3:A600,"&lt;&gt;0"))</f>
        <v>17.6387950354043</v>
      </c>
    </row>
    <row r="601" spans="1:9">
      <c r="A601">
        <v>599</v>
      </c>
      <c r="B601">
        <v>453</v>
      </c>
      <c r="C601">
        <v>480</v>
      </c>
      <c r="D601">
        <v>424</v>
      </c>
      <c r="E601" s="4">
        <f t="shared" ref="E601:E664" si="40">IF(AND(C601&lt;=B601*1.2,C601&gt;=B601*0.8),1,0)</f>
        <v>1</v>
      </c>
      <c r="F601" s="4">
        <f t="shared" ref="F601:F664" si="41">ABS(B601-C601)</f>
        <v>27</v>
      </c>
      <c r="G601" s="4">
        <f t="shared" si="39"/>
        <v>3.55247576860664E-3</v>
      </c>
      <c r="H601" s="4">
        <f t="shared" ref="H601:H664" si="42">POWER(F601,2)</f>
        <v>729</v>
      </c>
      <c r="I601" s="5">
        <f>SQRT(SUM('p-pi-multi'!$C$3:C601)/COUNTIF($A$3:A601,"&lt;&gt;0"))</f>
        <v>17.646784835347251</v>
      </c>
    </row>
    <row r="602" spans="1:9">
      <c r="A602">
        <v>600</v>
      </c>
      <c r="B602">
        <v>453</v>
      </c>
      <c r="C602">
        <v>425</v>
      </c>
      <c r="D602">
        <v>401</v>
      </c>
      <c r="E602" s="4">
        <f t="shared" si="40"/>
        <v>1</v>
      </c>
      <c r="F602" s="4">
        <f t="shared" si="41"/>
        <v>28</v>
      </c>
      <c r="G602" s="4">
        <f t="shared" si="39"/>
        <v>3.8204952024521346E-3</v>
      </c>
      <c r="H602" s="4">
        <f t="shared" si="42"/>
        <v>784</v>
      </c>
      <c r="I602" s="5">
        <f>SQRT(SUM('p-pi-multi'!$C$3:C602)/COUNTIF($A$3:A602,"&lt;&gt;0"))</f>
        <v>17.652148122348546</v>
      </c>
    </row>
    <row r="603" spans="1:9">
      <c r="A603">
        <v>601</v>
      </c>
      <c r="B603">
        <v>343</v>
      </c>
      <c r="C603">
        <v>479</v>
      </c>
      <c r="D603">
        <v>419</v>
      </c>
      <c r="E603" s="4">
        <f t="shared" si="40"/>
        <v>0</v>
      </c>
      <c r="F603" s="4">
        <f t="shared" si="41"/>
        <v>136</v>
      </c>
      <c r="G603" s="4">
        <f t="shared" si="39"/>
        <v>0.15721340597880135</v>
      </c>
      <c r="H603" s="4">
        <f t="shared" si="42"/>
        <v>18496</v>
      </c>
      <c r="I603" s="5">
        <f>SQRT(SUM('p-pi-multi'!$C$3:C603)/COUNTIF($A$3:A603,"&lt;&gt;0"))</f>
        <v>17.660036010161463</v>
      </c>
    </row>
    <row r="604" spans="1:9">
      <c r="A604">
        <v>602</v>
      </c>
      <c r="B604">
        <v>343</v>
      </c>
      <c r="C604">
        <v>440</v>
      </c>
      <c r="D604">
        <v>360</v>
      </c>
      <c r="E604" s="4">
        <f t="shared" si="40"/>
        <v>0</v>
      </c>
      <c r="F604" s="4">
        <f t="shared" si="41"/>
        <v>97</v>
      </c>
      <c r="G604" s="4">
        <f t="shared" si="39"/>
        <v>7.9975180409523242E-2</v>
      </c>
      <c r="H604" s="4">
        <f t="shared" si="42"/>
        <v>9409</v>
      </c>
      <c r="I604" s="5">
        <f>SQRT(SUM('p-pi-multi'!$C$3:C604)/COUNTIF($A$3:A604,"&lt;&gt;0"))</f>
        <v>17.666060709639762</v>
      </c>
    </row>
    <row r="605" spans="1:9">
      <c r="A605">
        <v>603</v>
      </c>
      <c r="B605">
        <v>343</v>
      </c>
      <c r="C605">
        <v>424</v>
      </c>
      <c r="D605">
        <v>365</v>
      </c>
      <c r="E605" s="4">
        <f t="shared" si="40"/>
        <v>0</v>
      </c>
      <c r="F605" s="4">
        <f t="shared" si="41"/>
        <v>81</v>
      </c>
      <c r="G605" s="4">
        <f t="shared" si="39"/>
        <v>5.5767579834932725E-2</v>
      </c>
      <c r="H605" s="4">
        <f t="shared" si="42"/>
        <v>6561</v>
      </c>
      <c r="I605" s="5">
        <f>SQRT(SUM('p-pi-multi'!$C$3:C605)/COUNTIF($A$3:A605,"&lt;&gt;0"))</f>
        <v>17.671312634198646</v>
      </c>
    </row>
    <row r="606" spans="1:9">
      <c r="A606">
        <v>604</v>
      </c>
      <c r="B606">
        <v>343</v>
      </c>
      <c r="C606">
        <v>403</v>
      </c>
      <c r="D606">
        <v>363</v>
      </c>
      <c r="E606" s="4">
        <f t="shared" si="40"/>
        <v>1</v>
      </c>
      <c r="F606" s="4">
        <f t="shared" si="41"/>
        <v>60</v>
      </c>
      <c r="G606" s="4">
        <f t="shared" si="39"/>
        <v>3.059949510833071E-2</v>
      </c>
      <c r="H606" s="4">
        <f t="shared" si="42"/>
        <v>3600</v>
      </c>
      <c r="I606" s="5">
        <f>SQRT(SUM('p-pi-multi'!$C$3:C606)/COUNTIF($A$3:A606,"&lt;&gt;0"))</f>
        <v>17.675562132185267</v>
      </c>
    </row>
    <row r="607" spans="1:9">
      <c r="A607">
        <v>605</v>
      </c>
      <c r="B607">
        <v>343</v>
      </c>
      <c r="C607">
        <v>424</v>
      </c>
      <c r="D607">
        <v>365</v>
      </c>
      <c r="E607" s="4">
        <f t="shared" si="40"/>
        <v>0</v>
      </c>
      <c r="F607" s="4">
        <f t="shared" si="41"/>
        <v>81</v>
      </c>
      <c r="G607" s="4">
        <f t="shared" si="39"/>
        <v>5.5767579834932725E-2</v>
      </c>
      <c r="H607" s="4">
        <f t="shared" si="42"/>
        <v>6561</v>
      </c>
      <c r="I607" s="5">
        <f>SQRT(SUM('p-pi-multi'!$C$3:C607)/COUNTIF($A$3:A607,"&lt;&gt;0"))</f>
        <v>17.680778188625407</v>
      </c>
    </row>
    <row r="608" spans="1:9">
      <c r="A608">
        <v>606</v>
      </c>
      <c r="B608">
        <v>343</v>
      </c>
      <c r="C608">
        <v>394</v>
      </c>
      <c r="D608">
        <v>352</v>
      </c>
      <c r="E608" s="4">
        <f t="shared" si="40"/>
        <v>1</v>
      </c>
      <c r="F608" s="4">
        <f t="shared" si="41"/>
        <v>51</v>
      </c>
      <c r="G608" s="4">
        <f t="shared" si="39"/>
        <v>2.2108135215768938E-2</v>
      </c>
      <c r="H608" s="4">
        <f t="shared" si="42"/>
        <v>2601</v>
      </c>
      <c r="I608" s="5">
        <f>SQRT(SUM('p-pi-multi'!$C$3:C608)/COUNTIF($A$3:A608,"&lt;&gt;0"))</f>
        <v>17.684575890375267</v>
      </c>
    </row>
    <row r="609" spans="1:9">
      <c r="A609">
        <v>607</v>
      </c>
      <c r="B609">
        <v>343</v>
      </c>
      <c r="C609">
        <v>416</v>
      </c>
      <c r="D609">
        <v>358</v>
      </c>
      <c r="E609" s="4">
        <f t="shared" si="40"/>
        <v>0</v>
      </c>
      <c r="F609" s="4">
        <f t="shared" si="41"/>
        <v>73</v>
      </c>
      <c r="G609" s="4">
        <f t="shared" si="39"/>
        <v>4.5295752620081765E-2</v>
      </c>
      <c r="H609" s="4">
        <f t="shared" si="42"/>
        <v>5329</v>
      </c>
      <c r="I609" s="5">
        <f>SQRT(SUM('p-pi-multi'!$C$3:C609)/COUNTIF($A$3:A609,"&lt;&gt;0"))</f>
        <v>17.68938474860515</v>
      </c>
    </row>
    <row r="610" spans="1:9">
      <c r="A610">
        <v>608</v>
      </c>
      <c r="B610">
        <v>343</v>
      </c>
      <c r="C610">
        <v>387</v>
      </c>
      <c r="D610">
        <v>345</v>
      </c>
      <c r="E610" s="4">
        <f t="shared" si="40"/>
        <v>1</v>
      </c>
      <c r="F610" s="4">
        <f t="shared" si="41"/>
        <v>44</v>
      </c>
      <c r="G610" s="4">
        <f t="shared" si="39"/>
        <v>1.6455728480480072E-2</v>
      </c>
      <c r="H610" s="4">
        <f t="shared" si="42"/>
        <v>1936</v>
      </c>
      <c r="I610" s="5">
        <f>SQRT(SUM('p-pi-multi'!$C$3:C610)/COUNTIF($A$3:A610,"&lt;&gt;0"))</f>
        <v>17.692828609652167</v>
      </c>
    </row>
    <row r="611" spans="1:9">
      <c r="A611">
        <v>609</v>
      </c>
      <c r="B611">
        <v>343</v>
      </c>
      <c r="C611">
        <v>409</v>
      </c>
      <c r="D611">
        <v>351</v>
      </c>
      <c r="E611" s="4">
        <f t="shared" si="40"/>
        <v>1</v>
      </c>
      <c r="F611" s="4">
        <f t="shared" si="41"/>
        <v>66</v>
      </c>
      <c r="G611" s="4">
        <f t="shared" si="39"/>
        <v>3.7025389081080162E-2</v>
      </c>
      <c r="H611" s="4">
        <f t="shared" si="42"/>
        <v>4356</v>
      </c>
      <c r="I611" s="5">
        <f>SQRT(SUM('p-pi-multi'!$C$3:C611)/COUNTIF($A$3:A611,"&lt;&gt;0"))</f>
        <v>17.697281154536867</v>
      </c>
    </row>
    <row r="612" spans="1:9">
      <c r="A612">
        <v>610</v>
      </c>
      <c r="B612">
        <v>343</v>
      </c>
      <c r="C612">
        <v>381</v>
      </c>
      <c r="D612">
        <v>339</v>
      </c>
      <c r="E612" s="4">
        <f t="shared" si="40"/>
        <v>1</v>
      </c>
      <c r="F612" s="4">
        <f t="shared" si="41"/>
        <v>38</v>
      </c>
      <c r="G612" s="4">
        <f t="shared" si="39"/>
        <v>1.2273797482341543E-2</v>
      </c>
      <c r="H612" s="4">
        <f t="shared" si="42"/>
        <v>1444</v>
      </c>
      <c r="I612" s="5">
        <f>SQRT(SUM('p-pi-multi'!$C$3:C612)/COUNTIF($A$3:A612,"&lt;&gt;0"))</f>
        <v>17.700421408339036</v>
      </c>
    </row>
    <row r="613" spans="1:9">
      <c r="A613">
        <v>611</v>
      </c>
      <c r="B613">
        <v>343</v>
      </c>
      <c r="C613">
        <v>343</v>
      </c>
      <c r="D613">
        <v>345</v>
      </c>
      <c r="E613" s="4">
        <f t="shared" si="40"/>
        <v>1</v>
      </c>
      <c r="F613" s="4">
        <f t="shared" si="41"/>
        <v>0</v>
      </c>
      <c r="G613" s="4">
        <f t="shared" si="39"/>
        <v>0</v>
      </c>
      <c r="H613" s="4">
        <f t="shared" si="42"/>
        <v>0</v>
      </c>
      <c r="I613" s="5">
        <f>SQRT(SUM('p-pi-multi'!$C$3:C613)/COUNTIF($A$3:A613,"&lt;&gt;0"))</f>
        <v>17.701794226055277</v>
      </c>
    </row>
    <row r="614" spans="1:9">
      <c r="A614">
        <v>612</v>
      </c>
      <c r="B614">
        <v>343</v>
      </c>
      <c r="C614">
        <v>373</v>
      </c>
      <c r="D614">
        <v>356</v>
      </c>
      <c r="E614" s="4">
        <f t="shared" si="40"/>
        <v>1</v>
      </c>
      <c r="F614" s="4">
        <f t="shared" si="41"/>
        <v>30</v>
      </c>
      <c r="G614" s="4">
        <f t="shared" si="39"/>
        <v>7.6498737770826775E-3</v>
      </c>
      <c r="H614" s="4">
        <f t="shared" si="42"/>
        <v>900</v>
      </c>
      <c r="I614" s="5">
        <f>SQRT(SUM('p-pi-multi'!$C$3:C614)/COUNTIF($A$3:A614,"&lt;&gt;0"))</f>
        <v>17.704546884689165</v>
      </c>
    </row>
    <row r="615" spans="1:9">
      <c r="A615">
        <v>613</v>
      </c>
      <c r="B615">
        <v>343</v>
      </c>
      <c r="C615">
        <v>367</v>
      </c>
      <c r="D615">
        <v>345</v>
      </c>
      <c r="E615" s="4">
        <f t="shared" si="40"/>
        <v>1</v>
      </c>
      <c r="F615" s="4">
        <f t="shared" si="41"/>
        <v>24</v>
      </c>
      <c r="G615" s="4">
        <f t="shared" si="39"/>
        <v>4.8959192173329141E-3</v>
      </c>
      <c r="H615" s="4">
        <f t="shared" si="42"/>
        <v>576</v>
      </c>
      <c r="I615" s="5">
        <f>SQRT(SUM('p-pi-multi'!$C$3:C615)/COUNTIF($A$3:A615,"&lt;&gt;0"))</f>
        <v>17.707013753092369</v>
      </c>
    </row>
    <row r="616" spans="1:9">
      <c r="A616">
        <v>614</v>
      </c>
      <c r="B616">
        <v>343</v>
      </c>
      <c r="C616">
        <v>365</v>
      </c>
      <c r="D616">
        <v>345</v>
      </c>
      <c r="E616" s="4">
        <f t="shared" si="40"/>
        <v>1</v>
      </c>
      <c r="F616" s="4">
        <f t="shared" si="41"/>
        <v>22</v>
      </c>
      <c r="G616" s="4">
        <f t="shared" si="39"/>
        <v>4.1139321201200179E-3</v>
      </c>
      <c r="H616" s="4">
        <f t="shared" si="42"/>
        <v>484</v>
      </c>
      <c r="I616" s="5">
        <f>SQRT(SUM('p-pi-multi'!$C$3:C616)/COUNTIF($A$3:A616,"&lt;&gt;0"))</f>
        <v>17.709380278178386</v>
      </c>
    </row>
    <row r="617" spans="1:9">
      <c r="A617">
        <v>615</v>
      </c>
      <c r="B617">
        <v>343</v>
      </c>
      <c r="C617">
        <v>364</v>
      </c>
      <c r="D617">
        <v>344</v>
      </c>
      <c r="E617" s="4">
        <f t="shared" si="40"/>
        <v>1</v>
      </c>
      <c r="F617" s="4">
        <f t="shared" si="41"/>
        <v>21</v>
      </c>
      <c r="G617" s="4">
        <f t="shared" si="39"/>
        <v>3.7484381507705122E-3</v>
      </c>
      <c r="H617" s="4">
        <f t="shared" si="42"/>
        <v>441</v>
      </c>
      <c r="I617" s="5">
        <f>SQRT(SUM('p-pi-multi'!$C$3:C617)/COUNTIF($A$3:A617,"&lt;&gt;0"))</f>
        <v>17.711692890309791</v>
      </c>
    </row>
    <row r="618" spans="1:9">
      <c r="A618">
        <v>616</v>
      </c>
      <c r="B618">
        <v>343</v>
      </c>
      <c r="C618">
        <v>402</v>
      </c>
      <c r="D618">
        <v>342</v>
      </c>
      <c r="E618" s="4">
        <f t="shared" si="40"/>
        <v>1</v>
      </c>
      <c r="F618" s="4">
        <f t="shared" si="41"/>
        <v>59</v>
      </c>
      <c r="G618" s="4">
        <f t="shared" si="39"/>
        <v>2.9588011797805337E-2</v>
      </c>
      <c r="H618" s="4">
        <f t="shared" si="42"/>
        <v>3481</v>
      </c>
      <c r="I618" s="5">
        <f>SQRT(SUM('p-pi-multi'!$C$3:C618)/COUNTIF($A$3:A618,"&lt;&gt;0"))</f>
        <v>17.715738838597801</v>
      </c>
    </row>
    <row r="619" spans="1:9">
      <c r="A619">
        <v>617</v>
      </c>
      <c r="B619">
        <v>343</v>
      </c>
      <c r="C619">
        <v>370</v>
      </c>
      <c r="D619">
        <v>327</v>
      </c>
      <c r="E619" s="4">
        <f t="shared" si="40"/>
        <v>1</v>
      </c>
      <c r="F619" s="4">
        <f t="shared" si="41"/>
        <v>27</v>
      </c>
      <c r="G619" s="4">
        <f t="shared" si="39"/>
        <v>6.1963977594369701E-3</v>
      </c>
      <c r="H619" s="4">
        <f t="shared" si="42"/>
        <v>729</v>
      </c>
      <c r="I619" s="5">
        <f>SQRT(SUM('p-pi-multi'!$C$3:C619)/COUNTIF($A$3:A619,"&lt;&gt;0"))</f>
        <v>17.718307246161185</v>
      </c>
    </row>
    <row r="620" spans="1:9">
      <c r="A620">
        <v>618</v>
      </c>
      <c r="B620">
        <v>343</v>
      </c>
      <c r="C620">
        <v>372</v>
      </c>
      <c r="D620">
        <v>334</v>
      </c>
      <c r="E620" s="4">
        <f t="shared" si="40"/>
        <v>1</v>
      </c>
      <c r="F620" s="4">
        <f t="shared" si="41"/>
        <v>29</v>
      </c>
      <c r="G620" s="4">
        <f t="shared" si="39"/>
        <v>7.1483820516961465E-3</v>
      </c>
      <c r="H620" s="4">
        <f t="shared" si="42"/>
        <v>841</v>
      </c>
      <c r="I620" s="5">
        <f>SQRT(SUM('p-pi-multi'!$C$3:C620)/COUNTIF($A$3:A620,"&lt;&gt;0"))</f>
        <v>17.720958282766397</v>
      </c>
    </row>
    <row r="621" spans="1:9">
      <c r="A621">
        <v>619</v>
      </c>
      <c r="B621">
        <v>343</v>
      </c>
      <c r="C621">
        <v>371</v>
      </c>
      <c r="D621">
        <v>331</v>
      </c>
      <c r="E621" s="4">
        <f t="shared" si="40"/>
        <v>1</v>
      </c>
      <c r="F621" s="4">
        <f t="shared" si="41"/>
        <v>28</v>
      </c>
      <c r="G621" s="4">
        <f t="shared" si="39"/>
        <v>6.6638900458142426E-3</v>
      </c>
      <c r="H621" s="4">
        <f t="shared" si="42"/>
        <v>784</v>
      </c>
      <c r="I621" s="5">
        <f>SQRT(SUM('p-pi-multi'!$C$3:C621)/COUNTIF($A$3:A621,"&lt;&gt;0"))</f>
        <v>17.723554784076697</v>
      </c>
    </row>
    <row r="622" spans="1:9">
      <c r="A622">
        <v>620</v>
      </c>
      <c r="B622">
        <v>343</v>
      </c>
      <c r="C622">
        <v>390</v>
      </c>
      <c r="D622">
        <v>330</v>
      </c>
      <c r="E622" s="4">
        <f t="shared" si="40"/>
        <v>1</v>
      </c>
      <c r="F622" s="4">
        <f t="shared" si="41"/>
        <v>47</v>
      </c>
      <c r="G622" s="4">
        <f t="shared" si="39"/>
        <v>1.8776190192861815E-2</v>
      </c>
      <c r="H622" s="4">
        <f t="shared" si="42"/>
        <v>2209</v>
      </c>
      <c r="I622" s="5">
        <f>SQRT(SUM('p-pi-multi'!$C$3:C622)/COUNTIF($A$3:A622,"&lt;&gt;0"))</f>
        <v>17.727006915820514</v>
      </c>
    </row>
    <row r="623" spans="1:9">
      <c r="A623">
        <v>621</v>
      </c>
      <c r="B623">
        <v>343</v>
      </c>
      <c r="C623">
        <v>362</v>
      </c>
      <c r="D623">
        <v>320</v>
      </c>
      <c r="E623" s="4">
        <f t="shared" si="40"/>
        <v>1</v>
      </c>
      <c r="F623" s="4">
        <f t="shared" si="41"/>
        <v>19</v>
      </c>
      <c r="G623" s="4">
        <f t="shared" si="39"/>
        <v>3.0684493705853857E-3</v>
      </c>
      <c r="H623" s="4">
        <f t="shared" si="42"/>
        <v>361</v>
      </c>
      <c r="I623" s="5">
        <f>SQRT(SUM('p-pi-multi'!$C$3:C623)/COUNTIF($A$3:A623,"&lt;&gt;0"))</f>
        <v>17.729175713991459</v>
      </c>
    </row>
    <row r="624" spans="1:9">
      <c r="A624">
        <v>622</v>
      </c>
      <c r="B624">
        <v>343</v>
      </c>
      <c r="C624">
        <v>367</v>
      </c>
      <c r="D624">
        <v>327</v>
      </c>
      <c r="E624" s="4">
        <f t="shared" si="40"/>
        <v>1</v>
      </c>
      <c r="F624" s="4">
        <f t="shared" si="41"/>
        <v>24</v>
      </c>
      <c r="G624" s="4">
        <f t="shared" si="39"/>
        <v>4.8959192173329141E-3</v>
      </c>
      <c r="H624" s="4">
        <f t="shared" si="42"/>
        <v>576</v>
      </c>
      <c r="I624" s="5">
        <f>SQRT(SUM('p-pi-multi'!$C$3:C624)/COUNTIF($A$3:A624,"&lt;&gt;0"))</f>
        <v>17.731563950442087</v>
      </c>
    </row>
    <row r="625" spans="1:9">
      <c r="A625">
        <v>623</v>
      </c>
      <c r="B625">
        <v>343</v>
      </c>
      <c r="C625">
        <v>344</v>
      </c>
      <c r="D625">
        <v>324</v>
      </c>
      <c r="E625" s="4">
        <f t="shared" si="40"/>
        <v>1</v>
      </c>
      <c r="F625" s="4">
        <f t="shared" si="41"/>
        <v>1</v>
      </c>
      <c r="G625" s="4">
        <f t="shared" si="39"/>
        <v>8.4998597523140868E-6</v>
      </c>
      <c r="H625" s="4">
        <f t="shared" si="42"/>
        <v>1</v>
      </c>
      <c r="I625" s="5">
        <f>SQRT(SUM('p-pi-multi'!$C$3:C625)/COUNTIF($A$3:A625,"&lt;&gt;0"))</f>
        <v>17.73290328028644</v>
      </c>
    </row>
    <row r="626" spans="1:9">
      <c r="A626">
        <v>624</v>
      </c>
      <c r="B626">
        <v>343</v>
      </c>
      <c r="C626">
        <v>329</v>
      </c>
      <c r="D626">
        <v>331</v>
      </c>
      <c r="E626" s="4">
        <f t="shared" si="40"/>
        <v>1</v>
      </c>
      <c r="F626" s="4">
        <f t="shared" si="41"/>
        <v>14</v>
      </c>
      <c r="G626" s="4">
        <f t="shared" si="39"/>
        <v>1.6659725114535606E-3</v>
      </c>
      <c r="H626" s="4">
        <f t="shared" si="42"/>
        <v>196</v>
      </c>
      <c r="I626" s="5">
        <f>SQRT(SUM('p-pi-multi'!$C$3:C626)/COUNTIF($A$3:A626,"&lt;&gt;0"))</f>
        <v>17.733560462204611</v>
      </c>
    </row>
    <row r="627" spans="1:9">
      <c r="A627">
        <v>625</v>
      </c>
      <c r="B627">
        <v>343</v>
      </c>
      <c r="C627">
        <v>396</v>
      </c>
      <c r="D627">
        <v>336</v>
      </c>
      <c r="E627" s="4">
        <f t="shared" si="40"/>
        <v>1</v>
      </c>
      <c r="F627" s="4">
        <f t="shared" si="41"/>
        <v>53</v>
      </c>
      <c r="G627" s="4">
        <f t="shared" si="39"/>
        <v>2.3876106044250268E-2</v>
      </c>
      <c r="H627" s="4">
        <f t="shared" si="42"/>
        <v>2809</v>
      </c>
      <c r="I627" s="5">
        <f>SQRT(SUM('p-pi-multi'!$C$3:C627)/COUNTIF($A$3:A627,"&lt;&gt;0"))</f>
        <v>17.737237665431447</v>
      </c>
    </row>
    <row r="628" spans="1:9">
      <c r="A628">
        <v>626</v>
      </c>
      <c r="B628">
        <v>343</v>
      </c>
      <c r="C628">
        <v>316</v>
      </c>
      <c r="D628">
        <v>312</v>
      </c>
      <c r="E628" s="4">
        <f t="shared" si="40"/>
        <v>1</v>
      </c>
      <c r="F628" s="4">
        <f t="shared" si="41"/>
        <v>27</v>
      </c>
      <c r="G628" s="4">
        <f t="shared" si="39"/>
        <v>6.1963977594369701E-3</v>
      </c>
      <c r="H628" s="4">
        <f t="shared" si="42"/>
        <v>729</v>
      </c>
      <c r="I628" s="5">
        <f>SQRT(SUM('p-pi-multi'!$C$3:C628)/COUNTIF($A$3:A628,"&lt;&gt;0"))</f>
        <v>17.73730027614862</v>
      </c>
    </row>
    <row r="629" spans="1:9">
      <c r="A629">
        <v>627</v>
      </c>
      <c r="B629">
        <v>343</v>
      </c>
      <c r="C629">
        <v>372</v>
      </c>
      <c r="D629">
        <v>338</v>
      </c>
      <c r="E629" s="4">
        <f t="shared" si="40"/>
        <v>1</v>
      </c>
      <c r="F629" s="4">
        <f t="shared" si="41"/>
        <v>29</v>
      </c>
      <c r="G629" s="4">
        <f t="shared" si="39"/>
        <v>7.1483820516961465E-3</v>
      </c>
      <c r="H629" s="4">
        <f t="shared" si="42"/>
        <v>841</v>
      </c>
      <c r="I629" s="5">
        <f>SQRT(SUM('p-pi-multi'!$C$3:C629)/COUNTIF($A$3:A629,"&lt;&gt;0"))</f>
        <v>17.73988019357224</v>
      </c>
    </row>
    <row r="630" spans="1:9">
      <c r="A630">
        <v>628</v>
      </c>
      <c r="B630">
        <v>343</v>
      </c>
      <c r="C630">
        <v>382</v>
      </c>
      <c r="D630">
        <v>319</v>
      </c>
      <c r="E630" s="4">
        <f t="shared" si="40"/>
        <v>1</v>
      </c>
      <c r="F630" s="4">
        <f t="shared" si="41"/>
        <v>39</v>
      </c>
      <c r="G630" s="4">
        <f t="shared" si="39"/>
        <v>1.2928286683269724E-2</v>
      </c>
      <c r="H630" s="4">
        <f t="shared" si="42"/>
        <v>1521</v>
      </c>
      <c r="I630" s="5">
        <f>SQRT(SUM('p-pi-multi'!$C$3:C630)/COUNTIF($A$3:A630,"&lt;&gt;0"))</f>
        <v>17.742900257684486</v>
      </c>
    </row>
    <row r="631" spans="1:9">
      <c r="A631">
        <v>629</v>
      </c>
      <c r="B631">
        <v>343</v>
      </c>
      <c r="C631">
        <v>373</v>
      </c>
      <c r="D631">
        <v>313</v>
      </c>
      <c r="E631" s="4">
        <f t="shared" si="40"/>
        <v>1</v>
      </c>
      <c r="F631" s="4">
        <f t="shared" si="41"/>
        <v>30</v>
      </c>
      <c r="G631" s="4">
        <f t="shared" si="39"/>
        <v>7.6498737770826775E-3</v>
      </c>
      <c r="H631" s="4">
        <f t="shared" si="42"/>
        <v>900</v>
      </c>
      <c r="I631" s="5">
        <f>SQRT(SUM('p-pi-multi'!$C$3:C631)/COUNTIF($A$3:A631,"&lt;&gt;0"))</f>
        <v>17.74550705580786</v>
      </c>
    </row>
    <row r="632" spans="1:9">
      <c r="A632">
        <v>630</v>
      </c>
      <c r="B632">
        <v>343</v>
      </c>
      <c r="C632">
        <v>313</v>
      </c>
      <c r="D632">
        <v>314</v>
      </c>
      <c r="E632" s="4">
        <f t="shared" si="40"/>
        <v>1</v>
      </c>
      <c r="F632" s="4">
        <f t="shared" si="41"/>
        <v>30</v>
      </c>
      <c r="G632" s="4">
        <f t="shared" si="39"/>
        <v>7.6498737770826775E-3</v>
      </c>
      <c r="H632" s="4">
        <f t="shared" si="42"/>
        <v>900</v>
      </c>
      <c r="I632" s="5">
        <f>SQRT(SUM('p-pi-multi'!$C$3:C632)/COUNTIF($A$3:A632,"&lt;&gt;0"))</f>
        <v>17.745421944828475</v>
      </c>
    </row>
    <row r="633" spans="1:9">
      <c r="A633">
        <v>631</v>
      </c>
      <c r="B633">
        <v>343</v>
      </c>
      <c r="C633">
        <v>374</v>
      </c>
      <c r="D633">
        <v>334</v>
      </c>
      <c r="E633" s="4">
        <f t="shared" si="40"/>
        <v>1</v>
      </c>
      <c r="F633" s="4">
        <f t="shared" si="41"/>
        <v>31</v>
      </c>
      <c r="G633" s="4">
        <f t="shared" si="39"/>
        <v>8.1683652219738372E-3</v>
      </c>
      <c r="H633" s="4">
        <f t="shared" si="42"/>
        <v>961</v>
      </c>
      <c r="I633" s="5">
        <f>SQRT(SUM('p-pi-multi'!$C$3:C633)/COUNTIF($A$3:A633,"&lt;&gt;0"))</f>
        <v>17.748060763243529</v>
      </c>
    </row>
    <row r="634" spans="1:9">
      <c r="A634">
        <v>632</v>
      </c>
      <c r="B634">
        <v>343</v>
      </c>
      <c r="C634">
        <v>337</v>
      </c>
      <c r="D634">
        <v>313</v>
      </c>
      <c r="E634" s="4">
        <f t="shared" si="40"/>
        <v>1</v>
      </c>
      <c r="F634" s="4">
        <f t="shared" si="41"/>
        <v>6</v>
      </c>
      <c r="G634" s="4">
        <f t="shared" si="39"/>
        <v>3.0599495108330713E-4</v>
      </c>
      <c r="H634" s="4">
        <f t="shared" si="42"/>
        <v>36</v>
      </c>
      <c r="I634" s="5">
        <f>SQRT(SUM('p-pi-multi'!$C$3:C634)/COUNTIF($A$3:A634,"&lt;&gt;0"))</f>
        <v>17.749041692797338</v>
      </c>
    </row>
    <row r="635" spans="1:9">
      <c r="A635">
        <v>633</v>
      </c>
      <c r="B635">
        <v>343</v>
      </c>
      <c r="C635">
        <v>382</v>
      </c>
      <c r="D635">
        <v>325</v>
      </c>
      <c r="E635" s="4">
        <f t="shared" si="40"/>
        <v>1</v>
      </c>
      <c r="F635" s="4">
        <f t="shared" si="41"/>
        <v>39</v>
      </c>
      <c r="G635" s="4">
        <f t="shared" si="39"/>
        <v>1.2928286683269724E-2</v>
      </c>
      <c r="H635" s="4">
        <f t="shared" si="42"/>
        <v>1521</v>
      </c>
      <c r="I635" s="5">
        <f>SQRT(SUM('p-pi-multi'!$C$3:C635)/COUNTIF($A$3:A635,"&lt;&gt;0"))</f>
        <v>17.752021890495513</v>
      </c>
    </row>
    <row r="636" spans="1:9">
      <c r="A636">
        <v>634</v>
      </c>
      <c r="B636">
        <v>343</v>
      </c>
      <c r="C636">
        <v>311</v>
      </c>
      <c r="D636">
        <v>308</v>
      </c>
      <c r="E636" s="4">
        <f t="shared" si="40"/>
        <v>1</v>
      </c>
      <c r="F636" s="4">
        <f t="shared" si="41"/>
        <v>32</v>
      </c>
      <c r="G636" s="4">
        <f t="shared" si="39"/>
        <v>8.7038563863696249E-3</v>
      </c>
      <c r="H636" s="4">
        <f t="shared" si="42"/>
        <v>1024</v>
      </c>
      <c r="I636" s="5">
        <f>SQRT(SUM('p-pi-multi'!$C$3:C636)/COUNTIF($A$3:A636,"&lt;&gt;0"))</f>
        <v>17.751838221783284</v>
      </c>
    </row>
    <row r="637" spans="1:9">
      <c r="A637">
        <v>635</v>
      </c>
      <c r="B637">
        <v>343</v>
      </c>
      <c r="C637">
        <v>372</v>
      </c>
      <c r="D637">
        <v>332</v>
      </c>
      <c r="E637" s="4">
        <f t="shared" si="40"/>
        <v>1</v>
      </c>
      <c r="F637" s="4">
        <f t="shared" si="41"/>
        <v>29</v>
      </c>
      <c r="G637" s="4">
        <f t="shared" si="39"/>
        <v>7.1483820516961465E-3</v>
      </c>
      <c r="H637" s="4">
        <f t="shared" si="42"/>
        <v>841</v>
      </c>
      <c r="I637" s="5">
        <f>SQRT(SUM('p-pi-multi'!$C$3:C637)/COUNTIF($A$3:A637,"&lt;&gt;0"))</f>
        <v>17.754360670963223</v>
      </c>
    </row>
    <row r="638" spans="1:9">
      <c r="A638">
        <v>636</v>
      </c>
      <c r="B638">
        <v>343</v>
      </c>
      <c r="C638">
        <v>336</v>
      </c>
      <c r="D638">
        <v>312</v>
      </c>
      <c r="E638" s="4">
        <f t="shared" si="40"/>
        <v>1</v>
      </c>
      <c r="F638" s="4">
        <f t="shared" si="41"/>
        <v>7</v>
      </c>
      <c r="G638" s="4">
        <f t="shared" si="39"/>
        <v>4.1649312786339016E-4</v>
      </c>
      <c r="H638" s="4">
        <f t="shared" si="42"/>
        <v>49</v>
      </c>
      <c r="I638" s="5">
        <f>SQRT(SUM('p-pi-multi'!$C$3:C638)/COUNTIF($A$3:A638,"&lt;&gt;0"))</f>
        <v>17.755280904564703</v>
      </c>
    </row>
    <row r="639" spans="1:9">
      <c r="A639">
        <v>637</v>
      </c>
      <c r="B639">
        <v>343</v>
      </c>
      <c r="C639">
        <v>383</v>
      </c>
      <c r="D639">
        <v>323</v>
      </c>
      <c r="E639" s="4">
        <f t="shared" si="40"/>
        <v>1</v>
      </c>
      <c r="F639" s="4">
        <f t="shared" si="41"/>
        <v>40</v>
      </c>
      <c r="G639" s="4">
        <f t="shared" si="39"/>
        <v>1.3599775603702537E-2</v>
      </c>
      <c r="H639" s="4">
        <f t="shared" si="42"/>
        <v>1600</v>
      </c>
      <c r="I639" s="5">
        <f>SQRT(SUM('p-pi-multi'!$C$3:C639)/COUNTIF($A$3:A639,"&lt;&gt;0"))</f>
        <v>17.758275758862023</v>
      </c>
    </row>
    <row r="640" spans="1:9">
      <c r="A640">
        <v>638</v>
      </c>
      <c r="B640">
        <v>343</v>
      </c>
      <c r="C640">
        <v>349</v>
      </c>
      <c r="D640">
        <v>306</v>
      </c>
      <c r="E640" s="4">
        <f t="shared" si="40"/>
        <v>1</v>
      </c>
      <c r="F640" s="4">
        <f t="shared" si="41"/>
        <v>6</v>
      </c>
      <c r="G640" s="4">
        <f t="shared" si="39"/>
        <v>3.0599495108330713E-4</v>
      </c>
      <c r="H640" s="4">
        <f t="shared" si="42"/>
        <v>36</v>
      </c>
      <c r="I640" s="5">
        <f>SQRT(SUM('p-pi-multi'!$C$3:C640)/COUNTIF($A$3:A640,"&lt;&gt;0"))</f>
        <v>17.759760440644772</v>
      </c>
    </row>
    <row r="641" spans="1:9">
      <c r="A641">
        <v>639</v>
      </c>
      <c r="B641">
        <v>343</v>
      </c>
      <c r="C641">
        <v>353</v>
      </c>
      <c r="D641">
        <v>315</v>
      </c>
      <c r="E641" s="4">
        <f t="shared" si="40"/>
        <v>1</v>
      </c>
      <c r="F641" s="4">
        <f t="shared" si="41"/>
        <v>10</v>
      </c>
      <c r="G641" s="4">
        <f t="shared" si="39"/>
        <v>8.4998597523140858E-4</v>
      </c>
      <c r="H641" s="4">
        <f t="shared" si="42"/>
        <v>100</v>
      </c>
      <c r="I641" s="5">
        <f>SQRT(SUM('p-pi-multi'!$C$3:C641)/COUNTIF($A$3:A641,"&lt;&gt;0"))</f>
        <v>17.761416571401284</v>
      </c>
    </row>
    <row r="642" spans="1:9">
      <c r="A642">
        <v>640</v>
      </c>
      <c r="B642">
        <v>343</v>
      </c>
      <c r="C642">
        <v>353</v>
      </c>
      <c r="D642">
        <v>313</v>
      </c>
      <c r="E642" s="4">
        <f t="shared" si="40"/>
        <v>1</v>
      </c>
      <c r="F642" s="4">
        <f t="shared" si="41"/>
        <v>10</v>
      </c>
      <c r="G642" s="4">
        <f t="shared" si="39"/>
        <v>8.4998597523140858E-4</v>
      </c>
      <c r="H642" s="4">
        <f t="shared" si="42"/>
        <v>100</v>
      </c>
      <c r="I642" s="5">
        <f>SQRT(SUM('p-pi-multi'!$C$3:C642)/COUNTIF($A$3:A642,"&lt;&gt;0"))</f>
        <v>17.763067373063695</v>
      </c>
    </row>
    <row r="643" spans="1:9">
      <c r="A643">
        <v>641</v>
      </c>
      <c r="B643">
        <v>343</v>
      </c>
      <c r="C643">
        <v>353</v>
      </c>
      <c r="D643">
        <v>313</v>
      </c>
      <c r="E643" s="4">
        <f t="shared" si="40"/>
        <v>1</v>
      </c>
      <c r="F643" s="4">
        <f t="shared" si="41"/>
        <v>10</v>
      </c>
      <c r="G643" s="4">
        <f t="shared" si="39"/>
        <v>8.4998597523140858E-4</v>
      </c>
      <c r="H643" s="4">
        <f t="shared" si="42"/>
        <v>100</v>
      </c>
      <c r="I643" s="5">
        <f>SQRT(SUM('p-pi-multi'!$C$3:C643)/COUNTIF($A$3:A643,"&lt;&gt;0"))</f>
        <v>17.764712871333892</v>
      </c>
    </row>
    <row r="644" spans="1:9">
      <c r="A644">
        <v>642</v>
      </c>
      <c r="B644">
        <v>343</v>
      </c>
      <c r="C644">
        <v>372</v>
      </c>
      <c r="D644">
        <v>312</v>
      </c>
      <c r="E644" s="4">
        <f t="shared" si="40"/>
        <v>1</v>
      </c>
      <c r="F644" s="4">
        <f t="shared" si="41"/>
        <v>29</v>
      </c>
      <c r="G644" s="4">
        <f t="shared" ref="G644:G707" si="43">POWER(ABS(B644-C644)/B644,2)</f>
        <v>7.1483820516961465E-3</v>
      </c>
      <c r="H644" s="4">
        <f t="shared" si="42"/>
        <v>841</v>
      </c>
      <c r="I644" s="5">
        <f>SQRT(SUM('p-pi-multi'!$C$3:C644)/COUNTIF($A$3:A644,"&lt;&gt;0"))</f>
        <v>17.767185967289858</v>
      </c>
    </row>
    <row r="645" spans="1:9">
      <c r="A645">
        <v>643</v>
      </c>
      <c r="B645">
        <v>343</v>
      </c>
      <c r="C645">
        <v>364</v>
      </c>
      <c r="D645">
        <v>304</v>
      </c>
      <c r="E645" s="4">
        <f t="shared" si="40"/>
        <v>1</v>
      </c>
      <c r="F645" s="4">
        <f t="shared" si="41"/>
        <v>21</v>
      </c>
      <c r="G645" s="4">
        <f t="shared" si="43"/>
        <v>3.7484381507705122E-3</v>
      </c>
      <c r="H645" s="4">
        <f t="shared" si="42"/>
        <v>441</v>
      </c>
      <c r="I645" s="5">
        <f>SQRT(SUM('p-pi-multi'!$C$3:C645)/COUNTIF($A$3:A645,"&lt;&gt;0"))</f>
        <v>17.76930094256829</v>
      </c>
    </row>
    <row r="646" spans="1:9">
      <c r="A646">
        <v>644</v>
      </c>
      <c r="B646">
        <v>343</v>
      </c>
      <c r="C646">
        <v>304</v>
      </c>
      <c r="D646">
        <v>305</v>
      </c>
      <c r="E646" s="4">
        <f t="shared" si="40"/>
        <v>1</v>
      </c>
      <c r="F646" s="4">
        <f t="shared" si="41"/>
        <v>39</v>
      </c>
      <c r="G646" s="4">
        <f t="shared" si="43"/>
        <v>1.2928286683269724E-2</v>
      </c>
      <c r="H646" s="4">
        <f t="shared" si="42"/>
        <v>1521</v>
      </c>
      <c r="I646" s="5">
        <f>SQRT(SUM('p-pi-multi'!$C$3:C646)/COUNTIF($A$3:A646,"&lt;&gt;0"))</f>
        <v>17.768787625063119</v>
      </c>
    </row>
    <row r="647" spans="1:9">
      <c r="A647">
        <v>645</v>
      </c>
      <c r="B647">
        <v>343</v>
      </c>
      <c r="C647">
        <v>361</v>
      </c>
      <c r="D647">
        <v>326</v>
      </c>
      <c r="E647" s="4">
        <f t="shared" si="40"/>
        <v>1</v>
      </c>
      <c r="F647" s="4">
        <f t="shared" si="41"/>
        <v>18</v>
      </c>
      <c r="G647" s="4">
        <f t="shared" si="43"/>
        <v>2.7539545597497642E-3</v>
      </c>
      <c r="H647" s="4">
        <f t="shared" si="42"/>
        <v>324</v>
      </c>
      <c r="I647" s="5">
        <f>SQRT(SUM('p-pi-multi'!$C$3:C647)/COUNTIF($A$3:A647,"&lt;&gt;0"))</f>
        <v>17.770762504743573</v>
      </c>
    </row>
    <row r="648" spans="1:9">
      <c r="A648">
        <v>646</v>
      </c>
      <c r="B648">
        <v>343</v>
      </c>
      <c r="C648">
        <v>350</v>
      </c>
      <c r="D648">
        <v>307</v>
      </c>
      <c r="E648" s="4">
        <f t="shared" si="40"/>
        <v>1</v>
      </c>
      <c r="F648" s="4">
        <f t="shared" si="41"/>
        <v>7</v>
      </c>
      <c r="G648" s="4">
        <f t="shared" si="43"/>
        <v>4.1649312786339016E-4</v>
      </c>
      <c r="H648" s="4">
        <f t="shared" si="42"/>
        <v>49</v>
      </c>
      <c r="I648" s="5">
        <f>SQRT(SUM('p-pi-multi'!$C$3:C648)/COUNTIF($A$3:A648,"&lt;&gt;0"))</f>
        <v>17.772252000702405</v>
      </c>
    </row>
    <row r="649" spans="1:9">
      <c r="A649">
        <v>647</v>
      </c>
      <c r="B649">
        <v>343</v>
      </c>
      <c r="C649">
        <v>329</v>
      </c>
      <c r="D649">
        <v>310</v>
      </c>
      <c r="E649" s="4">
        <f t="shared" si="40"/>
        <v>1</v>
      </c>
      <c r="F649" s="4">
        <f t="shared" si="41"/>
        <v>14</v>
      </c>
      <c r="G649" s="4">
        <f t="shared" si="43"/>
        <v>1.6659725114535606E-3</v>
      </c>
      <c r="H649" s="4">
        <f t="shared" si="42"/>
        <v>196</v>
      </c>
      <c r="I649" s="5">
        <f>SQRT(SUM('p-pi-multi'!$C$3:C649)/COUNTIF($A$3:A649,"&lt;&gt;0"))</f>
        <v>17.77282367001834</v>
      </c>
    </row>
    <row r="650" spans="1:9">
      <c r="A650">
        <v>648</v>
      </c>
      <c r="B650">
        <v>343</v>
      </c>
      <c r="C650">
        <v>335</v>
      </c>
      <c r="D650">
        <v>317</v>
      </c>
      <c r="E650" s="4">
        <f t="shared" si="40"/>
        <v>1</v>
      </c>
      <c r="F650" s="4">
        <f t="shared" si="41"/>
        <v>8</v>
      </c>
      <c r="G650" s="4">
        <f t="shared" si="43"/>
        <v>5.4399102414810156E-4</v>
      </c>
      <c r="H650" s="4">
        <f t="shared" si="42"/>
        <v>64</v>
      </c>
      <c r="I650" s="5">
        <f>SQRT(SUM('p-pi-multi'!$C$3:C650)/COUNTIF($A$3:A650,"&lt;&gt;0"))</f>
        <v>17.77365403561625</v>
      </c>
    </row>
    <row r="651" spans="1:9">
      <c r="A651">
        <v>649</v>
      </c>
      <c r="B651">
        <v>343</v>
      </c>
      <c r="C651">
        <v>376</v>
      </c>
      <c r="D651">
        <v>316</v>
      </c>
      <c r="E651" s="4">
        <f t="shared" si="40"/>
        <v>1</v>
      </c>
      <c r="F651" s="4">
        <f t="shared" si="41"/>
        <v>33</v>
      </c>
      <c r="G651" s="4">
        <f t="shared" si="43"/>
        <v>9.2563472702700406E-3</v>
      </c>
      <c r="H651" s="4">
        <f t="shared" si="42"/>
        <v>1089</v>
      </c>
      <c r="I651" s="5">
        <f>SQRT(SUM('p-pi-multi'!$C$3:C651)/COUNTIF($A$3:A651,"&lt;&gt;0"))</f>
        <v>17.776258816293492</v>
      </c>
    </row>
    <row r="652" spans="1:9">
      <c r="A652">
        <v>650</v>
      </c>
      <c r="B652">
        <v>343</v>
      </c>
      <c r="C652">
        <v>364</v>
      </c>
      <c r="D652">
        <v>301</v>
      </c>
      <c r="E652" s="4">
        <f t="shared" si="40"/>
        <v>1</v>
      </c>
      <c r="F652" s="4">
        <f t="shared" si="41"/>
        <v>21</v>
      </c>
      <c r="G652" s="4">
        <f t="shared" si="43"/>
        <v>3.7484381507705122E-3</v>
      </c>
      <c r="H652" s="4">
        <f t="shared" si="42"/>
        <v>441</v>
      </c>
      <c r="I652" s="5">
        <f>SQRT(SUM('p-pi-multi'!$C$3:C652)/COUNTIF($A$3:A652,"&lt;&gt;0"))</f>
        <v>17.778335995509558</v>
      </c>
    </row>
    <row r="653" spans="1:9">
      <c r="A653">
        <v>651</v>
      </c>
      <c r="B653">
        <v>343</v>
      </c>
      <c r="C653">
        <v>342</v>
      </c>
      <c r="D653">
        <v>303</v>
      </c>
      <c r="E653" s="4">
        <f t="shared" si="40"/>
        <v>1</v>
      </c>
      <c r="F653" s="4">
        <f t="shared" si="41"/>
        <v>1</v>
      </c>
      <c r="G653" s="4">
        <f t="shared" si="43"/>
        <v>8.4998597523140868E-6</v>
      </c>
      <c r="H653" s="4">
        <f t="shared" si="42"/>
        <v>1</v>
      </c>
      <c r="I653" s="5">
        <f>SQRT(SUM('p-pi-multi'!$C$3:C653)/COUNTIF($A$3:A653,"&lt;&gt;0"))</f>
        <v>17.779456205970721</v>
      </c>
    </row>
    <row r="654" spans="1:9">
      <c r="A654">
        <v>652</v>
      </c>
      <c r="B654">
        <v>343</v>
      </c>
      <c r="C654">
        <v>350</v>
      </c>
      <c r="D654">
        <v>310</v>
      </c>
      <c r="E654" s="4">
        <f t="shared" si="40"/>
        <v>1</v>
      </c>
      <c r="F654" s="4">
        <f t="shared" si="41"/>
        <v>7</v>
      </c>
      <c r="G654" s="4">
        <f t="shared" si="43"/>
        <v>4.1649312786339016E-4</v>
      </c>
      <c r="H654" s="4">
        <f t="shared" si="42"/>
        <v>49</v>
      </c>
      <c r="I654" s="5">
        <f>SQRT(SUM('p-pi-multi'!$C$3:C654)/COUNTIF($A$3:A654,"&lt;&gt;0"))</f>
        <v>17.780917944380299</v>
      </c>
    </row>
    <row r="655" spans="1:9">
      <c r="A655">
        <v>653</v>
      </c>
      <c r="B655">
        <v>343</v>
      </c>
      <c r="C655">
        <v>347</v>
      </c>
      <c r="D655">
        <v>307</v>
      </c>
      <c r="E655" s="4">
        <f t="shared" si="40"/>
        <v>1</v>
      </c>
      <c r="F655" s="4">
        <f t="shared" si="41"/>
        <v>4</v>
      </c>
      <c r="G655" s="4">
        <f t="shared" si="43"/>
        <v>1.3599775603702539E-4</v>
      </c>
      <c r="H655" s="4">
        <f t="shared" si="42"/>
        <v>16</v>
      </c>
      <c r="I655" s="5">
        <f>SQRT(SUM('p-pi-multi'!$C$3:C655)/COUNTIF($A$3:A655,"&lt;&gt;0"))</f>
        <v>17.782245907794326</v>
      </c>
    </row>
    <row r="656" spans="1:9">
      <c r="A656">
        <v>654</v>
      </c>
      <c r="B656">
        <v>343</v>
      </c>
      <c r="C656">
        <v>327</v>
      </c>
      <c r="D656">
        <v>307</v>
      </c>
      <c r="E656" s="4">
        <f t="shared" si="40"/>
        <v>1</v>
      </c>
      <c r="F656" s="4">
        <f t="shared" si="41"/>
        <v>16</v>
      </c>
      <c r="G656" s="4">
        <f t="shared" si="43"/>
        <v>2.1759640965924062E-3</v>
      </c>
      <c r="H656" s="4">
        <f t="shared" si="42"/>
        <v>256</v>
      </c>
      <c r="I656" s="5">
        <f>SQRT(SUM('p-pi-multi'!$C$3:C656)/COUNTIF($A$3:A656,"&lt;&gt;0"))</f>
        <v>17.782709879042674</v>
      </c>
    </row>
    <row r="657" spans="1:9">
      <c r="A657">
        <v>655</v>
      </c>
      <c r="B657">
        <v>343</v>
      </c>
      <c r="C657">
        <v>313</v>
      </c>
      <c r="D657">
        <v>315</v>
      </c>
      <c r="E657" s="4">
        <f t="shared" si="40"/>
        <v>1</v>
      </c>
      <c r="F657" s="4">
        <f t="shared" si="41"/>
        <v>30</v>
      </c>
      <c r="G657" s="4">
        <f t="shared" si="43"/>
        <v>7.6498737770826775E-3</v>
      </c>
      <c r="H657" s="4">
        <f t="shared" si="42"/>
        <v>900</v>
      </c>
      <c r="I657" s="5">
        <f>SQRT(SUM('p-pi-multi'!$C$3:C657)/COUNTIF($A$3:A657,"&lt;&gt;0"))</f>
        <v>17.782571448703482</v>
      </c>
    </row>
    <row r="658" spans="1:9">
      <c r="A658">
        <v>656</v>
      </c>
      <c r="B658">
        <v>343</v>
      </c>
      <c r="C658">
        <v>339</v>
      </c>
      <c r="D658">
        <v>321</v>
      </c>
      <c r="E658" s="4">
        <f t="shared" si="40"/>
        <v>1</v>
      </c>
      <c r="F658" s="4">
        <f t="shared" si="41"/>
        <v>4</v>
      </c>
      <c r="G658" s="4">
        <f t="shared" si="43"/>
        <v>1.3599775603702539E-4</v>
      </c>
      <c r="H658" s="4">
        <f t="shared" si="42"/>
        <v>16</v>
      </c>
      <c r="I658" s="5">
        <f>SQRT(SUM('p-pi-multi'!$C$3:C658)/COUNTIF($A$3:A658,"&lt;&gt;0"))</f>
        <v>17.78354782293825</v>
      </c>
    </row>
    <row r="659" spans="1:9">
      <c r="A659">
        <v>657</v>
      </c>
      <c r="B659">
        <v>343</v>
      </c>
      <c r="C659">
        <v>373</v>
      </c>
      <c r="D659">
        <v>313</v>
      </c>
      <c r="E659" s="4">
        <f t="shared" si="40"/>
        <v>1</v>
      </c>
      <c r="F659" s="4">
        <f t="shared" si="41"/>
        <v>30</v>
      </c>
      <c r="G659" s="4">
        <f t="shared" si="43"/>
        <v>7.6498737770826775E-3</v>
      </c>
      <c r="H659" s="4">
        <f t="shared" si="42"/>
        <v>900</v>
      </c>
      <c r="I659" s="5">
        <f>SQRT(SUM('p-pi-multi'!$C$3:C659)/COUNTIF($A$3:A659,"&lt;&gt;0"))</f>
        <v>17.785976039661399</v>
      </c>
    </row>
    <row r="660" spans="1:9">
      <c r="A660">
        <v>658</v>
      </c>
      <c r="B660">
        <v>343</v>
      </c>
      <c r="C660">
        <v>303</v>
      </c>
      <c r="D660">
        <v>301</v>
      </c>
      <c r="E660" s="4">
        <f t="shared" si="40"/>
        <v>1</v>
      </c>
      <c r="F660" s="4">
        <f t="shared" si="41"/>
        <v>40</v>
      </c>
      <c r="G660" s="4">
        <f t="shared" si="43"/>
        <v>1.3599775603702537E-2</v>
      </c>
      <c r="H660" s="4">
        <f t="shared" si="42"/>
        <v>1600</v>
      </c>
      <c r="I660" s="5">
        <f>SQRT(SUM('p-pi-multi'!$C$3:C660)/COUNTIF($A$3:A660,"&lt;&gt;0"))</f>
        <v>17.785406059266936</v>
      </c>
    </row>
    <row r="661" spans="1:9">
      <c r="A661">
        <v>659</v>
      </c>
      <c r="B661">
        <v>343</v>
      </c>
      <c r="C661">
        <v>340</v>
      </c>
      <c r="D661">
        <v>325</v>
      </c>
      <c r="E661" s="4">
        <f t="shared" si="40"/>
        <v>1</v>
      </c>
      <c r="F661" s="4">
        <f t="shared" si="41"/>
        <v>3</v>
      </c>
      <c r="G661" s="4">
        <f t="shared" si="43"/>
        <v>7.6498737770826783E-5</v>
      </c>
      <c r="H661" s="4">
        <f t="shared" si="42"/>
        <v>9</v>
      </c>
      <c r="I661" s="5">
        <f>SQRT(SUM('p-pi-multi'!$C$3:C661)/COUNTIF($A$3:A661,"&lt;&gt;0"))</f>
        <v>17.786416190747097</v>
      </c>
    </row>
    <row r="662" spans="1:9">
      <c r="A662">
        <v>660</v>
      </c>
      <c r="B662">
        <v>343</v>
      </c>
      <c r="C662">
        <v>356</v>
      </c>
      <c r="D662">
        <v>314</v>
      </c>
      <c r="E662" s="4">
        <f t="shared" si="40"/>
        <v>1</v>
      </c>
      <c r="F662" s="4">
        <f t="shared" si="41"/>
        <v>13</v>
      </c>
      <c r="G662" s="4">
        <f t="shared" si="43"/>
        <v>1.4364762981410809E-3</v>
      </c>
      <c r="H662" s="4">
        <f t="shared" si="42"/>
        <v>169</v>
      </c>
      <c r="I662" s="5">
        <f>SQRT(SUM('p-pi-multi'!$C$3:C662)/COUNTIF($A$3:A662,"&lt;&gt;0"))</f>
        <v>17.78810463952432</v>
      </c>
    </row>
    <row r="663" spans="1:9">
      <c r="A663">
        <v>661</v>
      </c>
      <c r="B663">
        <v>343</v>
      </c>
      <c r="C663">
        <v>368</v>
      </c>
      <c r="D663">
        <v>308</v>
      </c>
      <c r="E663" s="4">
        <f t="shared" si="40"/>
        <v>1</v>
      </c>
      <c r="F663" s="4">
        <f t="shared" si="41"/>
        <v>25</v>
      </c>
      <c r="G663" s="4">
        <f t="shared" si="43"/>
        <v>5.3124123451963046E-3</v>
      </c>
      <c r="H663" s="4">
        <f t="shared" si="42"/>
        <v>625</v>
      </c>
      <c r="I663" s="5">
        <f>SQRT(SUM('p-pi-multi'!$C$3:C663)/COUNTIF($A$3:A663,"&lt;&gt;0"))</f>
        <v>17.790298057998793</v>
      </c>
    </row>
    <row r="664" spans="1:9">
      <c r="A664">
        <v>662</v>
      </c>
      <c r="B664">
        <v>343</v>
      </c>
      <c r="C664">
        <v>363</v>
      </c>
      <c r="D664">
        <v>303</v>
      </c>
      <c r="E664" s="4">
        <f t="shared" si="40"/>
        <v>1</v>
      </c>
      <c r="F664" s="4">
        <f t="shared" si="41"/>
        <v>20</v>
      </c>
      <c r="G664" s="4">
        <f t="shared" si="43"/>
        <v>3.3999439009256343E-3</v>
      </c>
      <c r="H664" s="4">
        <f t="shared" si="42"/>
        <v>400</v>
      </c>
      <c r="I664" s="5">
        <f>SQRT(SUM('p-pi-multi'!$C$3:C664)/COUNTIF($A$3:A664,"&lt;&gt;0"))</f>
        <v>17.792272330502911</v>
      </c>
    </row>
    <row r="665" spans="1:9">
      <c r="A665">
        <v>663</v>
      </c>
      <c r="B665">
        <v>343</v>
      </c>
      <c r="C665">
        <v>343</v>
      </c>
      <c r="D665">
        <v>303</v>
      </c>
      <c r="E665" s="4">
        <f t="shared" ref="E665:E728" si="44">IF(AND(C665&lt;=B665*1.2,C665&gt;=B665*0.8),1,0)</f>
        <v>1</v>
      </c>
      <c r="F665" s="4">
        <f t="shared" ref="F665:F728" si="45">ABS(B665-C665)</f>
        <v>0</v>
      </c>
      <c r="G665" s="4">
        <f t="shared" si="43"/>
        <v>0</v>
      </c>
      <c r="H665" s="4">
        <f t="shared" ref="H665:H728" si="46">POWER(F665,2)</f>
        <v>0</v>
      </c>
      <c r="I665" s="5">
        <f>SQRT(SUM('p-pi-multi'!$C$3:C665)/COUNTIF($A$3:A665,"&lt;&gt;0"))</f>
        <v>17.793392777826355</v>
      </c>
    </row>
    <row r="666" spans="1:9">
      <c r="A666">
        <v>664</v>
      </c>
      <c r="B666">
        <v>343</v>
      </c>
      <c r="C666">
        <v>367</v>
      </c>
      <c r="D666">
        <v>309</v>
      </c>
      <c r="E666" s="4">
        <f t="shared" si="44"/>
        <v>1</v>
      </c>
      <c r="F666" s="4">
        <f t="shared" si="45"/>
        <v>24</v>
      </c>
      <c r="G666" s="4">
        <f t="shared" si="43"/>
        <v>4.8959192173329141E-3</v>
      </c>
      <c r="H666" s="4">
        <f t="shared" si="46"/>
        <v>576</v>
      </c>
      <c r="I666" s="5">
        <f>SQRT(SUM('p-pi-multi'!$C$3:C666)/COUNTIF($A$3:A666,"&lt;&gt;0"))</f>
        <v>17.795525361493723</v>
      </c>
    </row>
    <row r="667" spans="1:9">
      <c r="A667">
        <v>665</v>
      </c>
      <c r="B667">
        <v>343</v>
      </c>
      <c r="C667">
        <v>341</v>
      </c>
      <c r="D667">
        <v>300</v>
      </c>
      <c r="E667" s="4">
        <f t="shared" si="44"/>
        <v>1</v>
      </c>
      <c r="F667" s="4">
        <f t="shared" si="45"/>
        <v>2</v>
      </c>
      <c r="G667" s="4">
        <f t="shared" si="43"/>
        <v>3.3999439009256347E-5</v>
      </c>
      <c r="H667" s="4">
        <f t="shared" si="46"/>
        <v>4</v>
      </c>
      <c r="I667" s="5">
        <f>SQRT(SUM('p-pi-multi'!$C$3:C667)/COUNTIF($A$3:A667,"&lt;&gt;0"))</f>
        <v>17.796552846916246</v>
      </c>
    </row>
    <row r="668" spans="1:9">
      <c r="A668">
        <v>666</v>
      </c>
      <c r="B668">
        <v>343</v>
      </c>
      <c r="C668">
        <v>366</v>
      </c>
      <c r="D668">
        <v>308</v>
      </c>
      <c r="E668" s="4">
        <f t="shared" si="44"/>
        <v>1</v>
      </c>
      <c r="F668" s="4">
        <f t="shared" si="45"/>
        <v>23</v>
      </c>
      <c r="G668" s="4">
        <f t="shared" si="43"/>
        <v>4.4964258089741525E-3</v>
      </c>
      <c r="H668" s="4">
        <f t="shared" si="46"/>
        <v>529</v>
      </c>
      <c r="I668" s="5">
        <f>SQRT(SUM('p-pi-multi'!$C$3:C668)/COUNTIF($A$3:A668,"&lt;&gt;0"))</f>
        <v>17.798631725256055</v>
      </c>
    </row>
    <row r="669" spans="1:9">
      <c r="A669">
        <v>667</v>
      </c>
      <c r="B669">
        <v>343</v>
      </c>
      <c r="C669">
        <v>318</v>
      </c>
      <c r="D669">
        <v>298</v>
      </c>
      <c r="E669" s="4">
        <f t="shared" si="44"/>
        <v>1</v>
      </c>
      <c r="F669" s="4">
        <f t="shared" si="45"/>
        <v>25</v>
      </c>
      <c r="G669" s="4">
        <f t="shared" si="43"/>
        <v>5.3124123451963046E-3</v>
      </c>
      <c r="H669" s="4">
        <f t="shared" si="46"/>
        <v>625</v>
      </c>
      <c r="I669" s="5">
        <f>SQRT(SUM('p-pi-multi'!$C$3:C669)/COUNTIF($A$3:A669,"&lt;&gt;0"))</f>
        <v>17.79868263238254</v>
      </c>
    </row>
    <row r="670" spans="1:9">
      <c r="A670">
        <v>668</v>
      </c>
      <c r="B670">
        <v>343</v>
      </c>
      <c r="C670">
        <v>351</v>
      </c>
      <c r="D670">
        <v>315</v>
      </c>
      <c r="E670" s="4">
        <f t="shared" si="44"/>
        <v>1</v>
      </c>
      <c r="F670" s="4">
        <f t="shared" si="45"/>
        <v>8</v>
      </c>
      <c r="G670" s="4">
        <f t="shared" si="43"/>
        <v>5.4399102414810156E-4</v>
      </c>
      <c r="H670" s="4">
        <f t="shared" si="46"/>
        <v>64</v>
      </c>
      <c r="I670" s="5">
        <f>SQRT(SUM('p-pi-multi'!$C$3:C670)/COUNTIF($A$3:A670,"&lt;&gt;0"))</f>
        <v>17.800121105690419</v>
      </c>
    </row>
    <row r="671" spans="1:9">
      <c r="A671">
        <v>669</v>
      </c>
      <c r="B671">
        <v>343</v>
      </c>
      <c r="C671">
        <v>367</v>
      </c>
      <c r="D671">
        <v>304</v>
      </c>
      <c r="E671" s="4">
        <f t="shared" si="44"/>
        <v>1</v>
      </c>
      <c r="F671" s="4">
        <f t="shared" si="45"/>
        <v>24</v>
      </c>
      <c r="G671" s="4">
        <f t="shared" si="43"/>
        <v>4.8959192173329141E-3</v>
      </c>
      <c r="H671" s="4">
        <f t="shared" si="46"/>
        <v>576</v>
      </c>
      <c r="I671" s="5">
        <f>SQRT(SUM('p-pi-multi'!$C$3:C671)/COUNTIF($A$3:A671,"&lt;&gt;0"))</f>
        <v>17.80222689753197</v>
      </c>
    </row>
    <row r="672" spans="1:9">
      <c r="A672">
        <v>670</v>
      </c>
      <c r="B672">
        <v>343</v>
      </c>
      <c r="C672">
        <v>358</v>
      </c>
      <c r="D672">
        <v>298</v>
      </c>
      <c r="E672" s="4">
        <f t="shared" si="44"/>
        <v>1</v>
      </c>
      <c r="F672" s="4">
        <f t="shared" si="45"/>
        <v>15</v>
      </c>
      <c r="G672" s="4">
        <f t="shared" si="43"/>
        <v>1.9124684442706694E-3</v>
      </c>
      <c r="H672" s="4">
        <f t="shared" si="46"/>
        <v>225</v>
      </c>
      <c r="I672" s="5">
        <f>SQRT(SUM('p-pi-multi'!$C$3:C672)/COUNTIF($A$3:A672,"&lt;&gt;0"))</f>
        <v>17.803948916319811</v>
      </c>
    </row>
    <row r="673" spans="1:9">
      <c r="A673">
        <v>671</v>
      </c>
      <c r="B673">
        <v>343</v>
      </c>
      <c r="C673">
        <v>319</v>
      </c>
      <c r="D673">
        <v>299</v>
      </c>
      <c r="E673" s="4">
        <f t="shared" si="44"/>
        <v>1</v>
      </c>
      <c r="F673" s="4">
        <f t="shared" si="45"/>
        <v>24</v>
      </c>
      <c r="G673" s="4">
        <f t="shared" si="43"/>
        <v>4.8959192173329141E-3</v>
      </c>
      <c r="H673" s="4">
        <f t="shared" si="46"/>
        <v>576</v>
      </c>
      <c r="I673" s="5">
        <f>SQRT(SUM('p-pi-multi'!$C$3:C673)/COUNTIF($A$3:A673,"&lt;&gt;0"))</f>
        <v>17.80403343507805</v>
      </c>
    </row>
    <row r="674" spans="1:9">
      <c r="A674">
        <v>672</v>
      </c>
      <c r="B674">
        <v>343</v>
      </c>
      <c r="C674">
        <v>310</v>
      </c>
      <c r="D674">
        <v>313</v>
      </c>
      <c r="E674" s="4">
        <f t="shared" si="44"/>
        <v>1</v>
      </c>
      <c r="F674" s="4">
        <f t="shared" si="45"/>
        <v>33</v>
      </c>
      <c r="G674" s="4">
        <f t="shared" si="43"/>
        <v>9.2563472702700406E-3</v>
      </c>
      <c r="H674" s="4">
        <f t="shared" si="46"/>
        <v>1089</v>
      </c>
      <c r="I674" s="5">
        <f>SQRT(SUM('p-pi-multi'!$C$3:C674)/COUNTIF($A$3:A674,"&lt;&gt;0"))</f>
        <v>17.803741581075432</v>
      </c>
    </row>
    <row r="675" spans="1:9">
      <c r="A675">
        <v>673</v>
      </c>
      <c r="B675">
        <v>343</v>
      </c>
      <c r="C675">
        <v>377</v>
      </c>
      <c r="D675">
        <v>318</v>
      </c>
      <c r="E675" s="4">
        <f t="shared" si="44"/>
        <v>1</v>
      </c>
      <c r="F675" s="4">
        <f t="shared" si="45"/>
        <v>34</v>
      </c>
      <c r="G675" s="4">
        <f t="shared" si="43"/>
        <v>9.8258378736750841E-3</v>
      </c>
      <c r="H675" s="4">
        <f t="shared" si="46"/>
        <v>1156</v>
      </c>
      <c r="I675" s="5">
        <f>SQRT(SUM('p-pi-multi'!$C$3:C675)/COUNTIF($A$3:A675,"&lt;&gt;0"))</f>
        <v>17.806246295394313</v>
      </c>
    </row>
    <row r="676" spans="1:9">
      <c r="A676">
        <v>674</v>
      </c>
      <c r="B676">
        <v>343</v>
      </c>
      <c r="C676">
        <v>315</v>
      </c>
      <c r="D676">
        <v>295</v>
      </c>
      <c r="E676" s="4">
        <f t="shared" si="44"/>
        <v>1</v>
      </c>
      <c r="F676" s="4">
        <f t="shared" si="45"/>
        <v>28</v>
      </c>
      <c r="G676" s="4">
        <f t="shared" si="43"/>
        <v>6.6638900458142426E-3</v>
      </c>
      <c r="H676" s="4">
        <f t="shared" si="46"/>
        <v>784</v>
      </c>
      <c r="I676" s="5">
        <f>SQRT(SUM('p-pi-multi'!$C$3:C676)/COUNTIF($A$3:A676,"&lt;&gt;0"))</f>
        <v>17.806160371652528</v>
      </c>
    </row>
    <row r="677" spans="1:9">
      <c r="A677">
        <v>675</v>
      </c>
      <c r="B677">
        <v>343</v>
      </c>
      <c r="C677">
        <v>356</v>
      </c>
      <c r="D677">
        <v>316</v>
      </c>
      <c r="E677" s="4">
        <f t="shared" si="44"/>
        <v>1</v>
      </c>
      <c r="F677" s="4">
        <f t="shared" si="45"/>
        <v>13</v>
      </c>
      <c r="G677" s="4">
        <f t="shared" si="43"/>
        <v>1.4364762981410809E-3</v>
      </c>
      <c r="H677" s="4">
        <f t="shared" si="46"/>
        <v>169</v>
      </c>
      <c r="I677" s="5">
        <f>SQRT(SUM('p-pi-multi'!$C$3:C677)/COUNTIF($A$3:A677,"&lt;&gt;0"))</f>
        <v>17.807780238902239</v>
      </c>
    </row>
    <row r="678" spans="1:9">
      <c r="A678">
        <v>676</v>
      </c>
      <c r="B678">
        <v>343</v>
      </c>
      <c r="C678">
        <v>325</v>
      </c>
      <c r="D678">
        <v>303</v>
      </c>
      <c r="E678" s="4">
        <f t="shared" si="44"/>
        <v>1</v>
      </c>
      <c r="F678" s="4">
        <f t="shared" si="45"/>
        <v>18</v>
      </c>
      <c r="G678" s="4">
        <f t="shared" si="43"/>
        <v>2.7539545597497642E-3</v>
      </c>
      <c r="H678" s="4">
        <f t="shared" si="46"/>
        <v>324</v>
      </c>
      <c r="I678" s="5">
        <f>SQRT(SUM('p-pi-multi'!$C$3:C678)/COUNTIF($A$3:A678,"&lt;&gt;0"))</f>
        <v>17.808107654235812</v>
      </c>
    </row>
    <row r="679" spans="1:9">
      <c r="A679">
        <v>677</v>
      </c>
      <c r="B679">
        <v>343</v>
      </c>
      <c r="C679">
        <v>333</v>
      </c>
      <c r="D679">
        <v>313</v>
      </c>
      <c r="E679" s="4">
        <f t="shared" si="44"/>
        <v>1</v>
      </c>
      <c r="F679" s="4">
        <f t="shared" si="45"/>
        <v>10</v>
      </c>
      <c r="G679" s="4">
        <f t="shared" si="43"/>
        <v>8.4998597523140858E-4</v>
      </c>
      <c r="H679" s="4">
        <f t="shared" si="46"/>
        <v>100</v>
      </c>
      <c r="I679" s="5">
        <f>SQRT(SUM('p-pi-multi'!$C$3:C679)/COUNTIF($A$3:A679,"&lt;&gt;0"))</f>
        <v>17.808765869707759</v>
      </c>
    </row>
    <row r="680" spans="1:9">
      <c r="A680">
        <v>678</v>
      </c>
      <c r="B680">
        <v>343</v>
      </c>
      <c r="C680">
        <v>332</v>
      </c>
      <c r="D680">
        <v>312</v>
      </c>
      <c r="E680" s="4">
        <f t="shared" si="44"/>
        <v>1</v>
      </c>
      <c r="F680" s="4">
        <f t="shared" si="45"/>
        <v>11</v>
      </c>
      <c r="G680" s="4">
        <f t="shared" si="43"/>
        <v>1.0284830300300045E-3</v>
      </c>
      <c r="H680" s="4">
        <f t="shared" si="46"/>
        <v>121</v>
      </c>
      <c r="I680" s="5">
        <f>SQRT(SUM('p-pi-multi'!$C$3:C680)/COUNTIF($A$3:A680,"&lt;&gt;0"))</f>
        <v>17.809380710679839</v>
      </c>
    </row>
    <row r="681" spans="1:9">
      <c r="A681">
        <v>679</v>
      </c>
      <c r="B681">
        <v>343</v>
      </c>
      <c r="C681">
        <v>332</v>
      </c>
      <c r="D681">
        <v>313</v>
      </c>
      <c r="E681" s="4">
        <f t="shared" si="44"/>
        <v>1</v>
      </c>
      <c r="F681" s="4">
        <f t="shared" si="45"/>
        <v>11</v>
      </c>
      <c r="G681" s="4">
        <f t="shared" si="43"/>
        <v>1.0284830300300045E-3</v>
      </c>
      <c r="H681" s="4">
        <f t="shared" si="46"/>
        <v>121</v>
      </c>
      <c r="I681" s="5">
        <f>SQRT(SUM('p-pi-multi'!$C$3:C681)/COUNTIF($A$3:A681,"&lt;&gt;0"))</f>
        <v>17.809993719500852</v>
      </c>
    </row>
    <row r="682" spans="1:9">
      <c r="A682">
        <v>680</v>
      </c>
      <c r="B682">
        <v>343</v>
      </c>
      <c r="C682">
        <v>333</v>
      </c>
      <c r="D682">
        <v>313</v>
      </c>
      <c r="E682" s="4">
        <f t="shared" si="44"/>
        <v>1</v>
      </c>
      <c r="F682" s="4">
        <f t="shared" si="45"/>
        <v>10</v>
      </c>
      <c r="G682" s="4">
        <f t="shared" si="43"/>
        <v>8.4998597523140858E-4</v>
      </c>
      <c r="H682" s="4">
        <f t="shared" si="46"/>
        <v>100</v>
      </c>
      <c r="I682" s="5">
        <f>SQRT(SUM('p-pi-multi'!$C$3:C682)/COUNTIF($A$3:A682,"&lt;&gt;0"))</f>
        <v>17.810646188363265</v>
      </c>
    </row>
    <row r="683" spans="1:9">
      <c r="A683">
        <v>681</v>
      </c>
      <c r="B683">
        <v>343</v>
      </c>
      <c r="C683">
        <v>353</v>
      </c>
      <c r="D683">
        <v>314</v>
      </c>
      <c r="E683" s="4">
        <f t="shared" si="44"/>
        <v>1</v>
      </c>
      <c r="F683" s="4">
        <f t="shared" si="45"/>
        <v>10</v>
      </c>
      <c r="G683" s="4">
        <f t="shared" si="43"/>
        <v>8.4998597523140858E-4</v>
      </c>
      <c r="H683" s="4">
        <f t="shared" si="46"/>
        <v>100</v>
      </c>
      <c r="I683" s="5">
        <f>SQRT(SUM('p-pi-multi'!$C$3:C683)/COUNTIF($A$3:A683,"&lt;&gt;0"))</f>
        <v>17.812121134904814</v>
      </c>
    </row>
    <row r="684" spans="1:9">
      <c r="A684">
        <v>682</v>
      </c>
      <c r="B684">
        <v>343</v>
      </c>
      <c r="C684">
        <v>308</v>
      </c>
      <c r="D684">
        <v>307</v>
      </c>
      <c r="E684" s="4">
        <f t="shared" si="44"/>
        <v>1</v>
      </c>
      <c r="F684" s="4">
        <f t="shared" si="45"/>
        <v>35</v>
      </c>
      <c r="G684" s="4">
        <f t="shared" si="43"/>
        <v>1.0412328196584757E-2</v>
      </c>
      <c r="H684" s="4">
        <f t="shared" si="46"/>
        <v>1225</v>
      </c>
      <c r="I684" s="5">
        <f>SQRT(SUM('p-pi-multi'!$C$3:C684)/COUNTIF($A$3:A684,"&lt;&gt;0"))</f>
        <v>17.811739514043232</v>
      </c>
    </row>
    <row r="685" spans="1:9">
      <c r="A685">
        <v>683</v>
      </c>
      <c r="B685">
        <v>343</v>
      </c>
      <c r="C685">
        <v>363</v>
      </c>
      <c r="D685">
        <v>323</v>
      </c>
      <c r="E685" s="4">
        <f t="shared" si="44"/>
        <v>1</v>
      </c>
      <c r="F685" s="4">
        <f t="shared" si="45"/>
        <v>20</v>
      </c>
      <c r="G685" s="4">
        <f t="shared" si="43"/>
        <v>3.3999439009256343E-3</v>
      </c>
      <c r="H685" s="4">
        <f t="shared" si="46"/>
        <v>400</v>
      </c>
      <c r="I685" s="5">
        <f>SQRT(SUM('p-pi-multi'!$C$3:C685)/COUNTIF($A$3:A685,"&lt;&gt;0"))</f>
        <v>17.813619413337118</v>
      </c>
    </row>
    <row r="686" spans="1:9">
      <c r="A686">
        <v>684</v>
      </c>
      <c r="B686">
        <v>343</v>
      </c>
      <c r="C686">
        <v>345</v>
      </c>
      <c r="D686">
        <v>305</v>
      </c>
      <c r="E686" s="4">
        <f t="shared" si="44"/>
        <v>1</v>
      </c>
      <c r="F686" s="4">
        <f t="shared" si="45"/>
        <v>2</v>
      </c>
      <c r="G686" s="4">
        <f t="shared" si="43"/>
        <v>3.3999439009256347E-5</v>
      </c>
      <c r="H686" s="4">
        <f t="shared" si="46"/>
        <v>4</v>
      </c>
      <c r="I686" s="5">
        <f>SQRT(SUM('p-pi-multi'!$C$3:C686)/COUNTIF($A$3:A686,"&lt;&gt;0"))</f>
        <v>17.814755038338962</v>
      </c>
    </row>
    <row r="687" spans="1:9">
      <c r="A687">
        <v>685</v>
      </c>
      <c r="B687">
        <v>343</v>
      </c>
      <c r="C687">
        <v>309</v>
      </c>
      <c r="D687">
        <v>310</v>
      </c>
      <c r="E687" s="4">
        <f t="shared" si="44"/>
        <v>1</v>
      </c>
      <c r="F687" s="4">
        <f t="shared" si="45"/>
        <v>34</v>
      </c>
      <c r="G687" s="4">
        <f t="shared" si="43"/>
        <v>9.8258378736750841E-3</v>
      </c>
      <c r="H687" s="4">
        <f t="shared" si="46"/>
        <v>1156</v>
      </c>
      <c r="I687" s="5">
        <f>SQRT(SUM('p-pi-multi'!$C$3:C687)/COUNTIF($A$3:A687,"&lt;&gt;0"))</f>
        <v>17.814412274097982</v>
      </c>
    </row>
    <row r="688" spans="1:9">
      <c r="A688">
        <v>686</v>
      </c>
      <c r="B688">
        <v>343</v>
      </c>
      <c r="C688">
        <v>344</v>
      </c>
      <c r="D688">
        <v>324</v>
      </c>
      <c r="E688" s="4">
        <f t="shared" si="44"/>
        <v>1</v>
      </c>
      <c r="F688" s="4">
        <f t="shared" si="45"/>
        <v>1</v>
      </c>
      <c r="G688" s="4">
        <f t="shared" si="43"/>
        <v>8.4998597523140868E-6</v>
      </c>
      <c r="H688" s="4">
        <f t="shared" si="46"/>
        <v>1</v>
      </c>
      <c r="I688" s="5">
        <f>SQRT(SUM('p-pi-multi'!$C$3:C688)/COUNTIF($A$3:A688,"&lt;&gt;0"))</f>
        <v>17.815502470597998</v>
      </c>
    </row>
    <row r="689" spans="1:9">
      <c r="A689">
        <v>687</v>
      </c>
      <c r="B689">
        <v>343</v>
      </c>
      <c r="C689">
        <v>335</v>
      </c>
      <c r="D689">
        <v>313</v>
      </c>
      <c r="E689" s="4">
        <f t="shared" si="44"/>
        <v>1</v>
      </c>
      <c r="F689" s="4">
        <f t="shared" si="45"/>
        <v>8</v>
      </c>
      <c r="G689" s="4">
        <f t="shared" si="43"/>
        <v>5.4399102414810156E-4</v>
      </c>
      <c r="H689" s="4">
        <f t="shared" si="46"/>
        <v>64</v>
      </c>
      <c r="I689" s="5">
        <f>SQRT(SUM('p-pi-multi'!$C$3:C689)/COUNTIF($A$3:A689,"&lt;&gt;0"))</f>
        <v>17.816221775946872</v>
      </c>
    </row>
    <row r="690" spans="1:9">
      <c r="A690">
        <v>688</v>
      </c>
      <c r="B690">
        <v>343</v>
      </c>
      <c r="C690">
        <v>315</v>
      </c>
      <c r="D690">
        <v>316</v>
      </c>
      <c r="E690" s="4">
        <f t="shared" si="44"/>
        <v>1</v>
      </c>
      <c r="F690" s="4">
        <f t="shared" si="45"/>
        <v>28</v>
      </c>
      <c r="G690" s="4">
        <f t="shared" si="43"/>
        <v>6.6638900458142426E-3</v>
      </c>
      <c r="H690" s="4">
        <f t="shared" si="46"/>
        <v>784</v>
      </c>
      <c r="I690" s="5">
        <f>SQRT(SUM('p-pi-multi'!$C$3:C690)/COUNTIF($A$3:A690,"&lt;&gt;0"))</f>
        <v>17.816123152528064</v>
      </c>
    </row>
    <row r="691" spans="1:9">
      <c r="A691">
        <v>689</v>
      </c>
      <c r="B691">
        <v>343</v>
      </c>
      <c r="C691">
        <v>345</v>
      </c>
      <c r="D691">
        <v>325</v>
      </c>
      <c r="E691" s="4">
        <f t="shared" si="44"/>
        <v>1</v>
      </c>
      <c r="F691" s="4">
        <f t="shared" si="45"/>
        <v>2</v>
      </c>
      <c r="G691" s="4">
        <f t="shared" si="43"/>
        <v>3.3999439009256347E-5</v>
      </c>
      <c r="H691" s="4">
        <f t="shared" si="46"/>
        <v>4</v>
      </c>
      <c r="I691" s="5">
        <f>SQRT(SUM('p-pi-multi'!$C$3:C691)/COUNTIF($A$3:A691,"&lt;&gt;0"))</f>
        <v>17.817246744867433</v>
      </c>
    </row>
    <row r="692" spans="1:9">
      <c r="A692">
        <v>690</v>
      </c>
      <c r="B692">
        <v>343</v>
      </c>
      <c r="C692">
        <v>337</v>
      </c>
      <c r="D692">
        <v>315</v>
      </c>
      <c r="E692" s="4">
        <f t="shared" si="44"/>
        <v>1</v>
      </c>
      <c r="F692" s="4">
        <f t="shared" si="45"/>
        <v>6</v>
      </c>
      <c r="G692" s="4">
        <f t="shared" si="43"/>
        <v>3.0599495108330713E-4</v>
      </c>
      <c r="H692" s="4">
        <f t="shared" si="46"/>
        <v>36</v>
      </c>
      <c r="I692" s="5">
        <f>SQRT(SUM('p-pi-multi'!$C$3:C692)/COUNTIF($A$3:A692,"&lt;&gt;0"))</f>
        <v>17.818041662754418</v>
      </c>
    </row>
    <row r="693" spans="1:9">
      <c r="A693">
        <v>691</v>
      </c>
      <c r="B693">
        <v>343</v>
      </c>
      <c r="C693">
        <v>357</v>
      </c>
      <c r="D693">
        <v>318</v>
      </c>
      <c r="E693" s="4">
        <f t="shared" si="44"/>
        <v>1</v>
      </c>
      <c r="F693" s="4">
        <f t="shared" si="45"/>
        <v>14</v>
      </c>
      <c r="G693" s="4">
        <f t="shared" si="43"/>
        <v>1.6659725114535606E-3</v>
      </c>
      <c r="H693" s="4">
        <f t="shared" si="46"/>
        <v>196</v>
      </c>
      <c r="I693" s="5">
        <f>SQRT(SUM('p-pi-multi'!$C$3:C693)/COUNTIF($A$3:A693,"&lt;&gt;0"))</f>
        <v>17.819646388048209</v>
      </c>
    </row>
    <row r="694" spans="1:9">
      <c r="A694">
        <v>692</v>
      </c>
      <c r="B694">
        <v>343</v>
      </c>
      <c r="C694">
        <v>332</v>
      </c>
      <c r="D694">
        <v>311</v>
      </c>
      <c r="E694" s="4">
        <f t="shared" si="44"/>
        <v>1</v>
      </c>
      <c r="F694" s="4">
        <f t="shared" si="45"/>
        <v>11</v>
      </c>
      <c r="G694" s="4">
        <f t="shared" si="43"/>
        <v>1.0284830300300045E-3</v>
      </c>
      <c r="H694" s="4">
        <f t="shared" si="46"/>
        <v>121</v>
      </c>
      <c r="I694" s="5">
        <f>SQRT(SUM('p-pi-multi'!$C$3:C694)/COUNTIF($A$3:A694,"&lt;&gt;0"))</f>
        <v>17.820232704474385</v>
      </c>
    </row>
    <row r="695" spans="1:9">
      <c r="A695">
        <v>693</v>
      </c>
      <c r="B695">
        <v>343</v>
      </c>
      <c r="C695">
        <v>379</v>
      </c>
      <c r="D695">
        <v>319</v>
      </c>
      <c r="E695" s="4">
        <f t="shared" si="44"/>
        <v>1</v>
      </c>
      <c r="F695" s="4">
        <f t="shared" si="45"/>
        <v>36</v>
      </c>
      <c r="G695" s="4">
        <f t="shared" si="43"/>
        <v>1.1015818238999057E-2</v>
      </c>
      <c r="H695" s="4">
        <f t="shared" si="46"/>
        <v>1296</v>
      </c>
      <c r="I695" s="5">
        <f>SQRT(SUM('p-pi-multi'!$C$3:C695)/COUNTIF($A$3:A695,"&lt;&gt;0"))</f>
        <v>17.822720068759164</v>
      </c>
    </row>
    <row r="696" spans="1:9">
      <c r="A696">
        <v>694</v>
      </c>
      <c r="B696">
        <v>343</v>
      </c>
      <c r="C696">
        <v>363</v>
      </c>
      <c r="D696">
        <v>303</v>
      </c>
      <c r="E696" s="4">
        <f t="shared" si="44"/>
        <v>1</v>
      </c>
      <c r="F696" s="4">
        <f t="shared" si="45"/>
        <v>20</v>
      </c>
      <c r="G696" s="4">
        <f t="shared" si="43"/>
        <v>3.3999439009256343E-3</v>
      </c>
      <c r="H696" s="4">
        <f t="shared" si="46"/>
        <v>400</v>
      </c>
      <c r="I696" s="5">
        <f>SQRT(SUM('p-pi-multi'!$C$3:C696)/COUNTIF($A$3:A696,"&lt;&gt;0"))</f>
        <v>17.824553217579957</v>
      </c>
    </row>
    <row r="697" spans="1:9">
      <c r="A697">
        <v>695</v>
      </c>
      <c r="B697">
        <v>343</v>
      </c>
      <c r="C697">
        <v>325</v>
      </c>
      <c r="D697">
        <v>306</v>
      </c>
      <c r="E697" s="4">
        <f t="shared" si="44"/>
        <v>1</v>
      </c>
      <c r="F697" s="4">
        <f t="shared" si="45"/>
        <v>18</v>
      </c>
      <c r="G697" s="4">
        <f t="shared" si="43"/>
        <v>2.7539545597497642E-3</v>
      </c>
      <c r="H697" s="4">
        <f t="shared" si="46"/>
        <v>324</v>
      </c>
      <c r="I697" s="5">
        <f>SQRT(SUM('p-pi-multi'!$C$3:C697)/COUNTIF($A$3:A697,"&lt;&gt;0"))</f>
        <v>17.824847260386697</v>
      </c>
    </row>
    <row r="698" spans="1:9">
      <c r="A698">
        <v>696</v>
      </c>
      <c r="B698">
        <v>343</v>
      </c>
      <c r="C698">
        <v>376</v>
      </c>
      <c r="D698">
        <v>319</v>
      </c>
      <c r="E698" s="4">
        <f t="shared" si="44"/>
        <v>1</v>
      </c>
      <c r="F698" s="4">
        <f t="shared" si="45"/>
        <v>33</v>
      </c>
      <c r="G698" s="4">
        <f t="shared" si="43"/>
        <v>9.2563472702700406E-3</v>
      </c>
      <c r="H698" s="4">
        <f t="shared" si="46"/>
        <v>1089</v>
      </c>
      <c r="I698" s="5">
        <f>SQRT(SUM('p-pi-multi'!$C$3:C698)/COUNTIF($A$3:A698,"&lt;&gt;0"))</f>
        <v>17.827195742628088</v>
      </c>
    </row>
    <row r="699" spans="1:9">
      <c r="A699">
        <v>697</v>
      </c>
      <c r="B699">
        <v>343</v>
      </c>
      <c r="C699">
        <v>361</v>
      </c>
      <c r="D699">
        <v>301</v>
      </c>
      <c r="E699" s="4">
        <f t="shared" si="44"/>
        <v>1</v>
      </c>
      <c r="F699" s="4">
        <f t="shared" si="45"/>
        <v>18</v>
      </c>
      <c r="G699" s="4">
        <f t="shared" si="43"/>
        <v>2.7539545597497642E-3</v>
      </c>
      <c r="H699" s="4">
        <f t="shared" si="46"/>
        <v>324</v>
      </c>
      <c r="I699" s="5">
        <f>SQRT(SUM('p-pi-multi'!$C$3:C699)/COUNTIF($A$3:A699,"&lt;&gt;0"))</f>
        <v>17.828933652334342</v>
      </c>
    </row>
    <row r="700" spans="1:9">
      <c r="A700">
        <v>698</v>
      </c>
      <c r="B700">
        <v>343</v>
      </c>
      <c r="C700">
        <v>344</v>
      </c>
      <c r="D700">
        <v>304</v>
      </c>
      <c r="E700" s="4">
        <f t="shared" si="44"/>
        <v>1</v>
      </c>
      <c r="F700" s="4">
        <f t="shared" si="45"/>
        <v>1</v>
      </c>
      <c r="G700" s="4">
        <f t="shared" si="43"/>
        <v>8.4998597523140868E-6</v>
      </c>
      <c r="H700" s="4">
        <f t="shared" si="46"/>
        <v>1</v>
      </c>
      <c r="I700" s="5">
        <f>SQRT(SUM('p-pi-multi'!$C$3:C700)/COUNTIF($A$3:A700,"&lt;&gt;0"))</f>
        <v>17.829983439576925</v>
      </c>
    </row>
    <row r="701" spans="1:9">
      <c r="A701">
        <v>699</v>
      </c>
      <c r="B701">
        <v>343</v>
      </c>
      <c r="C701">
        <v>349</v>
      </c>
      <c r="D701">
        <v>309</v>
      </c>
      <c r="E701" s="4">
        <f t="shared" si="44"/>
        <v>1</v>
      </c>
      <c r="F701" s="4">
        <f t="shared" si="45"/>
        <v>6</v>
      </c>
      <c r="G701" s="4">
        <f t="shared" si="43"/>
        <v>3.0599495108330713E-4</v>
      </c>
      <c r="H701" s="4">
        <f t="shared" si="46"/>
        <v>36</v>
      </c>
      <c r="I701" s="5">
        <f>SQRT(SUM('p-pi-multi'!$C$3:C701)/COUNTIF($A$3:A701,"&lt;&gt;0"))</f>
        <v>17.831230739900452</v>
      </c>
    </row>
    <row r="702" spans="1:9">
      <c r="A702">
        <v>700</v>
      </c>
      <c r="B702">
        <v>343</v>
      </c>
      <c r="C702">
        <v>347</v>
      </c>
      <c r="D702">
        <v>307</v>
      </c>
      <c r="E702" s="4">
        <f t="shared" si="44"/>
        <v>1</v>
      </c>
      <c r="F702" s="4">
        <f t="shared" si="45"/>
        <v>4</v>
      </c>
      <c r="G702" s="4">
        <f t="shared" si="43"/>
        <v>1.3599775603702539E-4</v>
      </c>
      <c r="H702" s="4">
        <f t="shared" si="46"/>
        <v>16</v>
      </c>
      <c r="I702" s="5">
        <f>SQRT(SUM('p-pi-multi'!$C$3:C702)/COUNTIF($A$3:A702,"&lt;&gt;0"))</f>
        <v>17.832394278791778</v>
      </c>
    </row>
    <row r="703" spans="1:9">
      <c r="A703">
        <v>701</v>
      </c>
      <c r="B703">
        <v>343</v>
      </c>
      <c r="C703">
        <v>347</v>
      </c>
      <c r="D703">
        <v>307</v>
      </c>
      <c r="E703" s="4">
        <f t="shared" si="44"/>
        <v>1</v>
      </c>
      <c r="F703" s="4">
        <f t="shared" si="45"/>
        <v>4</v>
      </c>
      <c r="G703" s="4">
        <f t="shared" si="43"/>
        <v>1.3599775603702539E-4</v>
      </c>
      <c r="H703" s="4">
        <f t="shared" si="46"/>
        <v>16</v>
      </c>
      <c r="I703" s="5">
        <f>SQRT(SUM('p-pi-multi'!$C$3:C703)/COUNTIF($A$3:A703,"&lt;&gt;0"))</f>
        <v>17.833554422438855</v>
      </c>
    </row>
    <row r="704" spans="1:9">
      <c r="A704">
        <v>702</v>
      </c>
      <c r="B704">
        <v>343</v>
      </c>
      <c r="C704">
        <v>347</v>
      </c>
      <c r="D704">
        <v>307</v>
      </c>
      <c r="E704" s="4">
        <f t="shared" si="44"/>
        <v>1</v>
      </c>
      <c r="F704" s="4">
        <f t="shared" si="45"/>
        <v>4</v>
      </c>
      <c r="G704" s="4">
        <f t="shared" si="43"/>
        <v>1.3599775603702539E-4</v>
      </c>
      <c r="H704" s="4">
        <f t="shared" si="46"/>
        <v>16</v>
      </c>
      <c r="I704" s="5">
        <f>SQRT(SUM('p-pi-multi'!$C$3:C704)/COUNTIF($A$3:A704,"&lt;&gt;0"))</f>
        <v>17.834711185688516</v>
      </c>
    </row>
    <row r="705" spans="1:9">
      <c r="A705">
        <v>703</v>
      </c>
      <c r="B705">
        <v>343</v>
      </c>
      <c r="C705">
        <v>347</v>
      </c>
      <c r="D705">
        <v>307</v>
      </c>
      <c r="E705" s="4">
        <f t="shared" si="44"/>
        <v>1</v>
      </c>
      <c r="F705" s="4">
        <f t="shared" si="45"/>
        <v>4</v>
      </c>
      <c r="G705" s="4">
        <f t="shared" si="43"/>
        <v>1.3599775603702539E-4</v>
      </c>
      <c r="H705" s="4">
        <f t="shared" si="46"/>
        <v>16</v>
      </c>
      <c r="I705" s="5">
        <f>SQRT(SUM('p-pi-multi'!$C$3:C705)/COUNTIF($A$3:A705,"&lt;&gt;0"))</f>
        <v>17.83586458330111</v>
      </c>
    </row>
    <row r="706" spans="1:9">
      <c r="A706">
        <v>704</v>
      </c>
      <c r="B706">
        <v>343</v>
      </c>
      <c r="C706">
        <v>327</v>
      </c>
      <c r="D706">
        <v>307</v>
      </c>
      <c r="E706" s="4">
        <f t="shared" si="44"/>
        <v>1</v>
      </c>
      <c r="F706" s="4">
        <f t="shared" si="45"/>
        <v>16</v>
      </c>
      <c r="G706" s="4">
        <f t="shared" si="43"/>
        <v>2.1759640965924062E-3</v>
      </c>
      <c r="H706" s="4">
        <f t="shared" si="46"/>
        <v>256</v>
      </c>
      <c r="I706" s="5">
        <f>SQRT(SUM('p-pi-multi'!$C$3:C706)/COUNTIF($A$3:A706,"&lt;&gt;0"))</f>
        <v>17.836218259995078</v>
      </c>
    </row>
    <row r="707" spans="1:9">
      <c r="A707">
        <v>705</v>
      </c>
      <c r="B707">
        <v>343</v>
      </c>
      <c r="C707">
        <v>354</v>
      </c>
      <c r="D707">
        <v>314</v>
      </c>
      <c r="E707" s="4">
        <f t="shared" si="44"/>
        <v>1</v>
      </c>
      <c r="F707" s="4">
        <f t="shared" si="45"/>
        <v>11</v>
      </c>
      <c r="G707" s="4">
        <f t="shared" si="43"/>
        <v>1.0284830300300045E-3</v>
      </c>
      <c r="H707" s="4">
        <f t="shared" si="46"/>
        <v>121</v>
      </c>
      <c r="I707" s="5">
        <f>SQRT(SUM('p-pi-multi'!$C$3:C707)/COUNTIF($A$3:A707,"&lt;&gt;0"))</f>
        <v>17.837644471277251</v>
      </c>
    </row>
    <row r="708" spans="1:9">
      <c r="A708">
        <v>706</v>
      </c>
      <c r="B708">
        <v>343</v>
      </c>
      <c r="C708">
        <v>326</v>
      </c>
      <c r="D708">
        <v>305</v>
      </c>
      <c r="E708" s="4">
        <f t="shared" si="44"/>
        <v>1</v>
      </c>
      <c r="F708" s="4">
        <f t="shared" si="45"/>
        <v>17</v>
      </c>
      <c r="G708" s="4">
        <f t="shared" ref="G708:G771" si="47">POWER(ABS(B708-C708)/B708,2)</f>
        <v>2.456459468418771E-3</v>
      </c>
      <c r="H708" s="4">
        <f t="shared" si="46"/>
        <v>289</v>
      </c>
      <c r="I708" s="5">
        <f>SQRT(SUM('p-pi-multi'!$C$3:C708)/COUNTIF($A$3:A708,"&lt;&gt;0"))</f>
        <v>17.83795488728757</v>
      </c>
    </row>
    <row r="709" spans="1:9">
      <c r="A709">
        <v>707</v>
      </c>
      <c r="B709">
        <v>343</v>
      </c>
      <c r="C709">
        <v>332</v>
      </c>
      <c r="D709">
        <v>314</v>
      </c>
      <c r="E709" s="4">
        <f t="shared" si="44"/>
        <v>1</v>
      </c>
      <c r="F709" s="4">
        <f t="shared" si="45"/>
        <v>11</v>
      </c>
      <c r="G709" s="4">
        <f t="shared" si="47"/>
        <v>1.0284830300300045E-3</v>
      </c>
      <c r="H709" s="4">
        <f t="shared" si="46"/>
        <v>121</v>
      </c>
      <c r="I709" s="5">
        <f>SQRT(SUM('p-pi-multi'!$C$3:C709)/COUNTIF($A$3:A709,"&lt;&gt;0"))</f>
        <v>17.838502293453622</v>
      </c>
    </row>
    <row r="710" spans="1:9">
      <c r="A710">
        <v>708</v>
      </c>
      <c r="B710">
        <v>343</v>
      </c>
      <c r="C710">
        <v>353</v>
      </c>
      <c r="D710">
        <v>313</v>
      </c>
      <c r="E710" s="4">
        <f t="shared" si="44"/>
        <v>1</v>
      </c>
      <c r="F710" s="4">
        <f t="shared" si="45"/>
        <v>10</v>
      </c>
      <c r="G710" s="4">
        <f t="shared" si="47"/>
        <v>8.4998597523140858E-4</v>
      </c>
      <c r="H710" s="4">
        <f t="shared" si="46"/>
        <v>100</v>
      </c>
      <c r="I710" s="5">
        <f>SQRT(SUM('p-pi-multi'!$C$3:C710)/COUNTIF($A$3:A710,"&lt;&gt;0"))</f>
        <v>17.839879468063348</v>
      </c>
    </row>
    <row r="711" spans="1:9">
      <c r="A711">
        <v>709</v>
      </c>
      <c r="B711">
        <v>343</v>
      </c>
      <c r="C711">
        <v>327</v>
      </c>
      <c r="D711">
        <v>306</v>
      </c>
      <c r="E711" s="4">
        <f t="shared" si="44"/>
        <v>1</v>
      </c>
      <c r="F711" s="4">
        <f t="shared" si="45"/>
        <v>16</v>
      </c>
      <c r="G711" s="4">
        <f t="shared" si="47"/>
        <v>2.1759640965924062E-3</v>
      </c>
      <c r="H711" s="4">
        <f t="shared" si="46"/>
        <v>256</v>
      </c>
      <c r="I711" s="5">
        <f>SQRT(SUM('p-pi-multi'!$C$3:C711)/COUNTIF($A$3:A711,"&lt;&gt;0"))</f>
        <v>17.840224909560288</v>
      </c>
    </row>
    <row r="712" spans="1:9">
      <c r="A712">
        <v>710</v>
      </c>
      <c r="B712">
        <v>343</v>
      </c>
      <c r="C712">
        <v>375</v>
      </c>
      <c r="D712">
        <v>315</v>
      </c>
      <c r="E712" s="4">
        <f t="shared" si="44"/>
        <v>1</v>
      </c>
      <c r="F712" s="4">
        <f t="shared" si="45"/>
        <v>32</v>
      </c>
      <c r="G712" s="4">
        <f t="shared" si="47"/>
        <v>8.7038563863696249E-3</v>
      </c>
      <c r="H712" s="4">
        <f t="shared" si="46"/>
        <v>1024</v>
      </c>
      <c r="I712" s="5">
        <f>SQRT(SUM('p-pi-multi'!$C$3:C712)/COUNTIF($A$3:A712,"&lt;&gt;0"))</f>
        <v>17.842463986982306</v>
      </c>
    </row>
    <row r="713" spans="1:9">
      <c r="A713">
        <v>711</v>
      </c>
      <c r="B713">
        <v>343</v>
      </c>
      <c r="C713">
        <v>342</v>
      </c>
      <c r="D713">
        <v>299</v>
      </c>
      <c r="E713" s="4">
        <f t="shared" si="44"/>
        <v>1</v>
      </c>
      <c r="F713" s="4">
        <f t="shared" si="45"/>
        <v>1</v>
      </c>
      <c r="G713" s="4">
        <f t="shared" si="47"/>
        <v>8.4998597523140868E-6</v>
      </c>
      <c r="H713" s="4">
        <f t="shared" si="46"/>
        <v>1</v>
      </c>
      <c r="I713" s="5">
        <f>SQRT(SUM('p-pi-multi'!$C$3:C713)/COUNTIF($A$3:A713,"&lt;&gt;0"))</f>
        <v>17.843395954364951</v>
      </c>
    </row>
    <row r="714" spans="1:9">
      <c r="A714">
        <v>712</v>
      </c>
      <c r="B714">
        <v>343</v>
      </c>
      <c r="C714">
        <v>348</v>
      </c>
      <c r="D714">
        <v>308</v>
      </c>
      <c r="E714" s="4">
        <f t="shared" si="44"/>
        <v>1</v>
      </c>
      <c r="F714" s="4">
        <f t="shared" si="45"/>
        <v>5</v>
      </c>
      <c r="G714" s="4">
        <f t="shared" si="47"/>
        <v>2.1249649380785215E-4</v>
      </c>
      <c r="H714" s="4">
        <f t="shared" si="46"/>
        <v>25</v>
      </c>
      <c r="I714" s="5">
        <f>SQRT(SUM('p-pi-multi'!$C$3:C714)/COUNTIF($A$3:A714,"&lt;&gt;0"))</f>
        <v>17.844561378372873</v>
      </c>
    </row>
    <row r="715" spans="1:9">
      <c r="A715">
        <v>713</v>
      </c>
      <c r="B715">
        <v>343</v>
      </c>
      <c r="C715">
        <v>346</v>
      </c>
      <c r="D715">
        <v>306</v>
      </c>
      <c r="E715" s="4">
        <f t="shared" si="44"/>
        <v>1</v>
      </c>
      <c r="F715" s="4">
        <f t="shared" si="45"/>
        <v>3</v>
      </c>
      <c r="G715" s="4">
        <f t="shared" si="47"/>
        <v>7.6498737770826783E-5</v>
      </c>
      <c r="H715" s="4">
        <f t="shared" si="46"/>
        <v>9</v>
      </c>
      <c r="I715" s="5">
        <f>SQRT(SUM('p-pi-multi'!$C$3:C715)/COUNTIF($A$3:A715,"&lt;&gt;0"))</f>
        <v>17.845644865714767</v>
      </c>
    </row>
    <row r="716" spans="1:9">
      <c r="A716">
        <v>714</v>
      </c>
      <c r="B716">
        <v>343</v>
      </c>
      <c r="C716">
        <v>366</v>
      </c>
      <c r="D716">
        <v>307</v>
      </c>
      <c r="E716" s="4">
        <f t="shared" si="44"/>
        <v>1</v>
      </c>
      <c r="F716" s="4">
        <f t="shared" si="45"/>
        <v>23</v>
      </c>
      <c r="G716" s="4">
        <f t="shared" si="47"/>
        <v>4.4964258089741525E-3</v>
      </c>
      <c r="H716" s="4">
        <f t="shared" si="46"/>
        <v>529</v>
      </c>
      <c r="I716" s="5">
        <f>SQRT(SUM('p-pi-multi'!$C$3:C716)/COUNTIF($A$3:A716,"&lt;&gt;0"))</f>
        <v>17.847510006871495</v>
      </c>
    </row>
    <row r="717" spans="1:9">
      <c r="A717">
        <v>715</v>
      </c>
      <c r="B717">
        <v>343</v>
      </c>
      <c r="C717">
        <v>360</v>
      </c>
      <c r="D717">
        <v>299</v>
      </c>
      <c r="E717" s="4">
        <f t="shared" si="44"/>
        <v>1</v>
      </c>
      <c r="F717" s="4">
        <f t="shared" si="45"/>
        <v>17</v>
      </c>
      <c r="G717" s="4">
        <f t="shared" si="47"/>
        <v>2.456459468418771E-3</v>
      </c>
      <c r="H717" s="4">
        <f t="shared" si="46"/>
        <v>289</v>
      </c>
      <c r="I717" s="5">
        <f>SQRT(SUM('p-pi-multi'!$C$3:C717)/COUNTIF($A$3:A717,"&lt;&gt;0"))</f>
        <v>17.849134667865791</v>
      </c>
    </row>
    <row r="718" spans="1:9">
      <c r="A718">
        <v>716</v>
      </c>
      <c r="B718">
        <v>343</v>
      </c>
      <c r="C718">
        <v>319</v>
      </c>
      <c r="D718">
        <v>299</v>
      </c>
      <c r="E718" s="4">
        <f t="shared" si="44"/>
        <v>1</v>
      </c>
      <c r="F718" s="4">
        <f t="shared" si="45"/>
        <v>24</v>
      </c>
      <c r="G718" s="4">
        <f t="shared" si="47"/>
        <v>4.8959192173329141E-3</v>
      </c>
      <c r="H718" s="4">
        <f t="shared" si="46"/>
        <v>576</v>
      </c>
      <c r="I718" s="5">
        <f>SQRT(SUM('p-pi-multi'!$C$3:C718)/COUNTIF($A$3:A718,"&lt;&gt;0"))</f>
        <v>17.849150645645572</v>
      </c>
    </row>
    <row r="719" spans="1:9">
      <c r="A719">
        <v>717</v>
      </c>
      <c r="B719">
        <v>343</v>
      </c>
      <c r="C719">
        <v>371</v>
      </c>
      <c r="D719">
        <v>314</v>
      </c>
      <c r="E719" s="4">
        <f t="shared" si="44"/>
        <v>1</v>
      </c>
      <c r="F719" s="4">
        <f t="shared" si="45"/>
        <v>28</v>
      </c>
      <c r="G719" s="4">
        <f t="shared" si="47"/>
        <v>6.6638900458142426E-3</v>
      </c>
      <c r="H719" s="4">
        <f t="shared" si="46"/>
        <v>784</v>
      </c>
      <c r="I719" s="5">
        <f>SQRT(SUM('p-pi-multi'!$C$3:C719)/COUNTIF($A$3:A719,"&lt;&gt;0"))</f>
        <v>17.851198054095057</v>
      </c>
    </row>
    <row r="720" spans="1:9">
      <c r="A720">
        <v>718</v>
      </c>
      <c r="B720">
        <v>343</v>
      </c>
      <c r="C720">
        <v>299</v>
      </c>
      <c r="D720">
        <v>296</v>
      </c>
      <c r="E720" s="4">
        <f t="shared" si="44"/>
        <v>1</v>
      </c>
      <c r="F720" s="4">
        <f t="shared" si="45"/>
        <v>44</v>
      </c>
      <c r="G720" s="4">
        <f t="shared" si="47"/>
        <v>1.6455728480480072E-2</v>
      </c>
      <c r="H720" s="4">
        <f t="shared" si="46"/>
        <v>1936</v>
      </c>
      <c r="I720" s="5">
        <f>SQRT(SUM('p-pi-multi'!$C$3:C720)/COUNTIF($A$3:A720,"&lt;&gt;0"))</f>
        <v>17.850430891391852</v>
      </c>
    </row>
    <row r="721" spans="1:9">
      <c r="A721">
        <v>719</v>
      </c>
      <c r="B721">
        <v>343</v>
      </c>
      <c r="C721">
        <v>340</v>
      </c>
      <c r="D721">
        <v>320</v>
      </c>
      <c r="E721" s="4">
        <f t="shared" si="44"/>
        <v>1</v>
      </c>
      <c r="F721" s="4">
        <f t="shared" si="45"/>
        <v>3</v>
      </c>
      <c r="G721" s="4">
        <f t="shared" si="47"/>
        <v>7.6498737770826783E-5</v>
      </c>
      <c r="H721" s="4">
        <f t="shared" si="46"/>
        <v>9</v>
      </c>
      <c r="I721" s="5">
        <f>SQRT(SUM('p-pi-multi'!$C$3:C721)/COUNTIF($A$3:A721,"&lt;&gt;0"))</f>
        <v>17.851263089215546</v>
      </c>
    </row>
    <row r="722" spans="1:9">
      <c r="A722">
        <v>720</v>
      </c>
      <c r="B722">
        <v>343</v>
      </c>
      <c r="C722">
        <v>331</v>
      </c>
      <c r="D722">
        <v>309</v>
      </c>
      <c r="E722" s="4">
        <f t="shared" si="44"/>
        <v>1</v>
      </c>
      <c r="F722" s="4">
        <f t="shared" si="45"/>
        <v>12</v>
      </c>
      <c r="G722" s="4">
        <f t="shared" si="47"/>
        <v>1.2239798043332285E-3</v>
      </c>
      <c r="H722" s="4">
        <f t="shared" si="46"/>
        <v>144</v>
      </c>
      <c r="I722" s="5">
        <f>SQRT(SUM('p-pi-multi'!$C$3:C722)/COUNTIF($A$3:A722,"&lt;&gt;0"))</f>
        <v>17.851742834306744</v>
      </c>
    </row>
    <row r="723" spans="1:9">
      <c r="A723">
        <v>721</v>
      </c>
      <c r="B723">
        <v>343</v>
      </c>
      <c r="C723">
        <v>371</v>
      </c>
      <c r="D723">
        <v>312</v>
      </c>
      <c r="E723" s="4">
        <f t="shared" si="44"/>
        <v>1</v>
      </c>
      <c r="F723" s="4">
        <f t="shared" si="45"/>
        <v>28</v>
      </c>
      <c r="G723" s="4">
        <f t="shared" si="47"/>
        <v>6.6638900458142426E-3</v>
      </c>
      <c r="H723" s="4">
        <f t="shared" si="46"/>
        <v>784</v>
      </c>
      <c r="I723" s="5">
        <f>SQRT(SUM('p-pi-multi'!$C$3:C723)/COUNTIF($A$3:A723,"&lt;&gt;0"))</f>
        <v>17.853774994476606</v>
      </c>
    </row>
    <row r="724" spans="1:9">
      <c r="A724">
        <v>722</v>
      </c>
      <c r="B724">
        <v>343</v>
      </c>
      <c r="C724">
        <v>338</v>
      </c>
      <c r="D724">
        <v>298</v>
      </c>
      <c r="E724" s="4">
        <f t="shared" si="44"/>
        <v>1</v>
      </c>
      <c r="F724" s="4">
        <f t="shared" si="45"/>
        <v>5</v>
      </c>
      <c r="G724" s="4">
        <f t="shared" si="47"/>
        <v>2.1249649380785215E-4</v>
      </c>
      <c r="H724" s="4">
        <f t="shared" si="46"/>
        <v>25</v>
      </c>
      <c r="I724" s="5">
        <f>SQRT(SUM('p-pi-multi'!$C$3:C724)/COUNTIF($A$3:A724,"&lt;&gt;0"))</f>
        <v>17.854521374654812</v>
      </c>
    </row>
    <row r="725" spans="1:9">
      <c r="A725">
        <v>723</v>
      </c>
      <c r="B725">
        <v>343</v>
      </c>
      <c r="C725">
        <v>348</v>
      </c>
      <c r="D725">
        <v>308</v>
      </c>
      <c r="E725" s="4">
        <f t="shared" si="44"/>
        <v>1</v>
      </c>
      <c r="F725" s="4">
        <f t="shared" si="45"/>
        <v>5</v>
      </c>
      <c r="G725" s="4">
        <f t="shared" si="47"/>
        <v>2.1249649380785215E-4</v>
      </c>
      <c r="H725" s="4">
        <f t="shared" si="46"/>
        <v>25</v>
      </c>
      <c r="I725" s="5">
        <f>SQRT(SUM('p-pi-multi'!$C$3:C725)/COUNTIF($A$3:A725,"&lt;&gt;0"))</f>
        <v>17.855652970844119</v>
      </c>
    </row>
    <row r="726" spans="1:9">
      <c r="A726">
        <v>724</v>
      </c>
      <c r="B726">
        <v>343</v>
      </c>
      <c r="C726">
        <v>345</v>
      </c>
      <c r="D726">
        <v>305</v>
      </c>
      <c r="E726" s="4">
        <f t="shared" si="44"/>
        <v>1</v>
      </c>
      <c r="F726" s="4">
        <f t="shared" si="45"/>
        <v>2</v>
      </c>
      <c r="G726" s="4">
        <f t="shared" si="47"/>
        <v>3.3999439009256347E-5</v>
      </c>
      <c r="H726" s="4">
        <f t="shared" si="46"/>
        <v>4</v>
      </c>
      <c r="I726" s="5">
        <f>SQRT(SUM('p-pi-multi'!$C$3:C726)/COUNTIF($A$3:A726,"&lt;&gt;0"))</f>
        <v>17.856665344838859</v>
      </c>
    </row>
    <row r="727" spans="1:9">
      <c r="A727">
        <v>725</v>
      </c>
      <c r="B727">
        <v>343</v>
      </c>
      <c r="C727">
        <v>305</v>
      </c>
      <c r="D727">
        <v>305</v>
      </c>
      <c r="E727" s="4">
        <f t="shared" si="44"/>
        <v>1</v>
      </c>
      <c r="F727" s="4">
        <f t="shared" si="45"/>
        <v>38</v>
      </c>
      <c r="G727" s="4">
        <f t="shared" si="47"/>
        <v>1.2273797482341543E-2</v>
      </c>
      <c r="H727" s="4">
        <f t="shared" si="46"/>
        <v>1444</v>
      </c>
      <c r="I727" s="5">
        <f>SQRT(SUM('p-pi-multi'!$C$3:C727)/COUNTIF($A$3:A727,"&lt;&gt;0"))</f>
        <v>17.85613002053762</v>
      </c>
    </row>
    <row r="728" spans="1:9">
      <c r="A728">
        <v>726</v>
      </c>
      <c r="B728">
        <v>343</v>
      </c>
      <c r="C728">
        <v>361</v>
      </c>
      <c r="D728">
        <v>321</v>
      </c>
      <c r="E728" s="4">
        <f t="shared" si="44"/>
        <v>1</v>
      </c>
      <c r="F728" s="4">
        <f t="shared" si="45"/>
        <v>18</v>
      </c>
      <c r="G728" s="4">
        <f t="shared" si="47"/>
        <v>2.7539545597497642E-3</v>
      </c>
      <c r="H728" s="4">
        <f t="shared" si="46"/>
        <v>324</v>
      </c>
      <c r="I728" s="5">
        <f>SQRT(SUM('p-pi-multi'!$C$3:C728)/COUNTIF($A$3:A728,"&lt;&gt;0"))</f>
        <v>17.857755991048055</v>
      </c>
    </row>
    <row r="729" spans="1:9">
      <c r="A729">
        <v>727</v>
      </c>
      <c r="B729">
        <v>343</v>
      </c>
      <c r="C729">
        <v>342</v>
      </c>
      <c r="D729">
        <v>302</v>
      </c>
      <c r="E729" s="4">
        <f t="shared" ref="E729:E792" si="48">IF(AND(C729&lt;=B729*1.2,C729&gt;=B729*0.8),1,0)</f>
        <v>1</v>
      </c>
      <c r="F729" s="4">
        <f t="shared" ref="F729:F792" si="49">ABS(B729-C729)</f>
        <v>1</v>
      </c>
      <c r="G729" s="4">
        <f t="shared" si="47"/>
        <v>8.4998597523140868E-6</v>
      </c>
      <c r="H729" s="4">
        <f t="shared" ref="H729:H792" si="50">POWER(F729,2)</f>
        <v>1</v>
      </c>
      <c r="I729" s="5">
        <f>SQRT(SUM('p-pi-multi'!$C$3:C729)/COUNTIF($A$3:A729,"&lt;&gt;0"))</f>
        <v>17.858645643191377</v>
      </c>
    </row>
    <row r="730" spans="1:9">
      <c r="A730">
        <v>728</v>
      </c>
      <c r="B730">
        <v>343</v>
      </c>
      <c r="C730">
        <v>368</v>
      </c>
      <c r="D730">
        <v>308</v>
      </c>
      <c r="E730" s="4">
        <f t="shared" si="48"/>
        <v>1</v>
      </c>
      <c r="F730" s="4">
        <f t="shared" si="49"/>
        <v>25</v>
      </c>
      <c r="G730" s="4">
        <f t="shared" si="47"/>
        <v>5.3124123451963046E-3</v>
      </c>
      <c r="H730" s="4">
        <f t="shared" si="50"/>
        <v>625</v>
      </c>
      <c r="I730" s="5">
        <f>SQRT(SUM('p-pi-multi'!$C$3:C730)/COUNTIF($A$3:A730,"&lt;&gt;0"))</f>
        <v>17.860532645294384</v>
      </c>
    </row>
    <row r="731" spans="1:9">
      <c r="A731">
        <v>729</v>
      </c>
      <c r="B731">
        <v>343</v>
      </c>
      <c r="C731">
        <v>338</v>
      </c>
      <c r="D731">
        <v>298</v>
      </c>
      <c r="E731" s="4">
        <f t="shared" si="48"/>
        <v>1</v>
      </c>
      <c r="F731" s="4">
        <f t="shared" si="49"/>
        <v>5</v>
      </c>
      <c r="G731" s="4">
        <f t="shared" si="47"/>
        <v>2.1249649380785215E-4</v>
      </c>
      <c r="H731" s="4">
        <f t="shared" si="50"/>
        <v>25</v>
      </c>
      <c r="I731" s="5">
        <f>SQRT(SUM('p-pi-multi'!$C$3:C731)/COUNTIF($A$3:A731,"&lt;&gt;0"))</f>
        <v>17.861262311438818</v>
      </c>
    </row>
    <row r="732" spans="1:9">
      <c r="A732">
        <v>730</v>
      </c>
      <c r="B732">
        <v>343</v>
      </c>
      <c r="C732">
        <v>348</v>
      </c>
      <c r="D732">
        <v>308</v>
      </c>
      <c r="E732" s="4">
        <f t="shared" si="48"/>
        <v>1</v>
      </c>
      <c r="F732" s="4">
        <f t="shared" si="49"/>
        <v>5</v>
      </c>
      <c r="G732" s="4">
        <f t="shared" si="47"/>
        <v>2.1249649380785215E-4</v>
      </c>
      <c r="H732" s="4">
        <f t="shared" si="50"/>
        <v>25</v>
      </c>
      <c r="I732" s="5">
        <f>SQRT(SUM('p-pi-multi'!$C$3:C732)/COUNTIF($A$3:A732,"&lt;&gt;0"))</f>
        <v>17.862373402256594</v>
      </c>
    </row>
    <row r="733" spans="1:9">
      <c r="A733">
        <v>731</v>
      </c>
      <c r="B733">
        <v>343</v>
      </c>
      <c r="C733">
        <v>344</v>
      </c>
      <c r="D733">
        <v>304</v>
      </c>
      <c r="E733" s="4">
        <f t="shared" si="48"/>
        <v>1</v>
      </c>
      <c r="F733" s="4">
        <f t="shared" si="49"/>
        <v>1</v>
      </c>
      <c r="G733" s="4">
        <f t="shared" si="47"/>
        <v>8.4998597523140868E-6</v>
      </c>
      <c r="H733" s="4">
        <f t="shared" si="50"/>
        <v>1</v>
      </c>
      <c r="I733" s="5">
        <f>SQRT(SUM('p-pi-multi'!$C$3:C733)/COUNTIF($A$3:A733,"&lt;&gt;0"))</f>
        <v>17.863328223263387</v>
      </c>
    </row>
    <row r="734" spans="1:9">
      <c r="A734">
        <v>732</v>
      </c>
      <c r="B734">
        <v>343</v>
      </c>
      <c r="C734">
        <v>304</v>
      </c>
      <c r="D734">
        <v>305</v>
      </c>
      <c r="E734" s="4">
        <f t="shared" si="48"/>
        <v>1</v>
      </c>
      <c r="F734" s="4">
        <f t="shared" si="49"/>
        <v>39</v>
      </c>
      <c r="G734" s="4">
        <f t="shared" si="47"/>
        <v>1.2928286683269724E-2</v>
      </c>
      <c r="H734" s="4">
        <f t="shared" si="50"/>
        <v>1521</v>
      </c>
      <c r="I734" s="5">
        <f>SQRT(SUM('p-pi-multi'!$C$3:C734)/COUNTIF($A$3:A734,"&lt;&gt;0"))</f>
        <v>17.862750875843815</v>
      </c>
    </row>
    <row r="735" spans="1:9">
      <c r="A735">
        <v>733</v>
      </c>
      <c r="B735">
        <v>343</v>
      </c>
      <c r="C735">
        <v>360</v>
      </c>
      <c r="D735">
        <v>320</v>
      </c>
      <c r="E735" s="4">
        <f t="shared" si="48"/>
        <v>1</v>
      </c>
      <c r="F735" s="4">
        <f t="shared" si="49"/>
        <v>17</v>
      </c>
      <c r="G735" s="4">
        <f t="shared" si="47"/>
        <v>2.456459468418771E-3</v>
      </c>
      <c r="H735" s="4">
        <f t="shared" si="50"/>
        <v>289</v>
      </c>
      <c r="I735" s="5">
        <f>SQRT(SUM('p-pi-multi'!$C$3:C735)/COUNTIF($A$3:A735,"&lt;&gt;0"))</f>
        <v>17.864313508642343</v>
      </c>
    </row>
    <row r="736" spans="1:9">
      <c r="A736">
        <v>734</v>
      </c>
      <c r="B736">
        <v>343</v>
      </c>
      <c r="C736">
        <v>345</v>
      </c>
      <c r="D736">
        <v>302</v>
      </c>
      <c r="E736" s="4">
        <f t="shared" si="48"/>
        <v>1</v>
      </c>
      <c r="F736" s="4">
        <f t="shared" si="49"/>
        <v>2</v>
      </c>
      <c r="G736" s="4">
        <f t="shared" si="47"/>
        <v>3.3999439009256347E-5</v>
      </c>
      <c r="H736" s="4">
        <f t="shared" si="50"/>
        <v>4</v>
      </c>
      <c r="I736" s="5">
        <f>SQRT(SUM('p-pi-multi'!$C$3:C736)/COUNTIF($A$3:A736,"&lt;&gt;0"))</f>
        <v>17.865299810798035</v>
      </c>
    </row>
    <row r="737" spans="1:9">
      <c r="A737">
        <v>735</v>
      </c>
      <c r="B737">
        <v>343</v>
      </c>
      <c r="C737">
        <v>366</v>
      </c>
      <c r="D737">
        <v>306</v>
      </c>
      <c r="E737" s="4">
        <f t="shared" si="48"/>
        <v>1</v>
      </c>
      <c r="F737" s="4">
        <f t="shared" si="49"/>
        <v>23</v>
      </c>
      <c r="G737" s="4">
        <f t="shared" si="47"/>
        <v>4.4964258089741525E-3</v>
      </c>
      <c r="H737" s="4">
        <f t="shared" si="50"/>
        <v>529</v>
      </c>
      <c r="I737" s="5">
        <f>SQRT(SUM('p-pi-multi'!$C$3:C737)/COUNTIF($A$3:A737,"&lt;&gt;0"))</f>
        <v>17.867082947734488</v>
      </c>
    </row>
    <row r="738" spans="1:9">
      <c r="A738">
        <v>736</v>
      </c>
      <c r="B738">
        <v>343</v>
      </c>
      <c r="C738">
        <v>359</v>
      </c>
      <c r="D738">
        <v>298</v>
      </c>
      <c r="E738" s="4">
        <f t="shared" si="48"/>
        <v>1</v>
      </c>
      <c r="F738" s="4">
        <f t="shared" si="49"/>
        <v>16</v>
      </c>
      <c r="G738" s="4">
        <f t="shared" si="47"/>
        <v>2.1759640965924062E-3</v>
      </c>
      <c r="H738" s="4">
        <f t="shared" si="50"/>
        <v>256</v>
      </c>
      <c r="I738" s="5">
        <f>SQRT(SUM('p-pi-multi'!$C$3:C738)/COUNTIF($A$3:A738,"&lt;&gt;0"))</f>
        <v>17.868594930285052</v>
      </c>
    </row>
    <row r="739" spans="1:9">
      <c r="A739">
        <v>737</v>
      </c>
      <c r="B739">
        <v>343</v>
      </c>
      <c r="C739">
        <v>319</v>
      </c>
      <c r="D739">
        <v>299</v>
      </c>
      <c r="E739" s="4">
        <f t="shared" si="48"/>
        <v>1</v>
      </c>
      <c r="F739" s="4">
        <f t="shared" si="49"/>
        <v>24</v>
      </c>
      <c r="G739" s="4">
        <f t="shared" si="47"/>
        <v>4.8959192173329141E-3</v>
      </c>
      <c r="H739" s="4">
        <f t="shared" si="50"/>
        <v>576</v>
      </c>
      <c r="I739" s="5">
        <f>SQRT(SUM('p-pi-multi'!$C$3:C739)/COUNTIF($A$3:A739,"&lt;&gt;0"))</f>
        <v>17.868584045574469</v>
      </c>
    </row>
    <row r="740" spans="1:9">
      <c r="A740">
        <v>738</v>
      </c>
      <c r="B740">
        <v>343</v>
      </c>
      <c r="C740">
        <v>370</v>
      </c>
      <c r="D740">
        <v>313</v>
      </c>
      <c r="E740" s="4">
        <f t="shared" si="48"/>
        <v>1</v>
      </c>
      <c r="F740" s="4">
        <f t="shared" si="49"/>
        <v>27</v>
      </c>
      <c r="G740" s="4">
        <f t="shared" si="47"/>
        <v>6.1963977594369701E-3</v>
      </c>
      <c r="H740" s="4">
        <f t="shared" si="50"/>
        <v>729</v>
      </c>
      <c r="I740" s="5">
        <f>SQRT(SUM('p-pi-multi'!$C$3:C740)/COUNTIF($A$3:A740,"&lt;&gt;0"))</f>
        <v>17.870506807310626</v>
      </c>
    </row>
    <row r="741" spans="1:9">
      <c r="A741">
        <v>739</v>
      </c>
      <c r="B741">
        <v>343</v>
      </c>
      <c r="C741">
        <v>299</v>
      </c>
      <c r="D741">
        <v>296</v>
      </c>
      <c r="E741" s="4">
        <f t="shared" si="48"/>
        <v>1</v>
      </c>
      <c r="F741" s="4">
        <f t="shared" si="49"/>
        <v>44</v>
      </c>
      <c r="G741" s="4">
        <f t="shared" si="47"/>
        <v>1.6455728480480072E-2</v>
      </c>
      <c r="H741" s="4">
        <f t="shared" si="50"/>
        <v>1936</v>
      </c>
      <c r="I741" s="5">
        <f>SQRT(SUM('p-pi-multi'!$C$3:C741)/COUNTIF($A$3:A741,"&lt;&gt;0"))</f>
        <v>17.86973613552955</v>
      </c>
    </row>
    <row r="742" spans="1:9">
      <c r="A742">
        <v>740</v>
      </c>
      <c r="B742">
        <v>343</v>
      </c>
      <c r="C742">
        <v>340</v>
      </c>
      <c r="D742">
        <v>320</v>
      </c>
      <c r="E742" s="4">
        <f t="shared" si="48"/>
        <v>1</v>
      </c>
      <c r="F742" s="4">
        <f t="shared" si="49"/>
        <v>3</v>
      </c>
      <c r="G742" s="4">
        <f t="shared" si="47"/>
        <v>7.6498737770826783E-5</v>
      </c>
      <c r="H742" s="4">
        <f t="shared" si="50"/>
        <v>9</v>
      </c>
      <c r="I742" s="5">
        <f>SQRT(SUM('p-pi-multi'!$C$3:C742)/COUNTIF($A$3:A742,"&lt;&gt;0"))</f>
        <v>17.870517771049762</v>
      </c>
    </row>
    <row r="743" spans="1:9">
      <c r="A743">
        <v>741</v>
      </c>
      <c r="B743">
        <v>343</v>
      </c>
      <c r="C743">
        <v>350</v>
      </c>
      <c r="D743">
        <v>308</v>
      </c>
      <c r="E743" s="4">
        <f t="shared" si="48"/>
        <v>1</v>
      </c>
      <c r="F743" s="4">
        <f t="shared" si="49"/>
        <v>7</v>
      </c>
      <c r="G743" s="4">
        <f t="shared" si="47"/>
        <v>4.1649312786339016E-4</v>
      </c>
      <c r="H743" s="4">
        <f t="shared" si="50"/>
        <v>49</v>
      </c>
      <c r="I743" s="5">
        <f>SQRT(SUM('p-pi-multi'!$C$3:C743)/COUNTIF($A$3:A743,"&lt;&gt;0"))</f>
        <v>17.871674827323915</v>
      </c>
    </row>
    <row r="744" spans="1:9">
      <c r="A744">
        <v>742</v>
      </c>
      <c r="B744">
        <v>343</v>
      </c>
      <c r="C744">
        <v>365</v>
      </c>
      <c r="D744">
        <v>305</v>
      </c>
      <c r="E744" s="4">
        <f t="shared" si="48"/>
        <v>1</v>
      </c>
      <c r="F744" s="4">
        <f t="shared" si="49"/>
        <v>22</v>
      </c>
      <c r="G744" s="4">
        <f t="shared" si="47"/>
        <v>4.1139321201200179E-3</v>
      </c>
      <c r="H744" s="4">
        <f t="shared" si="50"/>
        <v>484</v>
      </c>
      <c r="I744" s="5">
        <f>SQRT(SUM('p-pi-multi'!$C$3:C744)/COUNTIF($A$3:A744,"&lt;&gt;0"))</f>
        <v>17.873394222258366</v>
      </c>
    </row>
    <row r="745" spans="1:9">
      <c r="A745">
        <v>743</v>
      </c>
      <c r="B745">
        <v>343</v>
      </c>
      <c r="C745">
        <v>358</v>
      </c>
      <c r="D745">
        <v>298</v>
      </c>
      <c r="E745" s="4">
        <f t="shared" si="48"/>
        <v>1</v>
      </c>
      <c r="F745" s="4">
        <f t="shared" si="49"/>
        <v>15</v>
      </c>
      <c r="G745" s="4">
        <f t="shared" si="47"/>
        <v>1.9124684442706694E-3</v>
      </c>
      <c r="H745" s="4">
        <f t="shared" si="50"/>
        <v>225</v>
      </c>
      <c r="I745" s="5">
        <f>SQRT(SUM('p-pi-multi'!$C$3:C745)/COUNTIF($A$3:A745,"&lt;&gt;0"))</f>
        <v>17.874845291992081</v>
      </c>
    </row>
    <row r="746" spans="1:9">
      <c r="A746">
        <v>744</v>
      </c>
      <c r="B746">
        <v>343</v>
      </c>
      <c r="C746">
        <v>320</v>
      </c>
      <c r="D746">
        <v>300</v>
      </c>
      <c r="E746" s="4">
        <f t="shared" si="48"/>
        <v>1</v>
      </c>
      <c r="F746" s="4">
        <f t="shared" si="49"/>
        <v>23</v>
      </c>
      <c r="G746" s="4">
        <f t="shared" si="47"/>
        <v>4.4964258089741525E-3</v>
      </c>
      <c r="H746" s="4">
        <f t="shared" si="50"/>
        <v>529</v>
      </c>
      <c r="I746" s="5">
        <f>SQRT(SUM('p-pi-multi'!$C$3:C746)/COUNTIF($A$3:A746,"&lt;&gt;0"))</f>
        <v>17.874863711037687</v>
      </c>
    </row>
    <row r="747" spans="1:9">
      <c r="A747">
        <v>745</v>
      </c>
      <c r="B747">
        <v>343</v>
      </c>
      <c r="C747">
        <v>350</v>
      </c>
      <c r="D747">
        <v>313</v>
      </c>
      <c r="E747" s="4">
        <f t="shared" si="48"/>
        <v>1</v>
      </c>
      <c r="F747" s="4">
        <f t="shared" si="49"/>
        <v>7</v>
      </c>
      <c r="G747" s="4">
        <f t="shared" si="47"/>
        <v>4.1649312786339016E-4</v>
      </c>
      <c r="H747" s="4">
        <f t="shared" si="50"/>
        <v>49</v>
      </c>
      <c r="I747" s="5">
        <f>SQRT(SUM('p-pi-multi'!$C$3:C747)/COUNTIF($A$3:A747,"&lt;&gt;0"))</f>
        <v>17.876008442948024</v>
      </c>
    </row>
    <row r="748" spans="1:9">
      <c r="A748">
        <v>746</v>
      </c>
      <c r="B748">
        <v>343</v>
      </c>
      <c r="C748">
        <v>305</v>
      </c>
      <c r="D748">
        <v>303</v>
      </c>
      <c r="E748" s="4">
        <f t="shared" si="48"/>
        <v>1</v>
      </c>
      <c r="F748" s="4">
        <f t="shared" si="49"/>
        <v>38</v>
      </c>
      <c r="G748" s="4">
        <f t="shared" si="47"/>
        <v>1.2273797482341543E-2</v>
      </c>
      <c r="H748" s="4">
        <f t="shared" si="50"/>
        <v>1444</v>
      </c>
      <c r="I748" s="5">
        <f>SQRT(SUM('p-pi-multi'!$C$3:C748)/COUNTIF($A$3:A748,"&lt;&gt;0"))</f>
        <v>17.875462835456023</v>
      </c>
    </row>
    <row r="749" spans="1:9">
      <c r="A749">
        <v>747</v>
      </c>
      <c r="B749">
        <v>343</v>
      </c>
      <c r="C749">
        <v>360</v>
      </c>
      <c r="D749">
        <v>320</v>
      </c>
      <c r="E749" s="4">
        <f t="shared" si="48"/>
        <v>1</v>
      </c>
      <c r="F749" s="4">
        <f t="shared" si="49"/>
        <v>17</v>
      </c>
      <c r="G749" s="4">
        <f t="shared" si="47"/>
        <v>2.456459468418771E-3</v>
      </c>
      <c r="H749" s="4">
        <f t="shared" si="50"/>
        <v>289</v>
      </c>
      <c r="I749" s="5">
        <f>SQRT(SUM('p-pi-multi'!$C$3:C749)/COUNTIF($A$3:A749,"&lt;&gt;0"))</f>
        <v>17.876978083040939</v>
      </c>
    </row>
    <row r="750" spans="1:9">
      <c r="A750">
        <v>748</v>
      </c>
      <c r="B750">
        <v>343</v>
      </c>
      <c r="C750">
        <v>345</v>
      </c>
      <c r="D750">
        <v>302</v>
      </c>
      <c r="E750" s="4">
        <f t="shared" si="48"/>
        <v>1</v>
      </c>
      <c r="F750" s="4">
        <f t="shared" si="49"/>
        <v>2</v>
      </c>
      <c r="G750" s="4">
        <f t="shared" si="47"/>
        <v>3.3999439009256347E-5</v>
      </c>
      <c r="H750" s="4">
        <f t="shared" si="50"/>
        <v>4</v>
      </c>
      <c r="I750" s="5">
        <f>SQRT(SUM('p-pi-multi'!$C$3:C750)/COUNTIF($A$3:A750,"&lt;&gt;0"))</f>
        <v>17.877928315540785</v>
      </c>
    </row>
    <row r="751" spans="1:9">
      <c r="A751">
        <v>749</v>
      </c>
      <c r="B751">
        <v>343</v>
      </c>
      <c r="C751">
        <v>305</v>
      </c>
      <c r="D751">
        <v>306</v>
      </c>
      <c r="E751" s="4">
        <f t="shared" si="48"/>
        <v>1</v>
      </c>
      <c r="F751" s="4">
        <f t="shared" si="49"/>
        <v>38</v>
      </c>
      <c r="G751" s="4">
        <f t="shared" si="47"/>
        <v>1.2273797482341543E-2</v>
      </c>
      <c r="H751" s="4">
        <f t="shared" si="50"/>
        <v>1444</v>
      </c>
      <c r="I751" s="5">
        <f>SQRT(SUM('p-pi-multi'!$C$3:C751)/COUNTIF($A$3:A751,"&lt;&gt;0"))</f>
        <v>17.877382388596235</v>
      </c>
    </row>
    <row r="752" spans="1:9">
      <c r="A752">
        <v>750</v>
      </c>
      <c r="B752">
        <v>343</v>
      </c>
      <c r="C752">
        <v>341</v>
      </c>
      <c r="D752">
        <v>321</v>
      </c>
      <c r="E752" s="4">
        <f t="shared" si="48"/>
        <v>1</v>
      </c>
      <c r="F752" s="4">
        <f t="shared" si="49"/>
        <v>2</v>
      </c>
      <c r="G752" s="4">
        <f t="shared" si="47"/>
        <v>3.3999439009256347E-5</v>
      </c>
      <c r="H752" s="4">
        <f t="shared" si="50"/>
        <v>4</v>
      </c>
      <c r="I752" s="5">
        <f>SQRT(SUM('p-pi-multi'!$C$3:C752)/COUNTIF($A$3:A752,"&lt;&gt;0"))</f>
        <v>17.878180369750535</v>
      </c>
    </row>
    <row r="753" spans="1:9">
      <c r="A753">
        <v>751</v>
      </c>
      <c r="B753">
        <v>233</v>
      </c>
      <c r="C753">
        <v>352</v>
      </c>
      <c r="D753">
        <v>310</v>
      </c>
      <c r="E753" s="4">
        <f t="shared" si="48"/>
        <v>0</v>
      </c>
      <c r="F753" s="4">
        <f t="shared" si="49"/>
        <v>119</v>
      </c>
      <c r="G753" s="4">
        <f t="shared" si="47"/>
        <v>0.26084473834478439</v>
      </c>
      <c r="H753" s="4">
        <f t="shared" si="50"/>
        <v>14161</v>
      </c>
      <c r="I753" s="5">
        <f>SQRT(SUM('p-pi-multi'!$C$3:C753)/COUNTIF($A$3:A753,"&lt;&gt;0"))</f>
        <v>17.879385804635422</v>
      </c>
    </row>
    <row r="754" spans="1:9">
      <c r="A754">
        <v>752</v>
      </c>
      <c r="B754">
        <v>233</v>
      </c>
      <c r="C754">
        <v>314</v>
      </c>
      <c r="D754">
        <v>265</v>
      </c>
      <c r="E754" s="4">
        <f t="shared" si="48"/>
        <v>0</v>
      </c>
      <c r="F754" s="4">
        <f t="shared" si="49"/>
        <v>81</v>
      </c>
      <c r="G754" s="4">
        <f t="shared" si="47"/>
        <v>0.12085321151614506</v>
      </c>
      <c r="H754" s="4">
        <f t="shared" si="50"/>
        <v>6561</v>
      </c>
      <c r="I754" s="5">
        <f>SQRT(SUM('p-pi-multi'!$C$3:C754)/COUNTIF($A$3:A754,"&lt;&gt;0"))</f>
        <v>17.87917485839381</v>
      </c>
    </row>
    <row r="755" spans="1:9">
      <c r="A755">
        <v>753</v>
      </c>
      <c r="B755">
        <v>233</v>
      </c>
      <c r="C755">
        <v>290</v>
      </c>
      <c r="D755">
        <v>270</v>
      </c>
      <c r="E755" s="4">
        <f t="shared" si="48"/>
        <v>0</v>
      </c>
      <c r="F755" s="4">
        <f t="shared" si="49"/>
        <v>57</v>
      </c>
      <c r="G755" s="4">
        <f t="shared" si="47"/>
        <v>5.984637771924331E-2</v>
      </c>
      <c r="H755" s="4">
        <f t="shared" si="50"/>
        <v>3249</v>
      </c>
      <c r="I755" s="5">
        <f>SQRT(SUM('p-pi-multi'!$C$3:C755)/COUNTIF($A$3:A755,"&lt;&gt;0"))</f>
        <v>17.878073106684852</v>
      </c>
    </row>
    <row r="756" spans="1:9">
      <c r="A756">
        <v>754</v>
      </c>
      <c r="B756">
        <v>233</v>
      </c>
      <c r="C756">
        <v>312</v>
      </c>
      <c r="D756">
        <v>273</v>
      </c>
      <c r="E756" s="4">
        <f t="shared" si="48"/>
        <v>0</v>
      </c>
      <c r="F756" s="4">
        <f t="shared" si="49"/>
        <v>79</v>
      </c>
      <c r="G756" s="4">
        <f t="shared" si="47"/>
        <v>0.11495883143914976</v>
      </c>
      <c r="H756" s="4">
        <f t="shared" si="50"/>
        <v>6241</v>
      </c>
      <c r="I756" s="5">
        <f>SQRT(SUM('p-pi-multi'!$C$3:C756)/COUNTIF($A$3:A756,"&lt;&gt;0"))</f>
        <v>17.877790260974219</v>
      </c>
    </row>
    <row r="757" spans="1:9">
      <c r="A757">
        <v>755</v>
      </c>
      <c r="B757">
        <v>233</v>
      </c>
      <c r="C757">
        <v>281</v>
      </c>
      <c r="D757">
        <v>261</v>
      </c>
      <c r="E757" s="4">
        <f t="shared" si="48"/>
        <v>0</v>
      </c>
      <c r="F757" s="4">
        <f t="shared" si="49"/>
        <v>48</v>
      </c>
      <c r="G757" s="4">
        <f t="shared" si="47"/>
        <v>4.2439536554366449E-2</v>
      </c>
      <c r="H757" s="4">
        <f t="shared" si="50"/>
        <v>2304</v>
      </c>
      <c r="I757" s="5">
        <f>SQRT(SUM('p-pi-multi'!$C$3:C757)/COUNTIF($A$3:A757,"&lt;&gt;0"))</f>
        <v>17.876359763961901</v>
      </c>
    </row>
    <row r="758" spans="1:9">
      <c r="A758">
        <v>756</v>
      </c>
      <c r="B758">
        <v>233</v>
      </c>
      <c r="C758">
        <v>265</v>
      </c>
      <c r="D758">
        <v>266</v>
      </c>
      <c r="E758" s="4">
        <f t="shared" si="48"/>
        <v>1</v>
      </c>
      <c r="F758" s="4">
        <f t="shared" si="49"/>
        <v>32</v>
      </c>
      <c r="G758" s="4">
        <f t="shared" si="47"/>
        <v>1.8862016246385088E-2</v>
      </c>
      <c r="H758" s="4">
        <f t="shared" si="50"/>
        <v>1024</v>
      </c>
      <c r="I758" s="5">
        <f>SQRT(SUM('p-pi-multi'!$C$3:C758)/COUNTIF($A$3:A758,"&lt;&gt;0"))</f>
        <v>17.87434092469044</v>
      </c>
    </row>
    <row r="759" spans="1:9">
      <c r="A759">
        <v>757</v>
      </c>
      <c r="B759">
        <v>233</v>
      </c>
      <c r="C759">
        <v>288</v>
      </c>
      <c r="D759">
        <v>269</v>
      </c>
      <c r="E759" s="4">
        <f t="shared" si="48"/>
        <v>0</v>
      </c>
      <c r="F759" s="4">
        <f t="shared" si="49"/>
        <v>55</v>
      </c>
      <c r="G759" s="4">
        <f t="shared" si="47"/>
        <v>5.5720311665346571E-2</v>
      </c>
      <c r="H759" s="4">
        <f t="shared" si="50"/>
        <v>3025</v>
      </c>
      <c r="I759" s="5">
        <f>SQRT(SUM('p-pi-multi'!$C$3:C759)/COUNTIF($A$3:A759,"&lt;&gt;0"))</f>
        <v>17.873177175627927</v>
      </c>
    </row>
    <row r="760" spans="1:9">
      <c r="A760">
        <v>758</v>
      </c>
      <c r="B760">
        <v>233</v>
      </c>
      <c r="C760">
        <v>300</v>
      </c>
      <c r="D760">
        <v>258</v>
      </c>
      <c r="E760" s="4">
        <f t="shared" si="48"/>
        <v>0</v>
      </c>
      <c r="F760" s="4">
        <f t="shared" si="49"/>
        <v>67</v>
      </c>
      <c r="G760" s="4">
        <f t="shared" si="47"/>
        <v>8.268710051760024E-2</v>
      </c>
      <c r="H760" s="4">
        <f t="shared" si="50"/>
        <v>4489</v>
      </c>
      <c r="I760" s="5">
        <f>SQRT(SUM('p-pi-multi'!$C$3:C760)/COUNTIF($A$3:A760,"&lt;&gt;0"))</f>
        <v>17.872459319042189</v>
      </c>
    </row>
    <row r="761" spans="1:9">
      <c r="A761">
        <v>759</v>
      </c>
      <c r="B761">
        <v>233</v>
      </c>
      <c r="C761">
        <v>290</v>
      </c>
      <c r="D761">
        <v>249</v>
      </c>
      <c r="E761" s="4">
        <f t="shared" si="48"/>
        <v>0</v>
      </c>
      <c r="F761" s="4">
        <f t="shared" si="49"/>
        <v>57</v>
      </c>
      <c r="G761" s="4">
        <f t="shared" si="47"/>
        <v>5.984637771924331E-2</v>
      </c>
      <c r="H761" s="4">
        <f t="shared" si="50"/>
        <v>3249</v>
      </c>
      <c r="I761" s="5">
        <f>SQRT(SUM('p-pi-multi'!$C$3:C761)/COUNTIF($A$3:A761,"&lt;&gt;0"))</f>
        <v>17.871374716445278</v>
      </c>
    </row>
    <row r="762" spans="1:9">
      <c r="A762">
        <v>760</v>
      </c>
      <c r="B762">
        <v>233</v>
      </c>
      <c r="C762">
        <v>297</v>
      </c>
      <c r="D762">
        <v>248</v>
      </c>
      <c r="E762" s="4">
        <f t="shared" si="48"/>
        <v>0</v>
      </c>
      <c r="F762" s="4">
        <f t="shared" si="49"/>
        <v>64</v>
      </c>
      <c r="G762" s="4">
        <f t="shared" si="47"/>
        <v>7.5448064985540353E-2</v>
      </c>
      <c r="H762" s="4">
        <f t="shared" si="50"/>
        <v>4096</v>
      </c>
      <c r="I762" s="5">
        <f>SQRT(SUM('p-pi-multi'!$C$3:C762)/COUNTIF($A$3:A762,"&lt;&gt;0"))</f>
        <v>17.870550605601618</v>
      </c>
    </row>
    <row r="763" spans="1:9">
      <c r="A763">
        <v>761</v>
      </c>
      <c r="B763">
        <v>233</v>
      </c>
      <c r="C763">
        <v>242</v>
      </c>
      <c r="D763">
        <v>241</v>
      </c>
      <c r="E763" s="4">
        <f t="shared" si="48"/>
        <v>1</v>
      </c>
      <c r="F763" s="4">
        <f t="shared" si="49"/>
        <v>9</v>
      </c>
      <c r="G763" s="4">
        <f t="shared" si="47"/>
        <v>1.4920149569894456E-3</v>
      </c>
      <c r="H763" s="4">
        <f t="shared" si="50"/>
        <v>81</v>
      </c>
      <c r="I763" s="5">
        <f>SQRT(SUM('p-pi-multi'!$C$3:C763)/COUNTIF($A$3:A763,"&lt;&gt;0"))</f>
        <v>17.867706280512767</v>
      </c>
    </row>
    <row r="764" spans="1:9">
      <c r="A764">
        <v>762</v>
      </c>
      <c r="B764">
        <v>233</v>
      </c>
      <c r="C764">
        <v>293</v>
      </c>
      <c r="D764">
        <v>256</v>
      </c>
      <c r="E764" s="4">
        <f t="shared" si="48"/>
        <v>0</v>
      </c>
      <c r="F764" s="4">
        <f t="shared" si="49"/>
        <v>60</v>
      </c>
      <c r="G764" s="4">
        <f t="shared" si="47"/>
        <v>6.6311775866197561E-2</v>
      </c>
      <c r="H764" s="4">
        <f t="shared" si="50"/>
        <v>3600</v>
      </c>
      <c r="I764" s="5">
        <f>SQRT(SUM('p-pi-multi'!$C$3:C764)/COUNTIF($A$3:A764,"&lt;&gt;0"))</f>
        <v>17.866742076857349</v>
      </c>
    </row>
    <row r="765" spans="1:9">
      <c r="A765">
        <v>763</v>
      </c>
      <c r="B765">
        <v>233</v>
      </c>
      <c r="C765">
        <v>240</v>
      </c>
      <c r="D765">
        <v>237</v>
      </c>
      <c r="E765" s="4">
        <f t="shared" si="48"/>
        <v>1</v>
      </c>
      <c r="F765" s="4">
        <f t="shared" si="49"/>
        <v>7</v>
      </c>
      <c r="G765" s="4">
        <f t="shared" si="47"/>
        <v>9.0257694928991142E-4</v>
      </c>
      <c r="H765" s="4">
        <f t="shared" si="50"/>
        <v>49</v>
      </c>
      <c r="I765" s="5">
        <f>SQRT(SUM('p-pi-multi'!$C$3:C765)/COUNTIF($A$3:A765,"&lt;&gt;0"))</f>
        <v>17.86383622918288</v>
      </c>
    </row>
    <row r="766" spans="1:9">
      <c r="A766">
        <v>764</v>
      </c>
      <c r="B766">
        <v>233</v>
      </c>
      <c r="C766">
        <v>299</v>
      </c>
      <c r="D766">
        <v>252</v>
      </c>
      <c r="E766" s="4">
        <f t="shared" si="48"/>
        <v>0</v>
      </c>
      <c r="F766" s="4">
        <f t="shared" si="49"/>
        <v>66</v>
      </c>
      <c r="G766" s="4">
        <f t="shared" si="47"/>
        <v>8.023724879809907E-2</v>
      </c>
      <c r="H766" s="4">
        <f t="shared" si="50"/>
        <v>4356</v>
      </c>
      <c r="I766" s="5">
        <f>SQRT(SUM('p-pi-multi'!$C$3:C766)/COUNTIF($A$3:A766,"&lt;&gt;0"))</f>
        <v>17.863099230988045</v>
      </c>
    </row>
    <row r="767" spans="1:9">
      <c r="A767">
        <v>765</v>
      </c>
      <c r="B767">
        <v>233</v>
      </c>
      <c r="C767">
        <v>249</v>
      </c>
      <c r="D767">
        <v>229</v>
      </c>
      <c r="E767" s="4">
        <f t="shared" si="48"/>
        <v>1</v>
      </c>
      <c r="F767" s="4">
        <f t="shared" si="49"/>
        <v>16</v>
      </c>
      <c r="G767" s="4">
        <f t="shared" si="47"/>
        <v>4.7155040615962721E-3</v>
      </c>
      <c r="H767" s="4">
        <f t="shared" si="50"/>
        <v>256</v>
      </c>
      <c r="I767" s="5">
        <f>SQRT(SUM('p-pi-multi'!$C$3:C767)/COUNTIF($A$3:A767,"&lt;&gt;0"))</f>
        <v>17.860534505172499</v>
      </c>
    </row>
    <row r="768" spans="1:9">
      <c r="A768">
        <v>766</v>
      </c>
      <c r="B768">
        <v>233</v>
      </c>
      <c r="C768">
        <v>240</v>
      </c>
      <c r="D768">
        <v>243</v>
      </c>
      <c r="E768" s="4">
        <f t="shared" si="48"/>
        <v>1</v>
      </c>
      <c r="F768" s="4">
        <f t="shared" si="49"/>
        <v>7</v>
      </c>
      <c r="G768" s="4">
        <f t="shared" si="47"/>
        <v>9.0257694928991142E-4</v>
      </c>
      <c r="H768" s="4">
        <f t="shared" si="50"/>
        <v>49</v>
      </c>
      <c r="I768" s="5">
        <f>SQRT(SUM('p-pi-multi'!$C$3:C768)/COUNTIF($A$3:A768,"&lt;&gt;0"))</f>
        <v>17.857647139466678</v>
      </c>
    </row>
    <row r="769" spans="1:9">
      <c r="A769">
        <v>767</v>
      </c>
      <c r="B769">
        <v>233</v>
      </c>
      <c r="C769">
        <v>244</v>
      </c>
      <c r="D769">
        <v>245</v>
      </c>
      <c r="E769" s="4">
        <f t="shared" si="48"/>
        <v>1</v>
      </c>
      <c r="F769" s="4">
        <f t="shared" si="49"/>
        <v>11</v>
      </c>
      <c r="G769" s="4">
        <f t="shared" si="47"/>
        <v>2.2288124666138632E-3</v>
      </c>
      <c r="H769" s="4">
        <f t="shared" si="50"/>
        <v>121</v>
      </c>
      <c r="I769" s="5">
        <f>SQRT(SUM('p-pi-multi'!$C$3:C769)/COUNTIF($A$3:A769,"&lt;&gt;0"))</f>
        <v>17.854912879945854</v>
      </c>
    </row>
    <row r="770" spans="1:9">
      <c r="A770">
        <v>768</v>
      </c>
      <c r="B770">
        <v>233</v>
      </c>
      <c r="C770">
        <v>243</v>
      </c>
      <c r="D770">
        <v>243</v>
      </c>
      <c r="E770" s="4">
        <f t="shared" si="48"/>
        <v>1</v>
      </c>
      <c r="F770" s="4">
        <f t="shared" si="49"/>
        <v>10</v>
      </c>
      <c r="G770" s="4">
        <f t="shared" si="47"/>
        <v>1.8419937740610437E-3</v>
      </c>
      <c r="H770" s="4">
        <f t="shared" si="50"/>
        <v>100</v>
      </c>
      <c r="I770" s="5">
        <f>SQRT(SUM('p-pi-multi'!$C$3:C770)/COUNTIF($A$3:A770,"&lt;&gt;0"))</f>
        <v>17.85214885524989</v>
      </c>
    </row>
    <row r="771" spans="1:9">
      <c r="A771">
        <v>769</v>
      </c>
      <c r="B771">
        <v>233</v>
      </c>
      <c r="C771">
        <v>283</v>
      </c>
      <c r="D771">
        <v>243</v>
      </c>
      <c r="E771" s="4">
        <f t="shared" si="48"/>
        <v>0</v>
      </c>
      <c r="F771" s="4">
        <f t="shared" si="49"/>
        <v>50</v>
      </c>
      <c r="G771" s="4">
        <f t="shared" si="47"/>
        <v>4.6049844351526092E-2</v>
      </c>
      <c r="H771" s="4">
        <f t="shared" si="50"/>
        <v>2500</v>
      </c>
      <c r="I771" s="5">
        <f>SQRT(SUM('p-pi-multi'!$C$3:C771)/COUNTIF($A$3:A771,"&lt;&gt;0"))</f>
        <v>17.850848602762603</v>
      </c>
    </row>
    <row r="772" spans="1:9">
      <c r="A772">
        <v>770</v>
      </c>
      <c r="B772">
        <v>233</v>
      </c>
      <c r="C772">
        <v>230</v>
      </c>
      <c r="D772">
        <v>227</v>
      </c>
      <c r="E772" s="4">
        <f t="shared" si="48"/>
        <v>1</v>
      </c>
      <c r="F772" s="4">
        <f t="shared" si="49"/>
        <v>3</v>
      </c>
      <c r="G772" s="4">
        <f t="shared" ref="G772:G835" si="51">POWER(ABS(B772-C772)/B772,2)</f>
        <v>1.6577943966549394E-4</v>
      </c>
      <c r="H772" s="4">
        <f t="shared" si="50"/>
        <v>9</v>
      </c>
      <c r="I772" s="5">
        <f>SQRT(SUM('p-pi-multi'!$C$3:C772)/COUNTIF($A$3:A772,"&lt;&gt;0"))</f>
        <v>17.84762343668373</v>
      </c>
    </row>
    <row r="773" spans="1:9">
      <c r="A773">
        <v>771</v>
      </c>
      <c r="B773">
        <v>233</v>
      </c>
      <c r="C773">
        <v>279</v>
      </c>
      <c r="D773">
        <v>243</v>
      </c>
      <c r="E773" s="4">
        <f t="shared" si="48"/>
        <v>1</v>
      </c>
      <c r="F773" s="4">
        <f t="shared" si="49"/>
        <v>46</v>
      </c>
      <c r="G773" s="4">
        <f t="shared" si="51"/>
        <v>3.8976588259131681E-2</v>
      </c>
      <c r="H773" s="4">
        <f t="shared" si="50"/>
        <v>2116</v>
      </c>
      <c r="I773" s="5">
        <f>SQRT(SUM('p-pi-multi'!$C$3:C773)/COUNTIF($A$3:A773,"&lt;&gt;0"))</f>
        <v>17.84618674459497</v>
      </c>
    </row>
    <row r="774" spans="1:9">
      <c r="A774">
        <v>772</v>
      </c>
      <c r="B774">
        <v>233</v>
      </c>
      <c r="C774">
        <v>248</v>
      </c>
      <c r="D774">
        <v>225</v>
      </c>
      <c r="E774" s="4">
        <f t="shared" si="48"/>
        <v>1</v>
      </c>
      <c r="F774" s="4">
        <f t="shared" si="49"/>
        <v>15</v>
      </c>
      <c r="G774" s="4">
        <f t="shared" si="51"/>
        <v>4.1444859916373476E-3</v>
      </c>
      <c r="H774" s="4">
        <f t="shared" si="50"/>
        <v>225</v>
      </c>
      <c r="I774" s="5">
        <f>SQRT(SUM('p-pi-multi'!$C$3:C774)/COUNTIF($A$3:A774,"&lt;&gt;0"))</f>
        <v>17.84362849087055</v>
      </c>
    </row>
    <row r="775" spans="1:9">
      <c r="A775">
        <v>773</v>
      </c>
      <c r="B775">
        <v>233</v>
      </c>
      <c r="C775">
        <v>231</v>
      </c>
      <c r="D775">
        <v>233</v>
      </c>
      <c r="E775" s="4">
        <f t="shared" si="48"/>
        <v>1</v>
      </c>
      <c r="F775" s="4">
        <f t="shared" si="49"/>
        <v>2</v>
      </c>
      <c r="G775" s="4">
        <f t="shared" si="51"/>
        <v>7.3679750962441751E-5</v>
      </c>
      <c r="H775" s="4">
        <f t="shared" si="50"/>
        <v>4</v>
      </c>
      <c r="I775" s="5">
        <f>SQRT(SUM('p-pi-multi'!$C$3:C775)/COUNTIF($A$3:A775,"&lt;&gt;0"))</f>
        <v>17.84046014292386</v>
      </c>
    </row>
    <row r="776" spans="1:9">
      <c r="A776">
        <v>774</v>
      </c>
      <c r="B776">
        <v>233</v>
      </c>
      <c r="C776">
        <v>237</v>
      </c>
      <c r="D776">
        <v>238</v>
      </c>
      <c r="E776" s="4">
        <f t="shared" si="48"/>
        <v>1</v>
      </c>
      <c r="F776" s="4">
        <f t="shared" si="49"/>
        <v>4</v>
      </c>
      <c r="G776" s="4">
        <f t="shared" si="51"/>
        <v>2.94719003849767E-4</v>
      </c>
      <c r="H776" s="4">
        <f t="shared" si="50"/>
        <v>16</v>
      </c>
      <c r="I776" s="5">
        <f>SQRT(SUM('p-pi-multi'!$C$3:C776)/COUNTIF($A$3:A776,"&lt;&gt;0"))</f>
        <v>17.837516715730903</v>
      </c>
    </row>
    <row r="777" spans="1:9">
      <c r="A777">
        <v>775</v>
      </c>
      <c r="B777">
        <v>233</v>
      </c>
      <c r="C777">
        <v>276</v>
      </c>
      <c r="D777">
        <v>236</v>
      </c>
      <c r="E777" s="4">
        <f t="shared" si="48"/>
        <v>1</v>
      </c>
      <c r="F777" s="4">
        <f t="shared" si="49"/>
        <v>43</v>
      </c>
      <c r="G777" s="4">
        <f t="shared" si="51"/>
        <v>3.40584648823887E-2</v>
      </c>
      <c r="H777" s="4">
        <f t="shared" si="50"/>
        <v>1849</v>
      </c>
      <c r="I777" s="5">
        <f>SQRT(SUM('p-pi-multi'!$C$3:C777)/COUNTIF($A$3:A777,"&lt;&gt;0"))</f>
        <v>17.835991159595288</v>
      </c>
    </row>
    <row r="778" spans="1:9">
      <c r="A778">
        <v>776</v>
      </c>
      <c r="B778">
        <v>233</v>
      </c>
      <c r="C778">
        <v>264</v>
      </c>
      <c r="D778">
        <v>221</v>
      </c>
      <c r="E778" s="4">
        <f t="shared" si="48"/>
        <v>1</v>
      </c>
      <c r="F778" s="4">
        <f t="shared" si="49"/>
        <v>31</v>
      </c>
      <c r="G778" s="4">
        <f t="shared" si="51"/>
        <v>1.7701560168726628E-2</v>
      </c>
      <c r="H778" s="4">
        <f t="shared" si="50"/>
        <v>961</v>
      </c>
      <c r="I778" s="5">
        <f>SQRT(SUM('p-pi-multi'!$C$3:C778)/COUNTIF($A$3:A778,"&lt;&gt;0"))</f>
        <v>17.834035859881698</v>
      </c>
    </row>
    <row r="779" spans="1:9">
      <c r="A779">
        <v>777</v>
      </c>
      <c r="B779">
        <v>233</v>
      </c>
      <c r="C779">
        <v>222</v>
      </c>
      <c r="D779">
        <v>223</v>
      </c>
      <c r="E779" s="4">
        <f t="shared" si="48"/>
        <v>1</v>
      </c>
      <c r="F779" s="4">
        <f t="shared" si="49"/>
        <v>11</v>
      </c>
      <c r="G779" s="4">
        <f t="shared" si="51"/>
        <v>2.2288124666138632E-3</v>
      </c>
      <c r="H779" s="4">
        <f t="shared" si="50"/>
        <v>121</v>
      </c>
      <c r="I779" s="5">
        <f>SQRT(SUM('p-pi-multi'!$C$3:C779)/COUNTIF($A$3:A779,"&lt;&gt;0"))</f>
        <v>17.830569674836948</v>
      </c>
    </row>
    <row r="780" spans="1:9">
      <c r="A780">
        <v>778</v>
      </c>
      <c r="B780">
        <v>233</v>
      </c>
      <c r="C780">
        <v>280</v>
      </c>
      <c r="D780">
        <v>236</v>
      </c>
      <c r="E780" s="4">
        <f t="shared" si="48"/>
        <v>0</v>
      </c>
      <c r="F780" s="4">
        <f t="shared" si="49"/>
        <v>47</v>
      </c>
      <c r="G780" s="4">
        <f t="shared" si="51"/>
        <v>4.0689642469008455E-2</v>
      </c>
      <c r="H780" s="4">
        <f t="shared" si="50"/>
        <v>2209</v>
      </c>
      <c r="I780" s="5">
        <f>SQRT(SUM('p-pi-multi'!$C$3:C780)/COUNTIF($A$3:A780,"&lt;&gt;0"))</f>
        <v>17.829202526331226</v>
      </c>
    </row>
    <row r="781" spans="1:9">
      <c r="A781">
        <v>779</v>
      </c>
      <c r="B781">
        <v>233</v>
      </c>
      <c r="C781">
        <v>219</v>
      </c>
      <c r="D781">
        <v>215</v>
      </c>
      <c r="E781" s="4">
        <f t="shared" si="48"/>
        <v>1</v>
      </c>
      <c r="F781" s="4">
        <f t="shared" si="49"/>
        <v>14</v>
      </c>
      <c r="G781" s="4">
        <f t="shared" si="51"/>
        <v>3.6103077971596457E-3</v>
      </c>
      <c r="H781" s="4">
        <f t="shared" si="50"/>
        <v>196</v>
      </c>
      <c r="I781" s="5">
        <f>SQRT(SUM('p-pi-multi'!$C$3:C781)/COUNTIF($A$3:A781,"&lt;&gt;0"))</f>
        <v>17.82564248959573</v>
      </c>
    </row>
    <row r="782" spans="1:9">
      <c r="A782">
        <v>780</v>
      </c>
      <c r="B782">
        <v>233</v>
      </c>
      <c r="C782">
        <v>277</v>
      </c>
      <c r="D782">
        <v>234</v>
      </c>
      <c r="E782" s="4">
        <f t="shared" si="48"/>
        <v>1</v>
      </c>
      <c r="F782" s="4">
        <f t="shared" si="49"/>
        <v>44</v>
      </c>
      <c r="G782" s="4">
        <f t="shared" si="51"/>
        <v>3.566099946582181E-2</v>
      </c>
      <c r="H782" s="4">
        <f t="shared" si="50"/>
        <v>1936</v>
      </c>
      <c r="I782" s="5">
        <f>SQRT(SUM('p-pi-multi'!$C$3:C782)/COUNTIF($A$3:A782,"&lt;&gt;0"))</f>
        <v>17.824176896880317</v>
      </c>
    </row>
    <row r="783" spans="1:9">
      <c r="A783">
        <v>781</v>
      </c>
      <c r="B783">
        <v>233</v>
      </c>
      <c r="C783">
        <v>218</v>
      </c>
      <c r="D783">
        <v>214</v>
      </c>
      <c r="E783" s="4">
        <f t="shared" si="48"/>
        <v>1</v>
      </c>
      <c r="F783" s="4">
        <f t="shared" si="49"/>
        <v>15</v>
      </c>
      <c r="G783" s="4">
        <f t="shared" si="51"/>
        <v>4.1444859916373476E-3</v>
      </c>
      <c r="H783" s="4">
        <f t="shared" si="50"/>
        <v>225</v>
      </c>
      <c r="I783" s="5">
        <f>SQRT(SUM('p-pi-multi'!$C$3:C783)/COUNTIF($A$3:A783,"&lt;&gt;0"))</f>
        <v>17.820595488353892</v>
      </c>
    </row>
    <row r="784" spans="1:9">
      <c r="A784">
        <v>782</v>
      </c>
      <c r="B784">
        <v>233</v>
      </c>
      <c r="C784">
        <v>228</v>
      </c>
      <c r="D784">
        <v>232</v>
      </c>
      <c r="E784" s="4">
        <f t="shared" si="48"/>
        <v>1</v>
      </c>
      <c r="F784" s="4">
        <f t="shared" si="49"/>
        <v>5</v>
      </c>
      <c r="G784" s="4">
        <f t="shared" si="51"/>
        <v>4.6049844351526092E-4</v>
      </c>
      <c r="H784" s="4">
        <f t="shared" si="50"/>
        <v>25</v>
      </c>
      <c r="I784" s="5">
        <f>SQRT(SUM('p-pi-multi'!$C$3:C784)/COUNTIF($A$3:A784,"&lt;&gt;0"))</f>
        <v>17.817381381221189</v>
      </c>
    </row>
    <row r="785" spans="1:9">
      <c r="A785">
        <v>783</v>
      </c>
      <c r="B785">
        <v>233</v>
      </c>
      <c r="C785">
        <v>270</v>
      </c>
      <c r="D785">
        <v>230</v>
      </c>
      <c r="E785" s="4">
        <f t="shared" si="48"/>
        <v>1</v>
      </c>
      <c r="F785" s="4">
        <f t="shared" si="49"/>
        <v>37</v>
      </c>
      <c r="G785" s="4">
        <f t="shared" si="51"/>
        <v>2.5216894766895686E-2</v>
      </c>
      <c r="H785" s="4">
        <f t="shared" si="50"/>
        <v>1369</v>
      </c>
      <c r="I785" s="5">
        <f>SQRT(SUM('p-pi-multi'!$C$3:C785)/COUNTIF($A$3:A785,"&lt;&gt;0"))</f>
        <v>17.815680380859728</v>
      </c>
    </row>
    <row r="786" spans="1:9">
      <c r="A786">
        <v>784</v>
      </c>
      <c r="B786">
        <v>233</v>
      </c>
      <c r="C786">
        <v>217</v>
      </c>
      <c r="D786">
        <v>214</v>
      </c>
      <c r="E786" s="4">
        <f t="shared" si="48"/>
        <v>1</v>
      </c>
      <c r="F786" s="4">
        <f t="shared" si="49"/>
        <v>16</v>
      </c>
      <c r="G786" s="4">
        <f t="shared" si="51"/>
        <v>4.7155040615962721E-3</v>
      </c>
      <c r="H786" s="4">
        <f t="shared" si="50"/>
        <v>256</v>
      </c>
      <c r="I786" s="5">
        <f>SQRT(SUM('p-pi-multi'!$C$3:C786)/COUNTIF($A$3:A786,"&lt;&gt;0"))</f>
        <v>17.812086013807178</v>
      </c>
    </row>
    <row r="787" spans="1:9">
      <c r="A787">
        <v>785</v>
      </c>
      <c r="B787">
        <v>233</v>
      </c>
      <c r="C787">
        <v>267</v>
      </c>
      <c r="D787">
        <v>231</v>
      </c>
      <c r="E787" s="4">
        <f t="shared" si="48"/>
        <v>1</v>
      </c>
      <c r="F787" s="4">
        <f t="shared" si="49"/>
        <v>34</v>
      </c>
      <c r="G787" s="4">
        <f t="shared" si="51"/>
        <v>2.1293448028145666E-2</v>
      </c>
      <c r="H787" s="4">
        <f t="shared" si="50"/>
        <v>1156</v>
      </c>
      <c r="I787" s="5">
        <f>SQRT(SUM('p-pi-multi'!$C$3:C787)/COUNTIF($A$3:A787,"&lt;&gt;0"))</f>
        <v>17.810288302740961</v>
      </c>
    </row>
    <row r="788" spans="1:9">
      <c r="A788">
        <v>786</v>
      </c>
      <c r="B788">
        <v>233</v>
      </c>
      <c r="C788">
        <v>260</v>
      </c>
      <c r="D788">
        <v>214</v>
      </c>
      <c r="E788" s="4">
        <f t="shared" si="48"/>
        <v>1</v>
      </c>
      <c r="F788" s="4">
        <f t="shared" si="49"/>
        <v>27</v>
      </c>
      <c r="G788" s="4">
        <f t="shared" si="51"/>
        <v>1.3428134612905008E-2</v>
      </c>
      <c r="H788" s="4">
        <f t="shared" si="50"/>
        <v>729</v>
      </c>
      <c r="I788" s="5">
        <f>SQRT(SUM('p-pi-multi'!$C$3:C788)/COUNTIF($A$3:A788,"&lt;&gt;0"))</f>
        <v>17.808244938405906</v>
      </c>
    </row>
    <row r="789" spans="1:9">
      <c r="A789">
        <v>787</v>
      </c>
      <c r="B789">
        <v>233</v>
      </c>
      <c r="C789">
        <v>214</v>
      </c>
      <c r="D789">
        <v>214</v>
      </c>
      <c r="E789" s="4">
        <f t="shared" si="48"/>
        <v>1</v>
      </c>
      <c r="F789" s="4">
        <f t="shared" si="49"/>
        <v>19</v>
      </c>
      <c r="G789" s="4">
        <f t="shared" si="51"/>
        <v>6.6495975243603669E-3</v>
      </c>
      <c r="H789" s="4">
        <f t="shared" si="50"/>
        <v>361</v>
      </c>
      <c r="I789" s="5">
        <f>SQRT(SUM('p-pi-multi'!$C$3:C789)/COUNTIF($A$3:A789,"&lt;&gt;0"))</f>
        <v>17.804565181325295</v>
      </c>
    </row>
    <row r="790" spans="1:9">
      <c r="A790">
        <v>788</v>
      </c>
      <c r="B790">
        <v>233</v>
      </c>
      <c r="C790">
        <v>271</v>
      </c>
      <c r="D790">
        <v>229</v>
      </c>
      <c r="E790" s="4">
        <f t="shared" si="48"/>
        <v>1</v>
      </c>
      <c r="F790" s="4">
        <f t="shared" si="49"/>
        <v>38</v>
      </c>
      <c r="G790" s="4">
        <f t="shared" si="51"/>
        <v>2.6598390097441468E-2</v>
      </c>
      <c r="H790" s="4">
        <f t="shared" si="50"/>
        <v>1444</v>
      </c>
      <c r="I790" s="5">
        <f>SQRT(SUM('p-pi-multi'!$C$3:C790)/COUNTIF($A$3:A790,"&lt;&gt;0"))</f>
        <v>17.802925670702223</v>
      </c>
    </row>
    <row r="791" spans="1:9">
      <c r="A791">
        <v>789</v>
      </c>
      <c r="B791">
        <v>233</v>
      </c>
      <c r="C791">
        <v>253</v>
      </c>
      <c r="D791">
        <v>209</v>
      </c>
      <c r="E791" s="4">
        <f t="shared" si="48"/>
        <v>1</v>
      </c>
      <c r="F791" s="4">
        <f t="shared" si="49"/>
        <v>20</v>
      </c>
      <c r="G791" s="4">
        <f t="shared" si="51"/>
        <v>7.3679750962441747E-3</v>
      </c>
      <c r="H791" s="4">
        <f t="shared" si="50"/>
        <v>400</v>
      </c>
      <c r="I791" s="5">
        <f>SQRT(SUM('p-pi-multi'!$C$3:C791)/COUNTIF($A$3:A791,"&lt;&gt;0"))</f>
        <v>17.800649366546221</v>
      </c>
    </row>
    <row r="792" spans="1:9">
      <c r="A792">
        <v>790</v>
      </c>
      <c r="B792">
        <v>233</v>
      </c>
      <c r="C792">
        <v>254</v>
      </c>
      <c r="D792">
        <v>213</v>
      </c>
      <c r="E792" s="4">
        <f t="shared" si="48"/>
        <v>1</v>
      </c>
      <c r="F792" s="4">
        <f t="shared" si="49"/>
        <v>21</v>
      </c>
      <c r="G792" s="4">
        <f t="shared" si="51"/>
        <v>8.1231925436092024E-3</v>
      </c>
      <c r="H792" s="4">
        <f t="shared" si="50"/>
        <v>441</v>
      </c>
      <c r="I792" s="5">
        <f>SQRT(SUM('p-pi-multi'!$C$3:C792)/COUNTIF($A$3:A792,"&lt;&gt;0"))</f>
        <v>17.798414095188296</v>
      </c>
    </row>
    <row r="793" spans="1:9">
      <c r="A793">
        <v>791</v>
      </c>
      <c r="B793">
        <v>233</v>
      </c>
      <c r="C793">
        <v>211</v>
      </c>
      <c r="D793">
        <v>211</v>
      </c>
      <c r="E793" s="4">
        <f t="shared" ref="E793:E856" si="52">IF(AND(C793&lt;=B793*1.2,C793&gt;=B793*0.8),1,0)</f>
        <v>1</v>
      </c>
      <c r="F793" s="4">
        <f t="shared" ref="F793:F856" si="53">ABS(B793-C793)</f>
        <v>22</v>
      </c>
      <c r="G793" s="4">
        <f t="shared" si="51"/>
        <v>8.9152498664554526E-3</v>
      </c>
      <c r="H793" s="4">
        <f t="shared" ref="H793:H856" si="54">POWER(F793,2)</f>
        <v>484</v>
      </c>
      <c r="I793" s="5">
        <f>SQRT(SUM('p-pi-multi'!$C$3:C793)/COUNTIF($A$3:A793,"&lt;&gt;0"))</f>
        <v>17.794656792605597</v>
      </c>
    </row>
    <row r="794" spans="1:9">
      <c r="A794">
        <v>792</v>
      </c>
      <c r="B794">
        <v>233</v>
      </c>
      <c r="C794">
        <v>268</v>
      </c>
      <c r="D794">
        <v>226</v>
      </c>
      <c r="E794" s="4">
        <f t="shared" si="52"/>
        <v>1</v>
      </c>
      <c r="F794" s="4">
        <f t="shared" si="53"/>
        <v>35</v>
      </c>
      <c r="G794" s="4">
        <f t="shared" si="51"/>
        <v>2.2564423732247787E-2</v>
      </c>
      <c r="H794" s="4">
        <f t="shared" si="54"/>
        <v>1225</v>
      </c>
      <c r="I794" s="5">
        <f>SQRT(SUM('p-pi-multi'!$C$3:C794)/COUNTIF($A$3:A794,"&lt;&gt;0"))</f>
        <v>17.792930726510004</v>
      </c>
    </row>
    <row r="795" spans="1:9">
      <c r="A795">
        <v>793</v>
      </c>
      <c r="B795">
        <v>233</v>
      </c>
      <c r="C795">
        <v>250</v>
      </c>
      <c r="D795">
        <v>206</v>
      </c>
      <c r="E795" s="4">
        <f t="shared" si="52"/>
        <v>1</v>
      </c>
      <c r="F795" s="4">
        <f t="shared" si="53"/>
        <v>17</v>
      </c>
      <c r="G795" s="4">
        <f t="shared" si="51"/>
        <v>5.3233620070364165E-3</v>
      </c>
      <c r="H795" s="4">
        <f t="shared" si="54"/>
        <v>289</v>
      </c>
      <c r="I795" s="5">
        <f>SQRT(SUM('p-pi-multi'!$C$3:C795)/COUNTIF($A$3:A795,"&lt;&gt;0"))</f>
        <v>17.790570918865075</v>
      </c>
    </row>
    <row r="796" spans="1:9">
      <c r="A796">
        <v>794</v>
      </c>
      <c r="B796">
        <v>233</v>
      </c>
      <c r="C796">
        <v>230</v>
      </c>
      <c r="D796">
        <v>210</v>
      </c>
      <c r="E796" s="4">
        <f t="shared" si="52"/>
        <v>1</v>
      </c>
      <c r="F796" s="4">
        <f t="shared" si="53"/>
        <v>3</v>
      </c>
      <c r="G796" s="4">
        <f t="shared" si="51"/>
        <v>1.6577943966549394E-4</v>
      </c>
      <c r="H796" s="4">
        <f t="shared" si="54"/>
        <v>9</v>
      </c>
      <c r="I796" s="5">
        <f>SQRT(SUM('p-pi-multi'!$C$3:C796)/COUNTIF($A$3:A796,"&lt;&gt;0"))</f>
        <v>17.787508706813391</v>
      </c>
    </row>
    <row r="797" spans="1:9">
      <c r="A797">
        <v>795</v>
      </c>
      <c r="B797">
        <v>233</v>
      </c>
      <c r="C797">
        <v>254</v>
      </c>
      <c r="D797">
        <v>216</v>
      </c>
      <c r="E797" s="4">
        <f t="shared" si="52"/>
        <v>1</v>
      </c>
      <c r="F797" s="4">
        <f t="shared" si="53"/>
        <v>21</v>
      </c>
      <c r="G797" s="4">
        <f t="shared" si="51"/>
        <v>8.1231925436092024E-3</v>
      </c>
      <c r="H797" s="4">
        <f t="shared" si="54"/>
        <v>441</v>
      </c>
      <c r="I797" s="5">
        <f>SQRT(SUM('p-pi-multi'!$C$3:C797)/COUNTIF($A$3:A797,"&lt;&gt;0"))</f>
        <v>17.785302390796605</v>
      </c>
    </row>
    <row r="798" spans="1:9">
      <c r="A798">
        <v>796</v>
      </c>
      <c r="B798">
        <v>233</v>
      </c>
      <c r="C798">
        <v>208</v>
      </c>
      <c r="D798">
        <v>207</v>
      </c>
      <c r="E798" s="4">
        <f t="shared" si="52"/>
        <v>1</v>
      </c>
      <c r="F798" s="4">
        <f t="shared" si="53"/>
        <v>25</v>
      </c>
      <c r="G798" s="4">
        <f t="shared" si="51"/>
        <v>1.1512461087881523E-2</v>
      </c>
      <c r="H798" s="4">
        <f t="shared" si="54"/>
        <v>625</v>
      </c>
      <c r="I798" s="5">
        <f>SQRT(SUM('p-pi-multi'!$C$3:C798)/COUNTIF($A$3:A798,"&lt;&gt;0"))</f>
        <v>17.781476443833707</v>
      </c>
    </row>
    <row r="799" spans="1:9">
      <c r="A799">
        <v>797</v>
      </c>
      <c r="B799">
        <v>233</v>
      </c>
      <c r="C799">
        <v>219</v>
      </c>
      <c r="D799">
        <v>223</v>
      </c>
      <c r="E799" s="4">
        <f t="shared" si="52"/>
        <v>1</v>
      </c>
      <c r="F799" s="4">
        <f t="shared" si="53"/>
        <v>14</v>
      </c>
      <c r="G799" s="4">
        <f t="shared" si="51"/>
        <v>3.6103077971596457E-3</v>
      </c>
      <c r="H799" s="4">
        <f t="shared" si="54"/>
        <v>196</v>
      </c>
      <c r="I799" s="5">
        <f>SQRT(SUM('p-pi-multi'!$C$3:C799)/COUNTIF($A$3:A799,"&lt;&gt;0"))</f>
        <v>17.778047450206159</v>
      </c>
    </row>
    <row r="800" spans="1:9">
      <c r="A800">
        <v>798</v>
      </c>
      <c r="B800">
        <v>233</v>
      </c>
      <c r="C800">
        <v>220</v>
      </c>
      <c r="D800">
        <v>220</v>
      </c>
      <c r="E800" s="4">
        <f t="shared" si="52"/>
        <v>1</v>
      </c>
      <c r="F800" s="4">
        <f t="shared" si="53"/>
        <v>13</v>
      </c>
      <c r="G800" s="4">
        <f t="shared" si="51"/>
        <v>3.1129694781631642E-3</v>
      </c>
      <c r="H800" s="4">
        <f t="shared" si="54"/>
        <v>169</v>
      </c>
      <c r="I800" s="5">
        <f>SQRT(SUM('p-pi-multi'!$C$3:C800)/COUNTIF($A$3:A800,"&lt;&gt;0"))</f>
        <v>17.774661642102448</v>
      </c>
    </row>
    <row r="801" spans="1:9">
      <c r="A801">
        <v>799</v>
      </c>
      <c r="B801">
        <v>233</v>
      </c>
      <c r="C801">
        <v>220</v>
      </c>
      <c r="D801">
        <v>221</v>
      </c>
      <c r="E801" s="4">
        <f t="shared" si="52"/>
        <v>1</v>
      </c>
      <c r="F801" s="4">
        <f t="shared" si="53"/>
        <v>13</v>
      </c>
      <c r="G801" s="4">
        <f t="shared" si="51"/>
        <v>3.1129694781631642E-3</v>
      </c>
      <c r="H801" s="4">
        <f t="shared" si="54"/>
        <v>169</v>
      </c>
      <c r="I801" s="5">
        <f>SQRT(SUM('p-pi-multi'!$C$3:C801)/COUNTIF($A$3:A801,"&lt;&gt;0"))</f>
        <v>17.771283666464345</v>
      </c>
    </row>
    <row r="802" spans="1:9">
      <c r="A802">
        <v>800</v>
      </c>
      <c r="B802">
        <v>233</v>
      </c>
      <c r="C802">
        <v>261</v>
      </c>
      <c r="D802">
        <v>222</v>
      </c>
      <c r="E802" s="4">
        <f t="shared" si="52"/>
        <v>1</v>
      </c>
      <c r="F802" s="4">
        <f t="shared" si="53"/>
        <v>28</v>
      </c>
      <c r="G802" s="4">
        <f t="shared" si="51"/>
        <v>1.4441231188638583E-2</v>
      </c>
      <c r="H802" s="4">
        <f t="shared" si="54"/>
        <v>784</v>
      </c>
      <c r="I802" s="5">
        <f>SQRT(SUM('p-pi-multi'!$C$3:C802)/COUNTIF($A$3:A802,"&lt;&gt;0"))</f>
        <v>17.76935564391686</v>
      </c>
    </row>
    <row r="803" spans="1:9">
      <c r="A803">
        <v>801</v>
      </c>
      <c r="B803">
        <v>233</v>
      </c>
      <c r="C803">
        <v>210</v>
      </c>
      <c r="D803">
        <v>208</v>
      </c>
      <c r="E803" s="4">
        <f t="shared" si="52"/>
        <v>1</v>
      </c>
      <c r="F803" s="4">
        <f t="shared" si="53"/>
        <v>23</v>
      </c>
      <c r="G803" s="4">
        <f t="shared" si="51"/>
        <v>9.7441470647829202E-3</v>
      </c>
      <c r="H803" s="4">
        <f t="shared" si="54"/>
        <v>529</v>
      </c>
      <c r="I803" s="5">
        <f>SQRT(SUM('p-pi-multi'!$C$3:C803)/COUNTIF($A$3:A803,"&lt;&gt;0"))</f>
        <v>17.765640363580761</v>
      </c>
    </row>
    <row r="804" spans="1:9">
      <c r="A804">
        <v>802</v>
      </c>
      <c r="B804">
        <v>233</v>
      </c>
      <c r="C804">
        <v>261</v>
      </c>
      <c r="D804">
        <v>225</v>
      </c>
      <c r="E804" s="4">
        <f t="shared" si="52"/>
        <v>1</v>
      </c>
      <c r="F804" s="4">
        <f t="shared" si="53"/>
        <v>28</v>
      </c>
      <c r="G804" s="4">
        <f t="shared" si="51"/>
        <v>1.4441231188638583E-2</v>
      </c>
      <c r="H804" s="4">
        <f t="shared" si="54"/>
        <v>784</v>
      </c>
      <c r="I804" s="5">
        <f>SQRT(SUM('p-pi-multi'!$C$3:C804)/COUNTIF($A$3:A804,"&lt;&gt;0"))</f>
        <v>17.763723576765113</v>
      </c>
    </row>
    <row r="805" spans="1:9">
      <c r="A805">
        <v>803</v>
      </c>
      <c r="B805">
        <v>233</v>
      </c>
      <c r="C805">
        <v>210</v>
      </c>
      <c r="D805">
        <v>207</v>
      </c>
      <c r="E805" s="4">
        <f t="shared" si="52"/>
        <v>1</v>
      </c>
      <c r="F805" s="4">
        <f t="shared" si="53"/>
        <v>23</v>
      </c>
      <c r="G805" s="4">
        <f t="shared" si="51"/>
        <v>9.7441470647829202E-3</v>
      </c>
      <c r="H805" s="4">
        <f t="shared" si="54"/>
        <v>529</v>
      </c>
      <c r="I805" s="5">
        <f>SQRT(SUM('p-pi-multi'!$C$3:C805)/COUNTIF($A$3:A805,"&lt;&gt;0"))</f>
        <v>17.760023391994288</v>
      </c>
    </row>
    <row r="806" spans="1:9">
      <c r="A806">
        <v>804</v>
      </c>
      <c r="B806">
        <v>233</v>
      </c>
      <c r="C806">
        <v>260</v>
      </c>
      <c r="D806">
        <v>224</v>
      </c>
      <c r="E806" s="4">
        <f t="shared" si="52"/>
        <v>1</v>
      </c>
      <c r="F806" s="4">
        <f t="shared" si="53"/>
        <v>27</v>
      </c>
      <c r="G806" s="4">
        <f t="shared" si="51"/>
        <v>1.3428134612905008E-2</v>
      </c>
      <c r="H806" s="4">
        <f t="shared" si="54"/>
        <v>729</v>
      </c>
      <c r="I806" s="5">
        <f>SQRT(SUM('p-pi-multi'!$C$3:C806)/COUNTIF($A$3:A806,"&lt;&gt;0"))</f>
        <v>17.758082736814867</v>
      </c>
    </row>
    <row r="807" spans="1:9">
      <c r="A807">
        <v>805</v>
      </c>
      <c r="B807">
        <v>233</v>
      </c>
      <c r="C807">
        <v>250</v>
      </c>
      <c r="D807">
        <v>207</v>
      </c>
      <c r="E807" s="4">
        <f t="shared" si="52"/>
        <v>1</v>
      </c>
      <c r="F807" s="4">
        <f t="shared" si="53"/>
        <v>17</v>
      </c>
      <c r="G807" s="4">
        <f t="shared" si="51"/>
        <v>5.3233620070364165E-3</v>
      </c>
      <c r="H807" s="4">
        <f t="shared" si="54"/>
        <v>289</v>
      </c>
      <c r="I807" s="5">
        <f>SQRT(SUM('p-pi-multi'!$C$3:C807)/COUNTIF($A$3:A807,"&lt;&gt;0"))</f>
        <v>17.755796883873348</v>
      </c>
    </row>
    <row r="808" spans="1:9">
      <c r="A808">
        <v>806</v>
      </c>
      <c r="B808">
        <v>233</v>
      </c>
      <c r="C808">
        <v>229</v>
      </c>
      <c r="D808">
        <v>209</v>
      </c>
      <c r="E808" s="4">
        <f t="shared" si="52"/>
        <v>1</v>
      </c>
      <c r="F808" s="4">
        <f t="shared" si="53"/>
        <v>4</v>
      </c>
      <c r="G808" s="4">
        <f t="shared" si="51"/>
        <v>2.94719003849767E-4</v>
      </c>
      <c r="H808" s="4">
        <f t="shared" si="54"/>
        <v>16</v>
      </c>
      <c r="I808" s="5">
        <f>SQRT(SUM('p-pi-multi'!$C$3:C808)/COUNTIF($A$3:A808,"&lt;&gt;0"))</f>
        <v>17.752782607878142</v>
      </c>
    </row>
    <row r="809" spans="1:9">
      <c r="A809">
        <v>807</v>
      </c>
      <c r="B809">
        <v>233</v>
      </c>
      <c r="C809">
        <v>214</v>
      </c>
      <c r="D809">
        <v>216</v>
      </c>
      <c r="E809" s="4">
        <f t="shared" si="52"/>
        <v>1</v>
      </c>
      <c r="F809" s="4">
        <f t="shared" si="53"/>
        <v>19</v>
      </c>
      <c r="G809" s="4">
        <f t="shared" si="51"/>
        <v>6.6495975243603669E-3</v>
      </c>
      <c r="H809" s="4">
        <f t="shared" si="54"/>
        <v>361</v>
      </c>
      <c r="I809" s="5">
        <f>SQRT(SUM('p-pi-multi'!$C$3:C809)/COUNTIF($A$3:A809,"&lt;&gt;0"))</f>
        <v>17.74925169024927</v>
      </c>
    </row>
    <row r="810" spans="1:9">
      <c r="A810">
        <v>808</v>
      </c>
      <c r="B810">
        <v>233</v>
      </c>
      <c r="C810">
        <v>264</v>
      </c>
      <c r="D810">
        <v>221</v>
      </c>
      <c r="E810" s="4">
        <f t="shared" si="52"/>
        <v>1</v>
      </c>
      <c r="F810" s="4">
        <f t="shared" si="53"/>
        <v>31</v>
      </c>
      <c r="G810" s="4">
        <f t="shared" si="51"/>
        <v>1.7701560168726628E-2</v>
      </c>
      <c r="H810" s="4">
        <f t="shared" si="54"/>
        <v>961</v>
      </c>
      <c r="I810" s="5">
        <f>SQRT(SUM('p-pi-multi'!$C$3:C810)/COUNTIF($A$3:A810,"&lt;&gt;0"))</f>
        <v>17.747472278531038</v>
      </c>
    </row>
    <row r="811" spans="1:9">
      <c r="A811">
        <v>809</v>
      </c>
      <c r="B811">
        <v>233</v>
      </c>
      <c r="C811">
        <v>227</v>
      </c>
      <c r="D811">
        <v>204</v>
      </c>
      <c r="E811" s="4">
        <f t="shared" si="52"/>
        <v>1</v>
      </c>
      <c r="F811" s="4">
        <f t="shared" si="53"/>
        <v>6</v>
      </c>
      <c r="G811" s="4">
        <f t="shared" si="51"/>
        <v>6.6311775866197576E-4</v>
      </c>
      <c r="H811" s="4">
        <f t="shared" si="54"/>
        <v>36</v>
      </c>
      <c r="I811" s="5">
        <f>SQRT(SUM('p-pi-multi'!$C$3:C811)/COUNTIF($A$3:A811,"&lt;&gt;0"))</f>
        <v>17.744408405643018</v>
      </c>
    </row>
    <row r="812" spans="1:9">
      <c r="A812">
        <v>810</v>
      </c>
      <c r="B812">
        <v>233</v>
      </c>
      <c r="C812">
        <v>212</v>
      </c>
      <c r="D812">
        <v>215</v>
      </c>
      <c r="E812" s="4">
        <f t="shared" si="52"/>
        <v>1</v>
      </c>
      <c r="F812" s="4">
        <f t="shared" si="53"/>
        <v>21</v>
      </c>
      <c r="G812" s="4">
        <f t="shared" si="51"/>
        <v>8.1231925436092024E-3</v>
      </c>
      <c r="H812" s="4">
        <f t="shared" si="54"/>
        <v>441</v>
      </c>
      <c r="I812" s="5">
        <f>SQRT(SUM('p-pi-multi'!$C$3:C812)/COUNTIF($A$3:A812,"&lt;&gt;0"))</f>
        <v>17.740829660335422</v>
      </c>
    </row>
    <row r="813" spans="1:9">
      <c r="A813">
        <v>811</v>
      </c>
      <c r="B813">
        <v>233</v>
      </c>
      <c r="C813">
        <v>239</v>
      </c>
      <c r="D813">
        <v>221</v>
      </c>
      <c r="E813" s="4">
        <f t="shared" si="52"/>
        <v>1</v>
      </c>
      <c r="F813" s="4">
        <f t="shared" si="53"/>
        <v>6</v>
      </c>
      <c r="G813" s="4">
        <f t="shared" si="51"/>
        <v>6.6311775866197576E-4</v>
      </c>
      <c r="H813" s="4">
        <f t="shared" si="54"/>
        <v>36</v>
      </c>
      <c r="I813" s="5">
        <f>SQRT(SUM('p-pi-multi'!$C$3:C813)/COUNTIF($A$3:A813,"&lt;&gt;0"))</f>
        <v>17.738197479311225</v>
      </c>
    </row>
    <row r="814" spans="1:9">
      <c r="A814">
        <v>812</v>
      </c>
      <c r="B814">
        <v>233</v>
      </c>
      <c r="C814">
        <v>233</v>
      </c>
      <c r="D814">
        <v>213</v>
      </c>
      <c r="E814" s="4">
        <f t="shared" si="52"/>
        <v>1</v>
      </c>
      <c r="F814" s="4">
        <f t="shared" si="53"/>
        <v>0</v>
      </c>
      <c r="G814" s="4">
        <f t="shared" si="51"/>
        <v>0</v>
      </c>
      <c r="H814" s="4">
        <f t="shared" si="54"/>
        <v>0</v>
      </c>
      <c r="I814" s="5">
        <f>SQRT(SUM('p-pi-multi'!$C$3:C814)/COUNTIF($A$3:A814,"&lt;&gt;0"))</f>
        <v>17.735363076302551</v>
      </c>
    </row>
    <row r="815" spans="1:9">
      <c r="A815">
        <v>813</v>
      </c>
      <c r="B815">
        <v>233</v>
      </c>
      <c r="C815">
        <v>214</v>
      </c>
      <c r="D815">
        <v>215</v>
      </c>
      <c r="E815" s="4">
        <f t="shared" si="52"/>
        <v>1</v>
      </c>
      <c r="F815" s="4">
        <f t="shared" si="53"/>
        <v>19</v>
      </c>
      <c r="G815" s="4">
        <f t="shared" si="51"/>
        <v>6.6495975243603669E-3</v>
      </c>
      <c r="H815" s="4">
        <f t="shared" si="54"/>
        <v>361</v>
      </c>
      <c r="I815" s="5">
        <f>SQRT(SUM('p-pi-multi'!$C$3:C815)/COUNTIF($A$3:A815,"&lt;&gt;0"))</f>
        <v>17.731876217545111</v>
      </c>
    </row>
    <row r="816" spans="1:9">
      <c r="A816">
        <v>814</v>
      </c>
      <c r="B816">
        <v>233</v>
      </c>
      <c r="C816">
        <v>260</v>
      </c>
      <c r="D816">
        <v>222</v>
      </c>
      <c r="E816" s="4">
        <f t="shared" si="52"/>
        <v>1</v>
      </c>
      <c r="F816" s="4">
        <f t="shared" si="53"/>
        <v>27</v>
      </c>
      <c r="G816" s="4">
        <f t="shared" si="51"/>
        <v>1.3428134612905008E-2</v>
      </c>
      <c r="H816" s="4">
        <f t="shared" si="54"/>
        <v>729</v>
      </c>
      <c r="I816" s="5">
        <f>SQRT(SUM('p-pi-multi'!$C$3:C816)/COUNTIF($A$3:A816,"&lt;&gt;0"))</f>
        <v>17.729990971587657</v>
      </c>
    </row>
    <row r="817" spans="1:9">
      <c r="A817">
        <v>815</v>
      </c>
      <c r="B817">
        <v>233</v>
      </c>
      <c r="C817">
        <v>250</v>
      </c>
      <c r="D817">
        <v>206</v>
      </c>
      <c r="E817" s="4">
        <f t="shared" si="52"/>
        <v>1</v>
      </c>
      <c r="F817" s="4">
        <f t="shared" si="53"/>
        <v>17</v>
      </c>
      <c r="G817" s="4">
        <f t="shared" si="51"/>
        <v>5.3233620070364165E-3</v>
      </c>
      <c r="H817" s="4">
        <f t="shared" si="54"/>
        <v>289</v>
      </c>
      <c r="I817" s="5">
        <f>SQRT(SUM('p-pi-multi'!$C$3:C817)/COUNTIF($A$3:A817,"&lt;&gt;0"))</f>
        <v>17.727764090034078</v>
      </c>
    </row>
    <row r="818" spans="1:9">
      <c r="A818">
        <v>816</v>
      </c>
      <c r="B818">
        <v>233</v>
      </c>
      <c r="C818">
        <v>247</v>
      </c>
      <c r="D818">
        <v>208</v>
      </c>
      <c r="E818" s="4">
        <f t="shared" si="52"/>
        <v>1</v>
      </c>
      <c r="F818" s="4">
        <f t="shared" si="53"/>
        <v>14</v>
      </c>
      <c r="G818" s="4">
        <f t="shared" si="51"/>
        <v>3.6103077971596457E-3</v>
      </c>
      <c r="H818" s="4">
        <f t="shared" si="54"/>
        <v>196</v>
      </c>
      <c r="I818" s="5">
        <f>SQRT(SUM('p-pi-multi'!$C$3:C818)/COUNTIF($A$3:A818,"&lt;&gt;0"))</f>
        <v>17.725438682035158</v>
      </c>
    </row>
    <row r="819" spans="1:9">
      <c r="A819">
        <v>817</v>
      </c>
      <c r="B819">
        <v>233</v>
      </c>
      <c r="C819">
        <v>227</v>
      </c>
      <c r="D819">
        <v>207</v>
      </c>
      <c r="E819" s="4">
        <f t="shared" si="52"/>
        <v>1</v>
      </c>
      <c r="F819" s="4">
        <f t="shared" si="53"/>
        <v>6</v>
      </c>
      <c r="G819" s="4">
        <f t="shared" si="51"/>
        <v>6.6311775866197576E-4</v>
      </c>
      <c r="H819" s="4">
        <f t="shared" si="54"/>
        <v>36</v>
      </c>
      <c r="I819" s="5">
        <f>SQRT(SUM('p-pi-multi'!$C$3:C819)/COUNTIF($A$3:A819,"&lt;&gt;0"))</f>
        <v>17.722428031292932</v>
      </c>
    </row>
    <row r="820" spans="1:9">
      <c r="A820">
        <v>818</v>
      </c>
      <c r="B820">
        <v>233</v>
      </c>
      <c r="C820">
        <v>212</v>
      </c>
      <c r="D820">
        <v>214</v>
      </c>
      <c r="E820" s="4">
        <f t="shared" si="52"/>
        <v>1</v>
      </c>
      <c r="F820" s="4">
        <f t="shared" si="53"/>
        <v>21</v>
      </c>
      <c r="G820" s="4">
        <f t="shared" si="51"/>
        <v>8.1231925436092024E-3</v>
      </c>
      <c r="H820" s="4">
        <f t="shared" si="54"/>
        <v>441</v>
      </c>
      <c r="I820" s="5">
        <f>SQRT(SUM('p-pi-multi'!$C$3:C820)/COUNTIF($A$3:A820,"&lt;&gt;0"))</f>
        <v>17.718906786303478</v>
      </c>
    </row>
    <row r="821" spans="1:9">
      <c r="A821">
        <v>819</v>
      </c>
      <c r="B821">
        <v>233</v>
      </c>
      <c r="C821">
        <v>258</v>
      </c>
      <c r="D821">
        <v>220</v>
      </c>
      <c r="E821" s="4">
        <f t="shared" si="52"/>
        <v>1</v>
      </c>
      <c r="F821" s="4">
        <f t="shared" si="53"/>
        <v>25</v>
      </c>
      <c r="G821" s="4">
        <f t="shared" si="51"/>
        <v>1.1512461087881523E-2</v>
      </c>
      <c r="H821" s="4">
        <f t="shared" si="54"/>
        <v>625</v>
      </c>
      <c r="I821" s="5">
        <f>SQRT(SUM('p-pi-multi'!$C$3:C821)/COUNTIF($A$3:A821,"&lt;&gt;0"))</f>
        <v>17.716978605036775</v>
      </c>
    </row>
    <row r="822" spans="1:9">
      <c r="A822">
        <v>820</v>
      </c>
      <c r="B822">
        <v>233</v>
      </c>
      <c r="C822">
        <v>248</v>
      </c>
      <c r="D822">
        <v>204</v>
      </c>
      <c r="E822" s="4">
        <f t="shared" si="52"/>
        <v>1</v>
      </c>
      <c r="F822" s="4">
        <f t="shared" si="53"/>
        <v>15</v>
      </c>
      <c r="G822" s="4">
        <f t="shared" si="51"/>
        <v>4.1444859916373476E-3</v>
      </c>
      <c r="H822" s="4">
        <f t="shared" si="54"/>
        <v>225</v>
      </c>
      <c r="I822" s="5">
        <f>SQRT(SUM('p-pi-multi'!$C$3:C822)/COUNTIF($A$3:A822,"&lt;&gt;0"))</f>
        <v>17.714710711997419</v>
      </c>
    </row>
    <row r="823" spans="1:9">
      <c r="A823">
        <v>821</v>
      </c>
      <c r="B823">
        <v>233</v>
      </c>
      <c r="C823">
        <v>205</v>
      </c>
      <c r="D823">
        <v>206</v>
      </c>
      <c r="E823" s="4">
        <f t="shared" si="52"/>
        <v>1</v>
      </c>
      <c r="F823" s="4">
        <f t="shared" si="53"/>
        <v>28</v>
      </c>
      <c r="G823" s="4">
        <f t="shared" si="51"/>
        <v>1.4441231188638583E-2</v>
      </c>
      <c r="H823" s="4">
        <f t="shared" si="54"/>
        <v>784</v>
      </c>
      <c r="I823" s="5">
        <f>SQRT(SUM('p-pi-multi'!$C$3:C823)/COUNTIF($A$3:A823,"&lt;&gt;0"))</f>
        <v>17.710969508349915</v>
      </c>
    </row>
    <row r="824" spans="1:9">
      <c r="A824">
        <v>822</v>
      </c>
      <c r="B824">
        <v>233</v>
      </c>
      <c r="C824">
        <v>258</v>
      </c>
      <c r="D824">
        <v>221</v>
      </c>
      <c r="E824" s="4">
        <f t="shared" si="52"/>
        <v>1</v>
      </c>
      <c r="F824" s="4">
        <f t="shared" si="53"/>
        <v>25</v>
      </c>
      <c r="G824" s="4">
        <f t="shared" si="51"/>
        <v>1.1512461087881523E-2</v>
      </c>
      <c r="H824" s="4">
        <f t="shared" si="54"/>
        <v>625</v>
      </c>
      <c r="I824" s="5">
        <f>SQRT(SUM('p-pi-multi'!$C$3:C824)/COUNTIF($A$3:A824,"&lt;&gt;0"))</f>
        <v>17.70905716282228</v>
      </c>
    </row>
    <row r="825" spans="1:9">
      <c r="A825">
        <v>823</v>
      </c>
      <c r="B825">
        <v>233</v>
      </c>
      <c r="C825">
        <v>223</v>
      </c>
      <c r="D825">
        <v>203</v>
      </c>
      <c r="E825" s="4">
        <f t="shared" si="52"/>
        <v>1</v>
      </c>
      <c r="F825" s="4">
        <f t="shared" si="53"/>
        <v>10</v>
      </c>
      <c r="G825" s="4">
        <f t="shared" si="51"/>
        <v>1.8419937740610437E-3</v>
      </c>
      <c r="H825" s="4">
        <f t="shared" si="54"/>
        <v>100</v>
      </c>
      <c r="I825" s="5">
        <f>SQRT(SUM('p-pi-multi'!$C$3:C825)/COUNTIF($A$3:A825,"&lt;&gt;0"))</f>
        <v>17.705948365829329</v>
      </c>
    </row>
    <row r="826" spans="1:9">
      <c r="A826">
        <v>824</v>
      </c>
      <c r="B826">
        <v>233</v>
      </c>
      <c r="C826">
        <v>212</v>
      </c>
      <c r="D826">
        <v>215</v>
      </c>
      <c r="E826" s="4">
        <f t="shared" si="52"/>
        <v>1</v>
      </c>
      <c r="F826" s="4">
        <f t="shared" si="53"/>
        <v>21</v>
      </c>
      <c r="G826" s="4">
        <f t="shared" si="51"/>
        <v>8.1231925436092024E-3</v>
      </c>
      <c r="H826" s="4">
        <f t="shared" si="54"/>
        <v>441</v>
      </c>
      <c r="I826" s="5">
        <f>SQRT(SUM('p-pi-multi'!$C$3:C826)/COUNTIF($A$3:A826,"&lt;&gt;0"))</f>
        <v>17.702469522201302</v>
      </c>
    </row>
    <row r="827" spans="1:9">
      <c r="A827">
        <v>825</v>
      </c>
      <c r="B827">
        <v>233</v>
      </c>
      <c r="C827">
        <v>259</v>
      </c>
      <c r="D827">
        <v>219</v>
      </c>
      <c r="E827" s="4">
        <f t="shared" si="52"/>
        <v>1</v>
      </c>
      <c r="F827" s="4">
        <f t="shared" si="53"/>
        <v>26</v>
      </c>
      <c r="G827" s="4">
        <f t="shared" si="51"/>
        <v>1.2451877912652657E-2</v>
      </c>
      <c r="H827" s="4">
        <f t="shared" si="54"/>
        <v>676</v>
      </c>
      <c r="I827" s="5">
        <f>SQRT(SUM('p-pi-multi'!$C$3:C827)/COUNTIF($A$3:A827,"&lt;&gt;0"))</f>
        <v>17.700607762207351</v>
      </c>
    </row>
    <row r="828" spans="1:9">
      <c r="A828">
        <v>826</v>
      </c>
      <c r="B828">
        <v>233</v>
      </c>
      <c r="C828">
        <v>206</v>
      </c>
      <c r="D828">
        <v>203</v>
      </c>
      <c r="E828" s="4">
        <f t="shared" si="52"/>
        <v>1</v>
      </c>
      <c r="F828" s="4">
        <f t="shared" si="53"/>
        <v>27</v>
      </c>
      <c r="G828" s="4">
        <f t="shared" si="51"/>
        <v>1.3428134612905008E-2</v>
      </c>
      <c r="H828" s="4">
        <f t="shared" si="54"/>
        <v>729</v>
      </c>
      <c r="I828" s="5">
        <f>SQRT(SUM('p-pi-multi'!$C$3:C828)/COUNTIF($A$3:A828,"&lt;&gt;0"))</f>
        <v>17.696937533453465</v>
      </c>
    </row>
    <row r="829" spans="1:9">
      <c r="A829">
        <v>827</v>
      </c>
      <c r="B829">
        <v>233</v>
      </c>
      <c r="C829">
        <v>217</v>
      </c>
      <c r="D829">
        <v>221</v>
      </c>
      <c r="E829" s="4">
        <f t="shared" si="52"/>
        <v>1</v>
      </c>
      <c r="F829" s="4">
        <f t="shared" si="53"/>
        <v>16</v>
      </c>
      <c r="G829" s="4">
        <f t="shared" si="51"/>
        <v>4.7155040615962721E-3</v>
      </c>
      <c r="H829" s="4">
        <f t="shared" si="54"/>
        <v>256</v>
      </c>
      <c r="I829" s="5">
        <f>SQRT(SUM('p-pi-multi'!$C$3:C829)/COUNTIF($A$3:A829,"&lt;&gt;0"))</f>
        <v>17.693651297895283</v>
      </c>
    </row>
    <row r="830" spans="1:9">
      <c r="A830">
        <v>828</v>
      </c>
      <c r="B830">
        <v>233</v>
      </c>
      <c r="C830">
        <v>219</v>
      </c>
      <c r="D830">
        <v>219</v>
      </c>
      <c r="E830" s="4">
        <f t="shared" si="52"/>
        <v>1</v>
      </c>
      <c r="F830" s="4">
        <f t="shared" si="53"/>
        <v>14</v>
      </c>
      <c r="G830" s="4">
        <f t="shared" si="51"/>
        <v>3.6103077971596457E-3</v>
      </c>
      <c r="H830" s="4">
        <f t="shared" si="54"/>
        <v>196</v>
      </c>
      <c r="I830" s="5">
        <f>SQRT(SUM('p-pi-multi'!$C$3:C830)/COUNTIF($A$3:A830,"&lt;&gt;0"))</f>
        <v>17.690440662155819</v>
      </c>
    </row>
    <row r="831" spans="1:9">
      <c r="A831">
        <v>829</v>
      </c>
      <c r="B831">
        <v>233</v>
      </c>
      <c r="C831">
        <v>262</v>
      </c>
      <c r="D831">
        <v>219</v>
      </c>
      <c r="E831" s="4">
        <f t="shared" si="52"/>
        <v>1</v>
      </c>
      <c r="F831" s="4">
        <f t="shared" si="53"/>
        <v>29</v>
      </c>
      <c r="G831" s="4">
        <f t="shared" si="51"/>
        <v>1.5491167639853379E-2</v>
      </c>
      <c r="H831" s="4">
        <f t="shared" si="54"/>
        <v>841</v>
      </c>
      <c r="I831" s="5">
        <f>SQRT(SUM('p-pi-multi'!$C$3:C831)/COUNTIF($A$3:A831,"&lt;&gt;0"))</f>
        <v>17.688703434446442</v>
      </c>
    </row>
    <row r="832" spans="1:9">
      <c r="A832">
        <v>830</v>
      </c>
      <c r="B832">
        <v>233</v>
      </c>
      <c r="C832">
        <v>224</v>
      </c>
      <c r="D832">
        <v>204</v>
      </c>
      <c r="E832" s="4">
        <f t="shared" si="52"/>
        <v>1</v>
      </c>
      <c r="F832" s="4">
        <f t="shared" si="53"/>
        <v>9</v>
      </c>
      <c r="G832" s="4">
        <f t="shared" si="51"/>
        <v>1.4920149569894456E-3</v>
      </c>
      <c r="H832" s="4">
        <f t="shared" si="54"/>
        <v>81</v>
      </c>
      <c r="I832" s="5">
        <f>SQRT(SUM('p-pi-multi'!$C$3:C832)/COUNTIF($A$3:A832,"&lt;&gt;0"))</f>
        <v>17.685675913860926</v>
      </c>
    </row>
    <row r="833" spans="1:9">
      <c r="A833">
        <v>831</v>
      </c>
      <c r="B833">
        <v>233</v>
      </c>
      <c r="C833">
        <v>213</v>
      </c>
      <c r="D833">
        <v>216</v>
      </c>
      <c r="E833" s="4">
        <f t="shared" si="52"/>
        <v>1</v>
      </c>
      <c r="F833" s="4">
        <f t="shared" si="53"/>
        <v>20</v>
      </c>
      <c r="G833" s="4">
        <f t="shared" si="51"/>
        <v>7.3679750962441747E-3</v>
      </c>
      <c r="H833" s="4">
        <f t="shared" si="54"/>
        <v>400</v>
      </c>
      <c r="I833" s="5">
        <f>SQRT(SUM('p-pi-multi'!$C$3:C833)/COUNTIF($A$3:A833,"&lt;&gt;0"))</f>
        <v>17.6822808641409</v>
      </c>
    </row>
    <row r="834" spans="1:9">
      <c r="A834">
        <v>832</v>
      </c>
      <c r="B834">
        <v>233</v>
      </c>
      <c r="C834">
        <v>220</v>
      </c>
      <c r="D834">
        <v>221</v>
      </c>
      <c r="E834" s="4">
        <f t="shared" si="52"/>
        <v>1</v>
      </c>
      <c r="F834" s="4">
        <f t="shared" si="53"/>
        <v>13</v>
      </c>
      <c r="G834" s="4">
        <f t="shared" si="51"/>
        <v>3.1129694781631642E-3</v>
      </c>
      <c r="H834" s="4">
        <f t="shared" si="54"/>
        <v>169</v>
      </c>
      <c r="I834" s="5">
        <f>SQRT(SUM('p-pi-multi'!$C$3:C834)/COUNTIF($A$3:A834,"&lt;&gt;0"))</f>
        <v>17.679131276516607</v>
      </c>
    </row>
    <row r="835" spans="1:9">
      <c r="A835">
        <v>833</v>
      </c>
      <c r="B835">
        <v>233</v>
      </c>
      <c r="C835">
        <v>220</v>
      </c>
      <c r="D835">
        <v>220</v>
      </c>
      <c r="E835" s="4">
        <f t="shared" si="52"/>
        <v>1</v>
      </c>
      <c r="F835" s="4">
        <f t="shared" si="53"/>
        <v>13</v>
      </c>
      <c r="G835" s="4">
        <f t="shared" si="51"/>
        <v>3.1129694781631642E-3</v>
      </c>
      <c r="H835" s="4">
        <f t="shared" si="54"/>
        <v>169</v>
      </c>
      <c r="I835" s="5">
        <f>SQRT(SUM('p-pi-multi'!$C$3:C835)/COUNTIF($A$3:A835,"&lt;&gt;0"))</f>
        <v>17.675988691739203</v>
      </c>
    </row>
    <row r="836" spans="1:9">
      <c r="A836">
        <v>834</v>
      </c>
      <c r="B836">
        <v>233</v>
      </c>
      <c r="C836">
        <v>220</v>
      </c>
      <c r="D836">
        <v>221</v>
      </c>
      <c r="E836" s="4">
        <f t="shared" si="52"/>
        <v>1</v>
      </c>
      <c r="F836" s="4">
        <f t="shared" si="53"/>
        <v>13</v>
      </c>
      <c r="G836" s="4">
        <f t="shared" ref="G836:G899" si="55">POWER(ABS(B836-C836)/B836,2)</f>
        <v>3.1129694781631642E-3</v>
      </c>
      <c r="H836" s="4">
        <f t="shared" si="54"/>
        <v>169</v>
      </c>
      <c r="I836" s="5">
        <f>SQRT(SUM('p-pi-multi'!$C$3:C836)/COUNTIF($A$3:A836,"&lt;&gt;0"))</f>
        <v>17.672853086330775</v>
      </c>
    </row>
    <row r="837" spans="1:9">
      <c r="A837">
        <v>835</v>
      </c>
      <c r="B837">
        <v>233</v>
      </c>
      <c r="C837">
        <v>221</v>
      </c>
      <c r="D837">
        <v>222</v>
      </c>
      <c r="E837" s="4">
        <f t="shared" si="52"/>
        <v>1</v>
      </c>
      <c r="F837" s="4">
        <f t="shared" si="53"/>
        <v>12</v>
      </c>
      <c r="G837" s="4">
        <f t="shared" si="55"/>
        <v>2.652471034647903E-3</v>
      </c>
      <c r="H837" s="4">
        <f t="shared" si="54"/>
        <v>144</v>
      </c>
      <c r="I837" s="5">
        <f>SQRT(SUM('p-pi-multi'!$C$3:C837)/COUNTIF($A$3:A837,"&lt;&gt;0"))</f>
        <v>17.669758325496055</v>
      </c>
    </row>
    <row r="838" spans="1:9">
      <c r="A838">
        <v>836</v>
      </c>
      <c r="B838">
        <v>233</v>
      </c>
      <c r="C838">
        <v>222</v>
      </c>
      <c r="D838">
        <v>222</v>
      </c>
      <c r="E838" s="4">
        <f t="shared" si="52"/>
        <v>1</v>
      </c>
      <c r="F838" s="4">
        <f t="shared" si="53"/>
        <v>11</v>
      </c>
      <c r="G838" s="4">
        <f t="shared" si="55"/>
        <v>2.2288124666138632E-3</v>
      </c>
      <c r="H838" s="4">
        <f t="shared" si="54"/>
        <v>121</v>
      </c>
      <c r="I838" s="5">
        <f>SQRT(SUM('p-pi-multi'!$C$3:C838)/COUNTIF($A$3:A838,"&lt;&gt;0"))</f>
        <v>17.666704282106146</v>
      </c>
    </row>
    <row r="839" spans="1:9">
      <c r="A839">
        <v>837</v>
      </c>
      <c r="B839">
        <v>233</v>
      </c>
      <c r="C839">
        <v>242</v>
      </c>
      <c r="D839">
        <v>223</v>
      </c>
      <c r="E839" s="4">
        <f t="shared" si="52"/>
        <v>1</v>
      </c>
      <c r="F839" s="4">
        <f t="shared" si="53"/>
        <v>9</v>
      </c>
      <c r="G839" s="4">
        <f t="shared" si="55"/>
        <v>1.4920149569894456E-3</v>
      </c>
      <c r="H839" s="4">
        <f t="shared" si="54"/>
        <v>81</v>
      </c>
      <c r="I839" s="5">
        <f>SQRT(SUM('p-pi-multi'!$C$3:C839)/COUNTIF($A$3:A839,"&lt;&gt;0"))</f>
        <v>17.664333382132636</v>
      </c>
    </row>
    <row r="840" spans="1:9">
      <c r="A840">
        <v>838</v>
      </c>
      <c r="B840">
        <v>233</v>
      </c>
      <c r="C840">
        <v>256</v>
      </c>
      <c r="D840">
        <v>216</v>
      </c>
      <c r="E840" s="4">
        <f t="shared" si="52"/>
        <v>1</v>
      </c>
      <c r="F840" s="4">
        <f t="shared" si="53"/>
        <v>23</v>
      </c>
      <c r="G840" s="4">
        <f t="shared" si="55"/>
        <v>9.7441470647829202E-3</v>
      </c>
      <c r="H840" s="4">
        <f t="shared" si="54"/>
        <v>529</v>
      </c>
      <c r="I840" s="5">
        <f>SQRT(SUM('p-pi-multi'!$C$3:C840)/COUNTIF($A$3:A840,"&lt;&gt;0"))</f>
        <v>17.662440766849922</v>
      </c>
    </row>
    <row r="841" spans="1:9">
      <c r="A841">
        <v>839</v>
      </c>
      <c r="B841">
        <v>233</v>
      </c>
      <c r="C841">
        <v>211</v>
      </c>
      <c r="D841">
        <v>210</v>
      </c>
      <c r="E841" s="4">
        <f t="shared" si="52"/>
        <v>1</v>
      </c>
      <c r="F841" s="4">
        <f t="shared" si="53"/>
        <v>22</v>
      </c>
      <c r="G841" s="4">
        <f t="shared" si="55"/>
        <v>8.9152498664554526E-3</v>
      </c>
      <c r="H841" s="4">
        <f t="shared" si="54"/>
        <v>484</v>
      </c>
      <c r="I841" s="5">
        <f>SQRT(SUM('p-pi-multi'!$C$3:C841)/COUNTIF($A$3:A841,"&lt;&gt;0"))</f>
        <v>17.659033890616453</v>
      </c>
    </row>
    <row r="842" spans="1:9">
      <c r="A842">
        <v>840</v>
      </c>
      <c r="B842">
        <v>233</v>
      </c>
      <c r="C842">
        <v>267</v>
      </c>
      <c r="D842">
        <v>225</v>
      </c>
      <c r="E842" s="4">
        <f t="shared" si="52"/>
        <v>1</v>
      </c>
      <c r="F842" s="4">
        <f t="shared" si="53"/>
        <v>34</v>
      </c>
      <c r="G842" s="4">
        <f t="shared" si="55"/>
        <v>2.1293448028145666E-2</v>
      </c>
      <c r="H842" s="4">
        <f t="shared" si="54"/>
        <v>1156</v>
      </c>
      <c r="I842" s="5">
        <f>SQRT(SUM('p-pi-multi'!$C$3:C842)/COUNTIF($A$3:A842,"&lt;&gt;0"))</f>
        <v>17.657522341429878</v>
      </c>
    </row>
    <row r="843" spans="1:9">
      <c r="A843">
        <v>841</v>
      </c>
      <c r="B843">
        <v>233</v>
      </c>
      <c r="C843">
        <v>249</v>
      </c>
      <c r="D843">
        <v>206</v>
      </c>
      <c r="E843" s="4">
        <f t="shared" si="52"/>
        <v>1</v>
      </c>
      <c r="F843" s="4">
        <f t="shared" si="53"/>
        <v>16</v>
      </c>
      <c r="G843" s="4">
        <f t="shared" si="55"/>
        <v>4.7155040615962721E-3</v>
      </c>
      <c r="H843" s="4">
        <f t="shared" si="54"/>
        <v>256</v>
      </c>
      <c r="I843" s="5">
        <f>SQRT(SUM('p-pi-multi'!$C$3:C843)/COUNTIF($A$3:A843,"&lt;&gt;0"))</f>
        <v>17.655408134202268</v>
      </c>
    </row>
    <row r="844" spans="1:9">
      <c r="A844">
        <v>842</v>
      </c>
      <c r="B844">
        <v>233</v>
      </c>
      <c r="C844">
        <v>250</v>
      </c>
      <c r="D844">
        <v>210</v>
      </c>
      <c r="E844" s="4">
        <f t="shared" si="52"/>
        <v>1</v>
      </c>
      <c r="F844" s="4">
        <f t="shared" si="53"/>
        <v>17</v>
      </c>
      <c r="G844" s="4">
        <f t="shared" si="55"/>
        <v>5.3233620070364165E-3</v>
      </c>
      <c r="H844" s="4">
        <f t="shared" si="54"/>
        <v>289</v>
      </c>
      <c r="I844" s="5">
        <f>SQRT(SUM('p-pi-multi'!$C$3:C844)/COUNTIF($A$3:A844,"&lt;&gt;0"))</f>
        <v>17.653332334656106</v>
      </c>
    </row>
    <row r="845" spans="1:9">
      <c r="A845">
        <v>843</v>
      </c>
      <c r="B845">
        <v>233</v>
      </c>
      <c r="C845">
        <v>251</v>
      </c>
      <c r="D845">
        <v>209</v>
      </c>
      <c r="E845" s="4">
        <f t="shared" si="52"/>
        <v>1</v>
      </c>
      <c r="F845" s="4">
        <f t="shared" si="53"/>
        <v>18</v>
      </c>
      <c r="G845" s="4">
        <f t="shared" si="55"/>
        <v>5.9680598279577826E-3</v>
      </c>
      <c r="H845" s="4">
        <f t="shared" si="54"/>
        <v>324</v>
      </c>
      <c r="I845" s="5">
        <f>SQRT(SUM('p-pi-multi'!$C$3:C845)/COUNTIF($A$3:A845,"&lt;&gt;0"))</f>
        <v>17.651294818742709</v>
      </c>
    </row>
    <row r="846" spans="1:9">
      <c r="A846">
        <v>844</v>
      </c>
      <c r="B846">
        <v>233</v>
      </c>
      <c r="C846">
        <v>207</v>
      </c>
      <c r="D846">
        <v>207</v>
      </c>
      <c r="E846" s="4">
        <f t="shared" si="52"/>
        <v>1</v>
      </c>
      <c r="F846" s="4">
        <f t="shared" si="53"/>
        <v>26</v>
      </c>
      <c r="G846" s="4">
        <f t="shared" si="55"/>
        <v>1.2451877912652657E-2</v>
      </c>
      <c r="H846" s="4">
        <f t="shared" si="54"/>
        <v>676</v>
      </c>
      <c r="I846" s="5">
        <f>SQRT(SUM('p-pi-multi'!$C$3:C846)/COUNTIF($A$3:A846,"&lt;&gt;0"))</f>
        <v>17.647784926052577</v>
      </c>
    </row>
    <row r="847" spans="1:9">
      <c r="A847">
        <v>845</v>
      </c>
      <c r="B847">
        <v>233</v>
      </c>
      <c r="C847">
        <v>263</v>
      </c>
      <c r="D847">
        <v>222</v>
      </c>
      <c r="E847" s="4">
        <f t="shared" si="52"/>
        <v>1</v>
      </c>
      <c r="F847" s="4">
        <f t="shared" si="53"/>
        <v>30</v>
      </c>
      <c r="G847" s="4">
        <f t="shared" si="55"/>
        <v>1.657794396654939E-2</v>
      </c>
      <c r="H847" s="4">
        <f t="shared" si="54"/>
        <v>900</v>
      </c>
      <c r="I847" s="5">
        <f>SQRT(SUM('p-pi-multi'!$C$3:C847)/COUNTIF($A$3:A847,"&lt;&gt;0"))</f>
        <v>17.64616055261089</v>
      </c>
    </row>
    <row r="848" spans="1:9">
      <c r="A848">
        <v>846</v>
      </c>
      <c r="B848">
        <v>233</v>
      </c>
      <c r="C848">
        <v>226</v>
      </c>
      <c r="D848">
        <v>203</v>
      </c>
      <c r="E848" s="4">
        <f t="shared" si="52"/>
        <v>1</v>
      </c>
      <c r="F848" s="4">
        <f t="shared" si="53"/>
        <v>7</v>
      </c>
      <c r="G848" s="4">
        <f t="shared" si="55"/>
        <v>9.0257694928991142E-4</v>
      </c>
      <c r="H848" s="4">
        <f t="shared" si="54"/>
        <v>49</v>
      </c>
      <c r="I848" s="5">
        <f>SQRT(SUM('p-pi-multi'!$C$3:C848)/COUNTIF($A$3:A848,"&lt;&gt;0"))</f>
        <v>17.643300485154594</v>
      </c>
    </row>
    <row r="849" spans="1:9">
      <c r="A849">
        <v>847</v>
      </c>
      <c r="B849">
        <v>233</v>
      </c>
      <c r="C849">
        <v>251</v>
      </c>
      <c r="D849">
        <v>214</v>
      </c>
      <c r="E849" s="4">
        <f t="shared" si="52"/>
        <v>1</v>
      </c>
      <c r="F849" s="4">
        <f t="shared" si="53"/>
        <v>18</v>
      </c>
      <c r="G849" s="4">
        <f t="shared" si="55"/>
        <v>5.9680598279577826E-3</v>
      </c>
      <c r="H849" s="4">
        <f t="shared" si="54"/>
        <v>324</v>
      </c>
      <c r="I849" s="5">
        <f>SQRT(SUM('p-pi-multi'!$C$3:C849)/COUNTIF($A$3:A849,"&lt;&gt;0"))</f>
        <v>17.641283287591577</v>
      </c>
    </row>
    <row r="850" spans="1:9">
      <c r="A850">
        <v>848</v>
      </c>
      <c r="B850">
        <v>233</v>
      </c>
      <c r="C850">
        <v>247</v>
      </c>
      <c r="D850">
        <v>206</v>
      </c>
      <c r="E850" s="4">
        <f t="shared" si="52"/>
        <v>1</v>
      </c>
      <c r="F850" s="4">
        <f t="shared" si="53"/>
        <v>14</v>
      </c>
      <c r="G850" s="4">
        <f t="shared" si="55"/>
        <v>3.6103077971596457E-3</v>
      </c>
      <c r="H850" s="4">
        <f t="shared" si="54"/>
        <v>196</v>
      </c>
      <c r="I850" s="5">
        <f>SQRT(SUM('p-pi-multi'!$C$3:C850)/COUNTIF($A$3:A850,"&lt;&gt;0"))</f>
        <v>17.639136910387542</v>
      </c>
    </row>
    <row r="851" spans="1:9">
      <c r="A851">
        <v>849</v>
      </c>
      <c r="B851">
        <v>233</v>
      </c>
      <c r="C851">
        <v>206</v>
      </c>
      <c r="D851">
        <v>206</v>
      </c>
      <c r="E851" s="4">
        <f t="shared" si="52"/>
        <v>1</v>
      </c>
      <c r="F851" s="4">
        <f t="shared" si="53"/>
        <v>27</v>
      </c>
      <c r="G851" s="4">
        <f t="shared" si="55"/>
        <v>1.3428134612905008E-2</v>
      </c>
      <c r="H851" s="4">
        <f t="shared" si="54"/>
        <v>729</v>
      </c>
      <c r="I851" s="5">
        <f>SQRT(SUM('p-pi-multi'!$C$3:C851)/COUNTIF($A$3:A851,"&lt;&gt;0"))</f>
        <v>17.635626218876379</v>
      </c>
    </row>
    <row r="852" spans="1:9">
      <c r="A852">
        <v>850</v>
      </c>
      <c r="B852">
        <v>233</v>
      </c>
      <c r="C852">
        <v>261</v>
      </c>
      <c r="D852">
        <v>220</v>
      </c>
      <c r="E852" s="4">
        <f t="shared" si="52"/>
        <v>1</v>
      </c>
      <c r="F852" s="4">
        <f t="shared" si="53"/>
        <v>28</v>
      </c>
      <c r="G852" s="4">
        <f t="shared" si="55"/>
        <v>1.4441231188638583E-2</v>
      </c>
      <c r="H852" s="4">
        <f t="shared" si="54"/>
        <v>784</v>
      </c>
      <c r="I852" s="5">
        <f>SQRT(SUM('p-pi-multi'!$C$3:C852)/COUNTIF($A$3:A852,"&lt;&gt;0"))</f>
        <v>17.633957882115837</v>
      </c>
    </row>
    <row r="853" spans="1:9">
      <c r="A853">
        <v>851</v>
      </c>
      <c r="B853">
        <v>233</v>
      </c>
      <c r="C853">
        <v>245</v>
      </c>
      <c r="D853">
        <v>202</v>
      </c>
      <c r="E853" s="4">
        <f t="shared" si="52"/>
        <v>1</v>
      </c>
      <c r="F853" s="4">
        <f t="shared" si="53"/>
        <v>12</v>
      </c>
      <c r="G853" s="4">
        <f t="shared" si="55"/>
        <v>2.652471034647903E-3</v>
      </c>
      <c r="H853" s="4">
        <f t="shared" si="54"/>
        <v>144</v>
      </c>
      <c r="I853" s="5">
        <f>SQRT(SUM('p-pi-multi'!$C$3:C853)/COUNTIF($A$3:A853,"&lt;&gt;0"))</f>
        <v>17.6317601481657</v>
      </c>
    </row>
    <row r="854" spans="1:9">
      <c r="A854">
        <v>852</v>
      </c>
      <c r="B854">
        <v>233</v>
      </c>
      <c r="C854">
        <v>224</v>
      </c>
      <c r="D854">
        <v>205</v>
      </c>
      <c r="E854" s="4">
        <f t="shared" si="52"/>
        <v>1</v>
      </c>
      <c r="F854" s="4">
        <f t="shared" si="53"/>
        <v>9</v>
      </c>
      <c r="G854" s="4">
        <f t="shared" si="55"/>
        <v>1.4920149569894456E-3</v>
      </c>
      <c r="H854" s="4">
        <f t="shared" si="54"/>
        <v>81</v>
      </c>
      <c r="I854" s="5">
        <f>SQRT(SUM('p-pi-multi'!$C$3:C854)/COUNTIF($A$3:A854,"&lt;&gt;0"))</f>
        <v>17.628868236649915</v>
      </c>
    </row>
    <row r="855" spans="1:9">
      <c r="A855">
        <v>853</v>
      </c>
      <c r="B855">
        <v>233</v>
      </c>
      <c r="C855">
        <v>232</v>
      </c>
      <c r="D855">
        <v>212</v>
      </c>
      <c r="E855" s="4">
        <f t="shared" si="52"/>
        <v>1</v>
      </c>
      <c r="F855" s="4">
        <f t="shared" si="53"/>
        <v>1</v>
      </c>
      <c r="G855" s="4">
        <f t="shared" si="55"/>
        <v>1.8419937740610438E-5</v>
      </c>
      <c r="H855" s="4">
        <f t="shared" si="54"/>
        <v>1</v>
      </c>
      <c r="I855" s="5">
        <f>SQRT(SUM('p-pi-multi'!$C$3:C855)/COUNTIF($A$3:A855,"&lt;&gt;0"))</f>
        <v>17.626248677425735</v>
      </c>
    </row>
    <row r="856" spans="1:9">
      <c r="A856">
        <v>854</v>
      </c>
      <c r="B856">
        <v>233</v>
      </c>
      <c r="C856">
        <v>210</v>
      </c>
      <c r="D856">
        <v>210</v>
      </c>
      <c r="E856" s="4">
        <f t="shared" si="52"/>
        <v>1</v>
      </c>
      <c r="F856" s="4">
        <f t="shared" si="53"/>
        <v>23</v>
      </c>
      <c r="G856" s="4">
        <f t="shared" si="55"/>
        <v>9.7441470647829202E-3</v>
      </c>
      <c r="H856" s="4">
        <f t="shared" si="54"/>
        <v>529</v>
      </c>
      <c r="I856" s="5">
        <f>SQRT(SUM('p-pi-multi'!$C$3:C856)/COUNTIF($A$3:A856,"&lt;&gt;0"))</f>
        <v>17.622903981202391</v>
      </c>
    </row>
    <row r="857" spans="1:9">
      <c r="A857">
        <v>855</v>
      </c>
      <c r="B857">
        <v>233</v>
      </c>
      <c r="C857">
        <v>260</v>
      </c>
      <c r="D857">
        <v>218</v>
      </c>
      <c r="E857" s="4">
        <f t="shared" ref="E857:E902" si="56">IF(AND(C857&lt;=B857*1.2,C857&gt;=B857*0.8),1,0)</f>
        <v>1</v>
      </c>
      <c r="F857" s="4">
        <f t="shared" ref="F857:F902" si="57">ABS(B857-C857)</f>
        <v>27</v>
      </c>
      <c r="G857" s="4">
        <f t="shared" si="55"/>
        <v>1.3428134612905008E-2</v>
      </c>
      <c r="H857" s="4">
        <f t="shared" ref="H857:H902" si="58">POWER(F857,2)</f>
        <v>729</v>
      </c>
      <c r="I857" s="5">
        <f>SQRT(SUM('p-pi-multi'!$C$3:C857)/COUNTIF($A$3:A857,"&lt;&gt;0"))</f>
        <v>17.621225903414928</v>
      </c>
    </row>
    <row r="858" spans="1:9">
      <c r="A858">
        <v>856</v>
      </c>
      <c r="B858">
        <v>233</v>
      </c>
      <c r="C858">
        <v>204</v>
      </c>
      <c r="D858">
        <v>201</v>
      </c>
      <c r="E858" s="4">
        <f t="shared" si="56"/>
        <v>1</v>
      </c>
      <c r="F858" s="4">
        <f t="shared" si="57"/>
        <v>29</v>
      </c>
      <c r="G858" s="4">
        <f t="shared" si="55"/>
        <v>1.5491167639853379E-2</v>
      </c>
      <c r="H858" s="4">
        <f t="shared" si="58"/>
        <v>841</v>
      </c>
      <c r="I858" s="5">
        <f>SQRT(SUM('p-pi-multi'!$C$3:C858)/COUNTIF($A$3:A858,"&lt;&gt;0"))</f>
        <v>17.617695012971858</v>
      </c>
    </row>
    <row r="859" spans="1:9">
      <c r="A859">
        <v>857</v>
      </c>
      <c r="B859">
        <v>233</v>
      </c>
      <c r="C859">
        <v>216</v>
      </c>
      <c r="D859">
        <v>220</v>
      </c>
      <c r="E859" s="4">
        <f t="shared" si="56"/>
        <v>1</v>
      </c>
      <c r="F859" s="4">
        <f t="shared" si="57"/>
        <v>17</v>
      </c>
      <c r="G859" s="4">
        <f t="shared" si="55"/>
        <v>5.3233620070364165E-3</v>
      </c>
      <c r="H859" s="4">
        <f t="shared" si="58"/>
        <v>289</v>
      </c>
      <c r="I859" s="5">
        <f>SQRT(SUM('p-pi-multi'!$C$3:C859)/COUNTIF($A$3:A859,"&lt;&gt;0"))</f>
        <v>17.614569126367655</v>
      </c>
    </row>
    <row r="860" spans="1:9">
      <c r="A860">
        <v>858</v>
      </c>
      <c r="B860">
        <v>233</v>
      </c>
      <c r="C860">
        <v>218</v>
      </c>
      <c r="D860">
        <v>218</v>
      </c>
      <c r="E860" s="4">
        <f t="shared" si="56"/>
        <v>1</v>
      </c>
      <c r="F860" s="4">
        <f t="shared" si="57"/>
        <v>15</v>
      </c>
      <c r="G860" s="4">
        <f t="shared" si="55"/>
        <v>4.1444859916373476E-3</v>
      </c>
      <c r="H860" s="4">
        <f t="shared" si="58"/>
        <v>225</v>
      </c>
      <c r="I860" s="5">
        <f>SQRT(SUM('p-pi-multi'!$C$3:C860)/COUNTIF($A$3:A860,"&lt;&gt;0"))</f>
        <v>17.611516151811042</v>
      </c>
    </row>
    <row r="861" spans="1:9">
      <c r="A861">
        <v>859</v>
      </c>
      <c r="B861">
        <v>233</v>
      </c>
      <c r="C861">
        <v>261</v>
      </c>
      <c r="D861">
        <v>218</v>
      </c>
      <c r="E861" s="4">
        <f t="shared" si="56"/>
        <v>1</v>
      </c>
      <c r="F861" s="4">
        <f t="shared" si="57"/>
        <v>28</v>
      </c>
      <c r="G861" s="4">
        <f t="shared" si="55"/>
        <v>1.4441231188638583E-2</v>
      </c>
      <c r="H861" s="4">
        <f t="shared" si="58"/>
        <v>784</v>
      </c>
      <c r="I861" s="5">
        <f>SQRT(SUM('p-pi-multi'!$C$3:C861)/COUNTIF($A$3:A861,"&lt;&gt;0"))</f>
        <v>17.609891124731938</v>
      </c>
    </row>
    <row r="862" spans="1:9">
      <c r="A862">
        <v>860</v>
      </c>
      <c r="B862">
        <v>233</v>
      </c>
      <c r="C862">
        <v>223</v>
      </c>
      <c r="D862">
        <v>203</v>
      </c>
      <c r="E862" s="4">
        <f t="shared" si="56"/>
        <v>1</v>
      </c>
      <c r="F862" s="4">
        <f t="shared" si="57"/>
        <v>10</v>
      </c>
      <c r="G862" s="4">
        <f t="shared" si="55"/>
        <v>1.8419937740610437E-3</v>
      </c>
      <c r="H862" s="4">
        <f t="shared" si="58"/>
        <v>100</v>
      </c>
      <c r="I862" s="5">
        <f>SQRT(SUM('p-pi-multi'!$C$3:C862)/COUNTIF($A$3:A862,"&lt;&gt;0"))</f>
        <v>17.607014986765531</v>
      </c>
    </row>
    <row r="863" spans="1:9">
      <c r="A863">
        <v>861</v>
      </c>
      <c r="B863">
        <v>233</v>
      </c>
      <c r="C863">
        <v>213</v>
      </c>
      <c r="D863">
        <v>216</v>
      </c>
      <c r="E863" s="4">
        <f t="shared" si="56"/>
        <v>1</v>
      </c>
      <c r="F863" s="4">
        <f t="shared" si="57"/>
        <v>20</v>
      </c>
      <c r="G863" s="4">
        <f t="shared" si="55"/>
        <v>7.3679750962441747E-3</v>
      </c>
      <c r="H863" s="4">
        <f t="shared" si="58"/>
        <v>400</v>
      </c>
      <c r="I863" s="5">
        <f>SQRT(SUM('p-pi-multi'!$C$3:C863)/COUNTIF($A$3:A863,"&lt;&gt;0"))</f>
        <v>17.603815181462494</v>
      </c>
    </row>
    <row r="864" spans="1:9">
      <c r="A864">
        <v>862</v>
      </c>
      <c r="B864">
        <v>233</v>
      </c>
      <c r="C864">
        <v>219</v>
      </c>
      <c r="D864">
        <v>220</v>
      </c>
      <c r="E864" s="4">
        <f t="shared" si="56"/>
        <v>1</v>
      </c>
      <c r="F864" s="4">
        <f t="shared" si="57"/>
        <v>14</v>
      </c>
      <c r="G864" s="4">
        <f t="shared" si="55"/>
        <v>3.6103077971596457E-3</v>
      </c>
      <c r="H864" s="4">
        <f t="shared" si="58"/>
        <v>196</v>
      </c>
      <c r="I864" s="5">
        <f>SQRT(SUM('p-pi-multi'!$C$3:C864)/COUNTIF($A$3:A864,"&lt;&gt;0"))</f>
        <v>17.60081995558868</v>
      </c>
    </row>
    <row r="865" spans="1:9">
      <c r="A865">
        <v>863</v>
      </c>
      <c r="B865">
        <v>233</v>
      </c>
      <c r="C865">
        <v>219</v>
      </c>
      <c r="D865">
        <v>219</v>
      </c>
      <c r="E865" s="4">
        <f t="shared" si="56"/>
        <v>1</v>
      </c>
      <c r="F865" s="4">
        <f t="shared" si="57"/>
        <v>14</v>
      </c>
      <c r="G865" s="4">
        <f t="shared" si="55"/>
        <v>3.6103077971596457E-3</v>
      </c>
      <c r="H865" s="4">
        <f t="shared" si="58"/>
        <v>196</v>
      </c>
      <c r="I865" s="5">
        <f>SQRT(SUM('p-pi-multi'!$C$3:C865)/COUNTIF($A$3:A865,"&lt;&gt;0"))</f>
        <v>17.597831163112769</v>
      </c>
    </row>
    <row r="866" spans="1:9">
      <c r="A866">
        <v>864</v>
      </c>
      <c r="B866">
        <v>233</v>
      </c>
      <c r="C866">
        <v>219</v>
      </c>
      <c r="D866">
        <v>220</v>
      </c>
      <c r="E866" s="4">
        <f t="shared" si="56"/>
        <v>1</v>
      </c>
      <c r="F866" s="4">
        <f t="shared" si="57"/>
        <v>14</v>
      </c>
      <c r="G866" s="4">
        <f t="shared" si="55"/>
        <v>3.6103077971596457E-3</v>
      </c>
      <c r="H866" s="4">
        <f t="shared" si="58"/>
        <v>196</v>
      </c>
      <c r="I866" s="5">
        <f>SQRT(SUM('p-pi-multi'!$C$3:C866)/COUNTIF($A$3:A866,"&lt;&gt;0"))</f>
        <v>17.594848783200828</v>
      </c>
    </row>
    <row r="867" spans="1:9">
      <c r="A867">
        <v>865</v>
      </c>
      <c r="B867">
        <v>233</v>
      </c>
      <c r="C867">
        <v>240</v>
      </c>
      <c r="D867">
        <v>221</v>
      </c>
      <c r="E867" s="4">
        <f t="shared" si="56"/>
        <v>1</v>
      </c>
      <c r="F867" s="4">
        <f t="shared" si="57"/>
        <v>7</v>
      </c>
      <c r="G867" s="4">
        <f t="shared" si="55"/>
        <v>9.0257694928991142E-4</v>
      </c>
      <c r="H867" s="4">
        <f t="shared" si="58"/>
        <v>49</v>
      </c>
      <c r="I867" s="5">
        <f>SQRT(SUM('p-pi-multi'!$C$3:C867)/COUNTIF($A$3:A867,"&lt;&gt;0"))</f>
        <v>17.592562800682387</v>
      </c>
    </row>
    <row r="868" spans="1:9">
      <c r="A868">
        <v>866</v>
      </c>
      <c r="B868">
        <v>233</v>
      </c>
      <c r="C868">
        <v>215</v>
      </c>
      <c r="D868">
        <v>214</v>
      </c>
      <c r="E868" s="4">
        <f t="shared" si="56"/>
        <v>1</v>
      </c>
      <c r="F868" s="4">
        <f t="shared" si="57"/>
        <v>18</v>
      </c>
      <c r="G868" s="4">
        <f t="shared" si="55"/>
        <v>5.9680598279577826E-3</v>
      </c>
      <c r="H868" s="4">
        <f t="shared" si="58"/>
        <v>324</v>
      </c>
      <c r="I868" s="5">
        <f>SQRT(SUM('p-pi-multi'!$C$3:C868)/COUNTIF($A$3:A868,"&lt;&gt;0"))</f>
        <v>17.58946120540751</v>
      </c>
    </row>
    <row r="869" spans="1:9">
      <c r="A869">
        <v>867</v>
      </c>
      <c r="B869">
        <v>233</v>
      </c>
      <c r="C869">
        <v>241</v>
      </c>
      <c r="D869">
        <v>223</v>
      </c>
      <c r="E869" s="4">
        <f t="shared" si="56"/>
        <v>1</v>
      </c>
      <c r="F869" s="4">
        <f t="shared" si="57"/>
        <v>8</v>
      </c>
      <c r="G869" s="4">
        <f t="shared" si="55"/>
        <v>1.178876015399068E-3</v>
      </c>
      <c r="H869" s="4">
        <f t="shared" si="58"/>
        <v>64</v>
      </c>
      <c r="I869" s="5">
        <f>SQRT(SUM('p-pi-multi'!$C$3:C869)/COUNTIF($A$3:A869,"&lt;&gt;0"))</f>
        <v>17.58721880464855</v>
      </c>
    </row>
    <row r="870" spans="1:9">
      <c r="A870">
        <v>868</v>
      </c>
      <c r="B870">
        <v>233</v>
      </c>
      <c r="C870">
        <v>235</v>
      </c>
      <c r="D870">
        <v>215</v>
      </c>
      <c r="E870" s="4">
        <f t="shared" si="56"/>
        <v>1</v>
      </c>
      <c r="F870" s="4">
        <f t="shared" si="57"/>
        <v>2</v>
      </c>
      <c r="G870" s="4">
        <f t="shared" si="55"/>
        <v>7.3679750962441751E-5</v>
      </c>
      <c r="H870" s="4">
        <f t="shared" si="58"/>
        <v>4</v>
      </c>
      <c r="I870" s="5">
        <f>SQRT(SUM('p-pi-multi'!$C$3:C870)/COUNTIF($A$3:A870,"&lt;&gt;0"))</f>
        <v>17.584784740731976</v>
      </c>
    </row>
    <row r="871" spans="1:9">
      <c r="A871">
        <v>869</v>
      </c>
      <c r="B871">
        <v>233</v>
      </c>
      <c r="C871">
        <v>215</v>
      </c>
      <c r="D871">
        <v>216</v>
      </c>
      <c r="E871" s="4">
        <f t="shared" si="56"/>
        <v>1</v>
      </c>
      <c r="F871" s="4">
        <f t="shared" si="57"/>
        <v>18</v>
      </c>
      <c r="G871" s="4">
        <f t="shared" si="55"/>
        <v>5.9680598279577826E-3</v>
      </c>
      <c r="H871" s="4">
        <f t="shared" si="58"/>
        <v>324</v>
      </c>
      <c r="I871" s="5">
        <f>SQRT(SUM('p-pi-multi'!$C$3:C871)/COUNTIF($A$3:A871,"&lt;&gt;0"))</f>
        <v>17.581701440605947</v>
      </c>
    </row>
    <row r="872" spans="1:9">
      <c r="A872">
        <v>870</v>
      </c>
      <c r="B872">
        <v>233</v>
      </c>
      <c r="C872">
        <v>261</v>
      </c>
      <c r="D872">
        <v>223</v>
      </c>
      <c r="E872" s="4">
        <f t="shared" si="56"/>
        <v>1</v>
      </c>
      <c r="F872" s="4">
        <f t="shared" si="57"/>
        <v>28</v>
      </c>
      <c r="G872" s="4">
        <f t="shared" si="55"/>
        <v>1.4441231188638583E-2</v>
      </c>
      <c r="H872" s="4">
        <f t="shared" si="58"/>
        <v>784</v>
      </c>
      <c r="I872" s="5">
        <f>SQRT(SUM('p-pi-multi'!$C$3:C872)/COUNTIF($A$3:A872,"&lt;&gt;0"))</f>
        <v>17.58012854162989</v>
      </c>
    </row>
    <row r="873" spans="1:9">
      <c r="A873">
        <v>871</v>
      </c>
      <c r="B873">
        <v>233</v>
      </c>
      <c r="C873">
        <v>251</v>
      </c>
      <c r="D873">
        <v>208</v>
      </c>
      <c r="E873" s="4">
        <f t="shared" si="56"/>
        <v>1</v>
      </c>
      <c r="F873" s="4">
        <f t="shared" si="57"/>
        <v>18</v>
      </c>
      <c r="G873" s="4">
        <f t="shared" si="55"/>
        <v>5.9680598279577826E-3</v>
      </c>
      <c r="H873" s="4">
        <f t="shared" si="58"/>
        <v>324</v>
      </c>
      <c r="I873" s="5">
        <f>SQRT(SUM('p-pi-multi'!$C$3:C873)/COUNTIF($A$3:A873,"&lt;&gt;0"))</f>
        <v>17.5782325468709</v>
      </c>
    </row>
    <row r="874" spans="1:9">
      <c r="A874">
        <v>872</v>
      </c>
      <c r="B874">
        <v>233</v>
      </c>
      <c r="C874">
        <v>248</v>
      </c>
      <c r="D874">
        <v>209</v>
      </c>
      <c r="E874" s="4">
        <f t="shared" si="56"/>
        <v>1</v>
      </c>
      <c r="F874" s="4">
        <f t="shared" si="57"/>
        <v>15</v>
      </c>
      <c r="G874" s="4">
        <f t="shared" si="55"/>
        <v>4.1444859916373476E-3</v>
      </c>
      <c r="H874" s="4">
        <f t="shared" si="58"/>
        <v>225</v>
      </c>
      <c r="I874" s="5">
        <f>SQRT(SUM('p-pi-multi'!$C$3:C874)/COUNTIF($A$3:A874,"&lt;&gt;0"))</f>
        <v>17.576242827368013</v>
      </c>
    </row>
    <row r="875" spans="1:9">
      <c r="A875">
        <v>873</v>
      </c>
      <c r="B875">
        <v>233</v>
      </c>
      <c r="C875">
        <v>229</v>
      </c>
      <c r="D875">
        <v>209</v>
      </c>
      <c r="E875" s="4">
        <f t="shared" si="56"/>
        <v>1</v>
      </c>
      <c r="F875" s="4">
        <f t="shared" si="57"/>
        <v>4</v>
      </c>
      <c r="G875" s="4">
        <f t="shared" si="55"/>
        <v>2.94719003849767E-4</v>
      </c>
      <c r="H875" s="4">
        <f t="shared" si="58"/>
        <v>16</v>
      </c>
      <c r="I875" s="5">
        <f>SQRT(SUM('p-pi-multi'!$C$3:C875)/COUNTIF($A$3:A875,"&lt;&gt;0"))</f>
        <v>17.573638228768885</v>
      </c>
    </row>
    <row r="876" spans="1:9">
      <c r="A876">
        <v>874</v>
      </c>
      <c r="B876">
        <v>233</v>
      </c>
      <c r="C876">
        <v>213</v>
      </c>
      <c r="D876">
        <v>215</v>
      </c>
      <c r="E876" s="4">
        <f t="shared" si="56"/>
        <v>1</v>
      </c>
      <c r="F876" s="4">
        <f t="shared" si="57"/>
        <v>20</v>
      </c>
      <c r="G876" s="4">
        <f t="shared" si="55"/>
        <v>7.3679750962441747E-3</v>
      </c>
      <c r="H876" s="4">
        <f t="shared" si="58"/>
        <v>400</v>
      </c>
      <c r="I876" s="5">
        <f>SQRT(SUM('p-pi-multi'!$C$3:C876)/COUNTIF($A$3:A876,"&lt;&gt;0"))</f>
        <v>17.570518265781075</v>
      </c>
    </row>
    <row r="877" spans="1:9">
      <c r="A877">
        <v>875</v>
      </c>
      <c r="B877">
        <v>233</v>
      </c>
      <c r="C877">
        <v>219</v>
      </c>
      <c r="D877">
        <v>221</v>
      </c>
      <c r="E877" s="4">
        <f t="shared" si="56"/>
        <v>1</v>
      </c>
      <c r="F877" s="4">
        <f t="shared" si="57"/>
        <v>14</v>
      </c>
      <c r="G877" s="4">
        <f t="shared" si="55"/>
        <v>3.6103077971596457E-3</v>
      </c>
      <c r="H877" s="4">
        <f t="shared" si="58"/>
        <v>196</v>
      </c>
      <c r="I877" s="5">
        <f>SQRT(SUM('p-pi-multi'!$C$3:C877)/COUNTIF($A$3:A877,"&lt;&gt;0"))</f>
        <v>17.567600047490021</v>
      </c>
    </row>
    <row r="878" spans="1:9">
      <c r="A878">
        <v>876</v>
      </c>
      <c r="B878">
        <v>233</v>
      </c>
      <c r="C878">
        <v>220</v>
      </c>
      <c r="D878">
        <v>220</v>
      </c>
      <c r="E878" s="4">
        <f t="shared" si="56"/>
        <v>1</v>
      </c>
      <c r="F878" s="4">
        <f t="shared" si="57"/>
        <v>13</v>
      </c>
      <c r="G878" s="4">
        <f t="shared" si="55"/>
        <v>3.1129694781631642E-3</v>
      </c>
      <c r="H878" s="4">
        <f t="shared" si="58"/>
        <v>169</v>
      </c>
      <c r="I878" s="5">
        <f>SQRT(SUM('p-pi-multi'!$C$3:C878)/COUNTIF($A$3:A878,"&lt;&gt;0"))</f>
        <v>17.564720504257792</v>
      </c>
    </row>
    <row r="879" spans="1:9">
      <c r="A879">
        <v>877</v>
      </c>
      <c r="B879">
        <v>233</v>
      </c>
      <c r="C879">
        <v>260</v>
      </c>
      <c r="D879">
        <v>221</v>
      </c>
      <c r="E879" s="4">
        <f t="shared" si="56"/>
        <v>1</v>
      </c>
      <c r="F879" s="4">
        <f t="shared" si="57"/>
        <v>27</v>
      </c>
      <c r="G879" s="4">
        <f t="shared" si="55"/>
        <v>1.3428134612905008E-2</v>
      </c>
      <c r="H879" s="4">
        <f t="shared" si="58"/>
        <v>729</v>
      </c>
      <c r="I879" s="5">
        <f>SQRT(SUM('p-pi-multi'!$C$3:C879)/COUNTIF($A$3:A879,"&lt;&gt;0"))</f>
        <v>17.563145563880678</v>
      </c>
    </row>
    <row r="880" spans="1:9">
      <c r="A880">
        <v>878</v>
      </c>
      <c r="B880">
        <v>233</v>
      </c>
      <c r="C880">
        <v>249</v>
      </c>
      <c r="D880">
        <v>207</v>
      </c>
      <c r="E880" s="4">
        <f t="shared" si="56"/>
        <v>1</v>
      </c>
      <c r="F880" s="4">
        <f t="shared" si="57"/>
        <v>16</v>
      </c>
      <c r="G880" s="4">
        <f t="shared" si="55"/>
        <v>4.7155040615962721E-3</v>
      </c>
      <c r="H880" s="4">
        <f t="shared" si="58"/>
        <v>256</v>
      </c>
      <c r="I880" s="5">
        <f>SQRT(SUM('p-pi-multi'!$C$3:C880)/COUNTIF($A$3:A880,"&lt;&gt;0"))</f>
        <v>17.561217365350135</v>
      </c>
    </row>
    <row r="881" spans="1:9">
      <c r="A881">
        <v>879</v>
      </c>
      <c r="B881">
        <v>233</v>
      </c>
      <c r="C881">
        <v>229</v>
      </c>
      <c r="D881">
        <v>209</v>
      </c>
      <c r="E881" s="4">
        <f t="shared" si="56"/>
        <v>1</v>
      </c>
      <c r="F881" s="4">
        <f t="shared" si="57"/>
        <v>4</v>
      </c>
      <c r="G881" s="4">
        <f t="shared" si="55"/>
        <v>2.94719003849767E-4</v>
      </c>
      <c r="H881" s="4">
        <f t="shared" si="58"/>
        <v>16</v>
      </c>
      <c r="I881" s="5">
        <f>SQRT(SUM('p-pi-multi'!$C$3:C881)/COUNTIF($A$3:A881,"&lt;&gt;0"))</f>
        <v>17.558645436908485</v>
      </c>
    </row>
    <row r="882" spans="1:9">
      <c r="A882">
        <v>880</v>
      </c>
      <c r="B882">
        <v>233</v>
      </c>
      <c r="C882">
        <v>214</v>
      </c>
      <c r="D882">
        <v>216</v>
      </c>
      <c r="E882" s="4">
        <f t="shared" si="56"/>
        <v>1</v>
      </c>
      <c r="F882" s="4">
        <f t="shared" si="57"/>
        <v>19</v>
      </c>
      <c r="G882" s="4">
        <f t="shared" si="55"/>
        <v>6.6495975243603669E-3</v>
      </c>
      <c r="H882" s="4">
        <f t="shared" si="58"/>
        <v>361</v>
      </c>
      <c r="I882" s="5">
        <f>SQRT(SUM('p-pi-multi'!$C$3:C882)/COUNTIF($A$3:A882,"&lt;&gt;0"))</f>
        <v>17.555593514215452</v>
      </c>
    </row>
    <row r="883" spans="1:9">
      <c r="A883">
        <v>881</v>
      </c>
      <c r="B883">
        <v>233</v>
      </c>
      <c r="C883">
        <v>260</v>
      </c>
      <c r="D883">
        <v>221</v>
      </c>
      <c r="E883" s="4">
        <f t="shared" si="56"/>
        <v>1</v>
      </c>
      <c r="F883" s="4">
        <f t="shared" si="57"/>
        <v>27</v>
      </c>
      <c r="G883" s="4">
        <f t="shared" si="55"/>
        <v>1.3428134612905008E-2</v>
      </c>
      <c r="H883" s="4">
        <f t="shared" si="58"/>
        <v>729</v>
      </c>
      <c r="I883" s="5">
        <f>SQRT(SUM('p-pi-multi'!$C$3:C883)/COUNTIF($A$3:A883,"&lt;&gt;0"))</f>
        <v>17.554035273122647</v>
      </c>
    </row>
    <row r="884" spans="1:9">
      <c r="A884">
        <v>882</v>
      </c>
      <c r="B884">
        <v>233</v>
      </c>
      <c r="C884">
        <v>209</v>
      </c>
      <c r="D884">
        <v>206</v>
      </c>
      <c r="E884" s="4">
        <f t="shared" si="56"/>
        <v>1</v>
      </c>
      <c r="F884" s="4">
        <f t="shared" si="57"/>
        <v>24</v>
      </c>
      <c r="G884" s="4">
        <f t="shared" si="55"/>
        <v>1.0609884138591612E-2</v>
      </c>
      <c r="H884" s="4">
        <f t="shared" si="58"/>
        <v>576</v>
      </c>
      <c r="I884" s="5">
        <f>SQRT(SUM('p-pi-multi'!$C$3:C884)/COUNTIF($A$3:A884,"&lt;&gt;0"))</f>
        <v>17.55083320049923</v>
      </c>
    </row>
    <row r="885" spans="1:9">
      <c r="A885">
        <v>883</v>
      </c>
      <c r="B885">
        <v>233</v>
      </c>
      <c r="C885">
        <v>219</v>
      </c>
      <c r="D885">
        <v>223</v>
      </c>
      <c r="E885" s="4">
        <f t="shared" si="56"/>
        <v>1</v>
      </c>
      <c r="F885" s="4">
        <f t="shared" si="57"/>
        <v>14</v>
      </c>
      <c r="G885" s="4">
        <f t="shared" si="55"/>
        <v>3.6103077971596457E-3</v>
      </c>
      <c r="H885" s="4">
        <f t="shared" si="58"/>
        <v>196</v>
      </c>
      <c r="I885" s="5">
        <f>SQRT(SUM('p-pi-multi'!$C$3:C885)/COUNTIF($A$3:A885,"&lt;&gt;0"))</f>
        <v>17.54796048910794</v>
      </c>
    </row>
    <row r="886" spans="1:9">
      <c r="A886">
        <v>884</v>
      </c>
      <c r="B886">
        <v>233</v>
      </c>
      <c r="C886">
        <v>220</v>
      </c>
      <c r="D886">
        <v>220</v>
      </c>
      <c r="E886" s="4">
        <f t="shared" si="56"/>
        <v>1</v>
      </c>
      <c r="F886" s="4">
        <f t="shared" si="57"/>
        <v>13</v>
      </c>
      <c r="G886" s="4">
        <f t="shared" si="55"/>
        <v>3.1129694781631642E-3</v>
      </c>
      <c r="H886" s="4">
        <f t="shared" si="58"/>
        <v>169</v>
      </c>
      <c r="I886" s="5">
        <f>SQRT(SUM('p-pi-multi'!$C$3:C886)/COUNTIF($A$3:A886,"&lt;&gt;0"))</f>
        <v>17.545126045822553</v>
      </c>
    </row>
    <row r="887" spans="1:9">
      <c r="A887">
        <v>885</v>
      </c>
      <c r="B887">
        <v>233</v>
      </c>
      <c r="C887">
        <v>260</v>
      </c>
      <c r="D887">
        <v>221</v>
      </c>
      <c r="E887" s="4">
        <f t="shared" si="56"/>
        <v>1</v>
      </c>
      <c r="F887" s="4">
        <f t="shared" si="57"/>
        <v>27</v>
      </c>
      <c r="G887" s="4">
        <f t="shared" si="55"/>
        <v>1.3428134612905008E-2</v>
      </c>
      <c r="H887" s="4">
        <f t="shared" si="58"/>
        <v>729</v>
      </c>
      <c r="I887" s="5">
        <f>SQRT(SUM('p-pi-multi'!$C$3:C887)/COUNTIF($A$3:A887,"&lt;&gt;0"))</f>
        <v>17.543585754626775</v>
      </c>
    </row>
    <row r="888" spans="1:9">
      <c r="A888">
        <v>886</v>
      </c>
      <c r="B888">
        <v>233</v>
      </c>
      <c r="C888">
        <v>249</v>
      </c>
      <c r="D888">
        <v>207</v>
      </c>
      <c r="E888" s="4">
        <f t="shared" si="56"/>
        <v>1</v>
      </c>
      <c r="F888" s="4">
        <f t="shared" si="57"/>
        <v>16</v>
      </c>
      <c r="G888" s="4">
        <f t="shared" si="55"/>
        <v>4.7155040615962721E-3</v>
      </c>
      <c r="H888" s="4">
        <f t="shared" si="58"/>
        <v>256</v>
      </c>
      <c r="I888" s="5">
        <f>SQRT(SUM('p-pi-multi'!$C$3:C888)/COUNTIF($A$3:A888,"&lt;&gt;0"))</f>
        <v>17.541694928030221</v>
      </c>
    </row>
    <row r="889" spans="1:9">
      <c r="A889">
        <v>887</v>
      </c>
      <c r="B889">
        <v>233</v>
      </c>
      <c r="C889">
        <v>250</v>
      </c>
      <c r="D889">
        <v>209</v>
      </c>
      <c r="E889" s="4">
        <f t="shared" si="56"/>
        <v>1</v>
      </c>
      <c r="F889" s="4">
        <f t="shared" si="57"/>
        <v>17</v>
      </c>
      <c r="G889" s="4">
        <f t="shared" si="55"/>
        <v>5.3233620070364165E-3</v>
      </c>
      <c r="H889" s="4">
        <f t="shared" si="58"/>
        <v>289</v>
      </c>
      <c r="I889" s="5">
        <f>SQRT(SUM('p-pi-multi'!$C$3:C889)/COUNTIF($A$3:A889,"&lt;&gt;0"))</f>
        <v>17.53984029987755</v>
      </c>
    </row>
    <row r="890" spans="1:9">
      <c r="A890">
        <v>888</v>
      </c>
      <c r="B890">
        <v>233</v>
      </c>
      <c r="C890">
        <v>248</v>
      </c>
      <c r="D890">
        <v>208</v>
      </c>
      <c r="E890" s="4">
        <f t="shared" si="56"/>
        <v>1</v>
      </c>
      <c r="F890" s="4">
        <f t="shared" si="57"/>
        <v>15</v>
      </c>
      <c r="G890" s="4">
        <f t="shared" si="55"/>
        <v>4.1444859916373476E-3</v>
      </c>
      <c r="H890" s="4">
        <f t="shared" si="58"/>
        <v>225</v>
      </c>
      <c r="I890" s="5">
        <f>SQRT(SUM('p-pi-multi'!$C$3:C890)/COUNTIF($A$3:A890,"&lt;&gt;0"))</f>
        <v>17.537925442561011</v>
      </c>
    </row>
    <row r="891" spans="1:9">
      <c r="A891">
        <v>889</v>
      </c>
      <c r="B891">
        <v>233</v>
      </c>
      <c r="C891">
        <v>247</v>
      </c>
      <c r="D891">
        <v>207</v>
      </c>
      <c r="E891" s="4">
        <f t="shared" si="56"/>
        <v>1</v>
      </c>
      <c r="F891" s="4">
        <f t="shared" si="57"/>
        <v>14</v>
      </c>
      <c r="G891" s="4">
        <f t="shared" si="55"/>
        <v>3.6103077971596457E-3</v>
      </c>
      <c r="H891" s="4">
        <f t="shared" si="58"/>
        <v>196</v>
      </c>
      <c r="I891" s="5">
        <f>SQRT(SUM('p-pi-multi'!$C$3:C891)/COUNTIF($A$3:A891,"&lt;&gt;0"))</f>
        <v>17.535982611882048</v>
      </c>
    </row>
    <row r="892" spans="1:9">
      <c r="A892">
        <v>890</v>
      </c>
      <c r="B892">
        <v>233</v>
      </c>
      <c r="C892">
        <v>226</v>
      </c>
      <c r="D892">
        <v>206</v>
      </c>
      <c r="E892" s="4">
        <f t="shared" si="56"/>
        <v>1</v>
      </c>
      <c r="F892" s="4">
        <f t="shared" si="57"/>
        <v>7</v>
      </c>
      <c r="G892" s="4">
        <f t="shared" si="55"/>
        <v>9.0257694928991142E-4</v>
      </c>
      <c r="H892" s="4">
        <f t="shared" si="58"/>
        <v>49</v>
      </c>
      <c r="I892" s="5">
        <f>SQRT(SUM('p-pi-multi'!$C$3:C892)/COUNTIF($A$3:A892,"&lt;&gt;0"))</f>
        <v>17.533371071291324</v>
      </c>
    </row>
    <row r="893" spans="1:9">
      <c r="A893">
        <v>891</v>
      </c>
      <c r="B893">
        <v>233</v>
      </c>
      <c r="C893">
        <v>211</v>
      </c>
      <c r="D893">
        <v>213</v>
      </c>
      <c r="E893" s="4">
        <f t="shared" si="56"/>
        <v>1</v>
      </c>
      <c r="F893" s="4">
        <f t="shared" si="57"/>
        <v>22</v>
      </c>
      <c r="G893" s="4">
        <f t="shared" si="55"/>
        <v>8.9152498664554526E-3</v>
      </c>
      <c r="H893" s="4">
        <f t="shared" si="58"/>
        <v>484</v>
      </c>
      <c r="I893" s="5">
        <f>SQRT(SUM('p-pi-multi'!$C$3:C893)/COUNTIF($A$3:A893,"&lt;&gt;0"))</f>
        <v>17.530284842073158</v>
      </c>
    </row>
    <row r="894" spans="1:9">
      <c r="A894">
        <v>892</v>
      </c>
      <c r="B894">
        <v>233</v>
      </c>
      <c r="C894">
        <v>217</v>
      </c>
      <c r="D894">
        <v>219</v>
      </c>
      <c r="E894" s="4">
        <f t="shared" si="56"/>
        <v>1</v>
      </c>
      <c r="F894" s="4">
        <f t="shared" si="57"/>
        <v>16</v>
      </c>
      <c r="G894" s="4">
        <f t="shared" si="55"/>
        <v>4.7155040615962721E-3</v>
      </c>
      <c r="H894" s="4">
        <f t="shared" si="58"/>
        <v>256</v>
      </c>
      <c r="I894" s="5">
        <f>SQRT(SUM('p-pi-multi'!$C$3:C894)/COUNTIF($A$3:A894,"&lt;&gt;0"))</f>
        <v>17.52739687619372</v>
      </c>
    </row>
    <row r="895" spans="1:9">
      <c r="A895">
        <v>893</v>
      </c>
      <c r="B895">
        <v>233</v>
      </c>
      <c r="C895">
        <v>258</v>
      </c>
      <c r="D895">
        <v>218</v>
      </c>
      <c r="E895" s="4">
        <f t="shared" si="56"/>
        <v>1</v>
      </c>
      <c r="F895" s="4">
        <f t="shared" si="57"/>
        <v>25</v>
      </c>
      <c r="G895" s="4">
        <f t="shared" si="55"/>
        <v>1.1512461087881523E-2</v>
      </c>
      <c r="H895" s="4">
        <f t="shared" si="58"/>
        <v>625</v>
      </c>
      <c r="I895" s="5">
        <f>SQRT(SUM('p-pi-multi'!$C$3:C895)/COUNTIF($A$3:A895,"&lt;&gt;0"))</f>
        <v>17.525824810101124</v>
      </c>
    </row>
    <row r="896" spans="1:9">
      <c r="A896">
        <v>894</v>
      </c>
      <c r="B896">
        <v>233</v>
      </c>
      <c r="C896">
        <v>206</v>
      </c>
      <c r="D896">
        <v>204</v>
      </c>
      <c r="E896" s="4">
        <f t="shared" si="56"/>
        <v>1</v>
      </c>
      <c r="F896" s="4">
        <f t="shared" si="57"/>
        <v>27</v>
      </c>
      <c r="G896" s="4">
        <f t="shared" si="55"/>
        <v>1.3428134612905008E-2</v>
      </c>
      <c r="H896" s="4">
        <f t="shared" si="58"/>
        <v>729</v>
      </c>
      <c r="I896" s="5">
        <f>SQRT(SUM('p-pi-multi'!$C$3:C896)/COUNTIF($A$3:A896,"&lt;&gt;0"))</f>
        <v>17.522596469262439</v>
      </c>
    </row>
    <row r="897" spans="1:9">
      <c r="A897">
        <v>895</v>
      </c>
      <c r="B897">
        <v>233</v>
      </c>
      <c r="C897">
        <v>218</v>
      </c>
      <c r="D897">
        <v>222</v>
      </c>
      <c r="E897" s="4">
        <f t="shared" si="56"/>
        <v>1</v>
      </c>
      <c r="F897" s="4">
        <f t="shared" si="57"/>
        <v>15</v>
      </c>
      <c r="G897" s="4">
        <f t="shared" si="55"/>
        <v>4.1444859916373476E-3</v>
      </c>
      <c r="H897" s="4">
        <f t="shared" si="58"/>
        <v>225</v>
      </c>
      <c r="I897" s="5">
        <f>SQRT(SUM('p-pi-multi'!$C$3:C897)/COUNTIF($A$3:A897,"&lt;&gt;0"))</f>
        <v>17.519757402468244</v>
      </c>
    </row>
    <row r="898" spans="1:9">
      <c r="A898">
        <v>896</v>
      </c>
      <c r="B898">
        <v>233</v>
      </c>
      <c r="C898">
        <v>263</v>
      </c>
      <c r="D898">
        <v>219</v>
      </c>
      <c r="E898" s="4">
        <f t="shared" si="56"/>
        <v>1</v>
      </c>
      <c r="F898" s="4">
        <f t="shared" si="57"/>
        <v>30</v>
      </c>
      <c r="G898" s="4">
        <f t="shared" si="55"/>
        <v>1.657794396654939E-2</v>
      </c>
      <c r="H898" s="4">
        <f t="shared" si="58"/>
        <v>900</v>
      </c>
      <c r="I898" s="5">
        <f>SQRT(SUM('p-pi-multi'!$C$3:C898)/COUNTIF($A$3:A898,"&lt;&gt;0"))</f>
        <v>17.518357718201131</v>
      </c>
    </row>
    <row r="899" spans="1:9">
      <c r="A899">
        <v>897</v>
      </c>
      <c r="B899">
        <v>233</v>
      </c>
      <c r="C899">
        <v>224</v>
      </c>
      <c r="D899">
        <v>204</v>
      </c>
      <c r="E899" s="4">
        <f t="shared" si="56"/>
        <v>1</v>
      </c>
      <c r="F899" s="4">
        <f t="shared" si="57"/>
        <v>9</v>
      </c>
      <c r="G899" s="4">
        <f t="shared" si="55"/>
        <v>1.4920149569894456E-3</v>
      </c>
      <c r="H899" s="4">
        <f t="shared" si="58"/>
        <v>81</v>
      </c>
      <c r="I899" s="5">
        <f>SQRT(SUM('p-pi-multi'!$C$3:C899)/COUNTIF($A$3:A899,"&lt;&gt;0"))</f>
        <v>17.515719966101329</v>
      </c>
    </row>
    <row r="900" spans="1:9">
      <c r="A900">
        <v>898</v>
      </c>
      <c r="B900">
        <v>233</v>
      </c>
      <c r="C900">
        <v>213</v>
      </c>
      <c r="D900">
        <v>216</v>
      </c>
      <c r="E900" s="4">
        <f t="shared" si="56"/>
        <v>1</v>
      </c>
      <c r="F900" s="4">
        <f t="shared" si="57"/>
        <v>20</v>
      </c>
      <c r="G900" s="4">
        <f t="shared" ref="G900:G902" si="59">POWER(ABS(B900-C900)/B900,2)</f>
        <v>7.3679750962441747E-3</v>
      </c>
      <c r="H900" s="4">
        <f t="shared" si="58"/>
        <v>400</v>
      </c>
      <c r="I900" s="5">
        <f>SQRT(SUM('p-pi-multi'!$C$3:C900)/COUNTIF($A$3:A900,"&lt;&gt;0"))</f>
        <v>17.512737966729077</v>
      </c>
    </row>
    <row r="901" spans="1:9">
      <c r="A901">
        <v>899</v>
      </c>
      <c r="B901">
        <v>233</v>
      </c>
      <c r="C901">
        <v>220</v>
      </c>
      <c r="D901">
        <v>221</v>
      </c>
      <c r="E901" s="4">
        <f t="shared" si="56"/>
        <v>1</v>
      </c>
      <c r="F901" s="4">
        <f t="shared" si="57"/>
        <v>13</v>
      </c>
      <c r="G901" s="4">
        <f t="shared" si="59"/>
        <v>3.1129694781631642E-3</v>
      </c>
      <c r="H901" s="4">
        <f t="shared" si="58"/>
        <v>169</v>
      </c>
      <c r="I901" s="5">
        <f>SQRT(SUM('p-pi-multi'!$C$3:C901)/COUNTIF($A$3:A901,"&lt;&gt;0"))</f>
        <v>17.509984439204366</v>
      </c>
    </row>
    <row r="902" spans="1:9">
      <c r="A902">
        <v>900</v>
      </c>
      <c r="B902">
        <v>233</v>
      </c>
      <c r="C902">
        <v>240</v>
      </c>
      <c r="D902">
        <v>220</v>
      </c>
      <c r="E902" s="4">
        <f t="shared" si="56"/>
        <v>1</v>
      </c>
      <c r="F902" s="4">
        <f t="shared" si="57"/>
        <v>7</v>
      </c>
      <c r="G902" s="4">
        <f t="shared" si="59"/>
        <v>9.0257694928991142E-4</v>
      </c>
      <c r="H902" s="4">
        <f t="shared" si="58"/>
        <v>49</v>
      </c>
      <c r="I902" s="5">
        <f>SQRT(SUM('p-pi-multi'!$C$3:C902)/COUNTIF($A$3:A902,"&lt;&gt;0"))</f>
        <v>17.507871245687053</v>
      </c>
    </row>
  </sheetData>
  <mergeCells count="7">
    <mergeCell ref="I1:I2"/>
    <mergeCell ref="A1:A2"/>
    <mergeCell ref="B1:C1"/>
    <mergeCell ref="E1:E2"/>
    <mergeCell ref="F1:F2"/>
    <mergeCell ref="H1:H2"/>
    <mergeCell ref="G1:G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selection activeCell="J5" sqref="J5"/>
    </sheetView>
  </sheetViews>
  <sheetFormatPr defaultRowHeight="14.5"/>
  <cols>
    <col min="1" max="1" width="16.54296875" bestFit="1" customWidth="1"/>
    <col min="2" max="2" width="7.90625" bestFit="1" customWidth="1"/>
    <col min="3" max="3" width="9.26953125" bestFit="1" customWidth="1"/>
    <col min="4" max="4" width="24.08984375" customWidth="1"/>
    <col min="5" max="5" width="29.81640625" bestFit="1" customWidth="1"/>
    <col min="6" max="6" width="15.81640625" bestFit="1" customWidth="1"/>
    <col min="7" max="7" width="14.36328125" bestFit="1" customWidth="1"/>
    <col min="8" max="8" width="12.36328125" bestFit="1" customWidth="1"/>
    <col min="9" max="9" width="7.26953125" bestFit="1" customWidth="1"/>
    <col min="11" max="11" width="10.54296875" bestFit="1" customWidth="1"/>
  </cols>
  <sheetData>
    <row r="1" spans="1:12">
      <c r="A1" s="45" t="s">
        <v>38</v>
      </c>
      <c r="B1" s="46" t="s">
        <v>6</v>
      </c>
      <c r="C1" s="47" t="s">
        <v>20</v>
      </c>
      <c r="D1" s="45" t="s">
        <v>22</v>
      </c>
      <c r="E1" s="42" t="s">
        <v>26</v>
      </c>
      <c r="F1" s="44" t="s">
        <v>13</v>
      </c>
      <c r="G1" s="44"/>
      <c r="H1" s="44"/>
      <c r="I1" s="44"/>
    </row>
    <row r="2" spans="1:12">
      <c r="A2" s="45"/>
      <c r="B2" s="46"/>
      <c r="C2" s="43"/>
      <c r="D2" s="42"/>
      <c r="E2" s="43"/>
      <c r="F2" s="11" t="s">
        <v>17</v>
      </c>
      <c r="G2" s="11" t="s">
        <v>0</v>
      </c>
      <c r="H2" s="11" t="s">
        <v>2</v>
      </c>
      <c r="I2" s="11" t="s">
        <v>3</v>
      </c>
      <c r="K2" s="1" t="s">
        <v>1</v>
      </c>
      <c r="L2">
        <v>150</v>
      </c>
    </row>
    <row r="3" spans="1:12">
      <c r="A3" s="26" t="s">
        <v>39</v>
      </c>
      <c r="B3" s="21" t="s">
        <v>18</v>
      </c>
      <c r="C3" s="21" t="s">
        <v>21</v>
      </c>
      <c r="D3" s="16" t="s">
        <v>23</v>
      </c>
      <c r="E3" s="28">
        <v>2600</v>
      </c>
      <c r="F3" s="3">
        <f>COUNTIF('r-pi-2'!$E$3:$E$152,1)/$L$2</f>
        <v>0.88666666666666671</v>
      </c>
      <c r="G3" s="7">
        <f>SQRT(SUM('r-pi-2'!$G$3:$G$152)/$L$2)</f>
        <v>435.83341618864733</v>
      </c>
      <c r="H3" s="18">
        <f t="shared" ref="H3:H7" si="0">G3/E3</f>
        <v>0.16762823699563359</v>
      </c>
      <c r="I3" s="7">
        <f>SUM('r-pi-2'!$F$3:$F$152)/$L$2</f>
        <v>220.15333333333334</v>
      </c>
      <c r="K3" s="2"/>
    </row>
    <row r="4" spans="1:12" s="17" customFormat="1">
      <c r="A4" s="37" t="s">
        <v>39</v>
      </c>
      <c r="B4" s="38" t="s">
        <v>18</v>
      </c>
      <c r="C4" s="38" t="s">
        <v>21</v>
      </c>
      <c r="D4" s="38" t="s">
        <v>24</v>
      </c>
      <c r="E4" s="37">
        <v>4600</v>
      </c>
      <c r="F4" s="39">
        <f>COUNTIF('r-pi-5'!$E$3:$E$152,1)/$L$2</f>
        <v>0.88666666666666671</v>
      </c>
      <c r="G4" s="40">
        <f>SQRT(SUM('r-pi-5'!$G$3:$G$152)/$L$2)</f>
        <v>845.98551997064351</v>
      </c>
      <c r="H4" s="41">
        <f t="shared" si="0"/>
        <v>0.18390989564579208</v>
      </c>
      <c r="I4" s="40">
        <f>SUM('r-pi-5'!$F$3:$F$152)/$L$2</f>
        <v>386.48666666666668</v>
      </c>
      <c r="J4" s="17" t="s">
        <v>43</v>
      </c>
    </row>
    <row r="5" spans="1:12" s="17" customFormat="1">
      <c r="A5" s="28" t="s">
        <v>39</v>
      </c>
      <c r="B5" s="16" t="s">
        <v>18</v>
      </c>
      <c r="C5" s="16" t="s">
        <v>21</v>
      </c>
      <c r="D5" s="16" t="s">
        <v>25</v>
      </c>
      <c r="E5" s="28">
        <v>6680</v>
      </c>
      <c r="F5" s="3">
        <f>COUNTIF('r-pi-8'!$E$3:$E$152,1)/$L$2</f>
        <v>0.84</v>
      </c>
      <c r="G5" s="7">
        <f>SQRT(SUM('r-pi-8'!$G$3:$G$152)/$L$2)</f>
        <v>1326.5688749552357</v>
      </c>
      <c r="H5" s="18">
        <f t="shared" si="0"/>
        <v>0.19858815493341853</v>
      </c>
      <c r="I5" s="7">
        <f>SUM('r-pi-8'!$F$3:$F$152)/$L$2</f>
        <v>717.9666666666667</v>
      </c>
    </row>
    <row r="6" spans="1:12" s="17" customFormat="1">
      <c r="A6" s="28" t="s">
        <v>39</v>
      </c>
      <c r="B6" s="16" t="s">
        <v>18</v>
      </c>
      <c r="C6" s="16" t="s">
        <v>21</v>
      </c>
      <c r="D6" s="16" t="s">
        <v>28</v>
      </c>
      <c r="E6" s="28">
        <v>8110</v>
      </c>
      <c r="F6" s="3">
        <f>COUNTIF('r-pi-11'!$E$3:$E$152,1)/$L$2</f>
        <v>0.86</v>
      </c>
      <c r="G6" s="7">
        <f>SQRT(SUM('r-pi-11'!$G$3:$G$152)/$L$2)</f>
        <v>1590.2172073860434</v>
      </c>
      <c r="H6" s="18">
        <f t="shared" si="0"/>
        <v>0.19608103666905591</v>
      </c>
      <c r="I6" s="7">
        <f>SUM('r-pi-11'!$F$3:$F$152)/$L$2</f>
        <v>922.16666666666663</v>
      </c>
    </row>
    <row r="7" spans="1:12" s="17" customFormat="1">
      <c r="A7" s="28" t="s">
        <v>39</v>
      </c>
      <c r="B7" s="16" t="s">
        <v>18</v>
      </c>
      <c r="C7" s="16" t="s">
        <v>21</v>
      </c>
      <c r="D7" s="16" t="s">
        <v>27</v>
      </c>
      <c r="E7" s="28">
        <v>9500</v>
      </c>
      <c r="F7" s="3">
        <f>COUNTIF('r-pi-14'!$E$3:$E$152,1)/$L$2</f>
        <v>0.83333333333333337</v>
      </c>
      <c r="G7" s="7">
        <f>SQRT(SUM('r-pi-14'!$G$3:$G$152)/$L$2)</f>
        <v>1903.43564290119</v>
      </c>
      <c r="H7" s="18">
        <f t="shared" si="0"/>
        <v>0.20036164662117789</v>
      </c>
      <c r="I7" s="7">
        <f>SUM('r-pi-14'!$F$3:$F$152)/$L$2</f>
        <v>1051.7533333333333</v>
      </c>
    </row>
    <row r="8" spans="1:12" s="17" customFormat="1">
      <c r="A8" s="27" t="s">
        <v>39</v>
      </c>
      <c r="B8" s="23" t="s">
        <v>19</v>
      </c>
      <c r="C8" s="23" t="s">
        <v>21</v>
      </c>
      <c r="D8" s="23" t="s">
        <v>35</v>
      </c>
      <c r="E8" s="27" t="s">
        <v>16</v>
      </c>
      <c r="F8" s="29">
        <f>COUNTIF('r-pi-multi'!$E$3:$E$902,1)/900</f>
        <v>0.87111111111111106</v>
      </c>
      <c r="G8" s="30"/>
      <c r="H8" s="29">
        <f>SQRT(SUM('r-pi-multi'!$G$3:$G$902)/900)</f>
        <v>0.29909585543534428</v>
      </c>
      <c r="I8" s="25">
        <f>SUM('r-pi-multi'!$F$3:$F$902)/900</f>
        <v>560.59444444444443</v>
      </c>
      <c r="J8" s="17" t="s">
        <v>42</v>
      </c>
    </row>
    <row r="9" spans="1:12" s="17" customFormat="1">
      <c r="A9" s="37" t="s">
        <v>40</v>
      </c>
      <c r="B9" s="38" t="s">
        <v>18</v>
      </c>
      <c r="C9" s="38" t="s">
        <v>21</v>
      </c>
      <c r="D9" s="38" t="s">
        <v>41</v>
      </c>
      <c r="E9" s="37">
        <v>4600</v>
      </c>
      <c r="F9" s="39">
        <f>COUNTIF('r-native-fixed'!$E$3:$E$152,1)/$L$2</f>
        <v>0.99333333333333329</v>
      </c>
      <c r="G9" s="40">
        <f>SQRT(SUM('r-native-fixed'!$G$3:$G$152)/$L$2)</f>
        <v>253.57242226498792</v>
      </c>
      <c r="H9" s="41">
        <f>G9/E9</f>
        <v>5.5124439622823464E-2</v>
      </c>
      <c r="I9" s="40">
        <f>SUM('r-native-fixed'!$F$3:$F$152)/$L$2</f>
        <v>105.38666666666667</v>
      </c>
      <c r="J9" s="17" t="s">
        <v>43</v>
      </c>
    </row>
    <row r="10" spans="1:12" s="17" customFormat="1">
      <c r="A10" s="27" t="s">
        <v>40</v>
      </c>
      <c r="B10" s="23" t="s">
        <v>19</v>
      </c>
      <c r="C10" s="23" t="s">
        <v>21</v>
      </c>
      <c r="D10" s="23" t="s">
        <v>35</v>
      </c>
      <c r="E10" s="27" t="s">
        <v>16</v>
      </c>
      <c r="F10" s="29">
        <f>COUNTIF('r-native-multi'!$E$3:$E$902,1)/900</f>
        <v>0.25777777777777777</v>
      </c>
      <c r="G10" s="30"/>
      <c r="H10" s="29">
        <f>SQRT(SUM('r-native-multi'!$G$3:$G$902)/900)</f>
        <v>0.62599541409073411</v>
      </c>
      <c r="I10" s="25">
        <f>SUM('r-native-multi'!$F$3:$F$902)/900</f>
        <v>2112.818888888889</v>
      </c>
      <c r="J10" s="17" t="s">
        <v>42</v>
      </c>
    </row>
    <row r="11" spans="1:12">
      <c r="A11" s="31"/>
      <c r="B11" s="32"/>
      <c r="C11" s="32"/>
      <c r="D11" s="32"/>
      <c r="E11" s="31"/>
      <c r="F11" s="33"/>
      <c r="G11" s="34"/>
      <c r="H11" s="33"/>
      <c r="I11" s="35"/>
    </row>
    <row r="12" spans="1:12" s="17" customFormat="1">
      <c r="A12" s="28" t="s">
        <v>39</v>
      </c>
      <c r="B12" s="16" t="s">
        <v>18</v>
      </c>
      <c r="C12" s="16" t="s">
        <v>29</v>
      </c>
      <c r="D12" s="16" t="s">
        <v>30</v>
      </c>
      <c r="E12" s="28">
        <v>50</v>
      </c>
      <c r="F12" s="3">
        <f>COUNTIF('p-pi-3'!$E$3:$E$152,1)/$L$2</f>
        <v>0.80666666666666664</v>
      </c>
      <c r="G12" s="7">
        <f>SQRT(SUM('p-pi-3'!$G$3:$G$152)/$L$2)</f>
        <v>11.162735626479142</v>
      </c>
      <c r="H12" s="18">
        <f>G12/E12</f>
        <v>0.22325471252958284</v>
      </c>
      <c r="I12" s="7">
        <f>SUM('p-pi-3'!$F$3:$F$152)/$L$2</f>
        <v>7.66</v>
      </c>
    </row>
    <row r="13" spans="1:12" s="17" customFormat="1">
      <c r="A13" s="37" t="s">
        <v>39</v>
      </c>
      <c r="B13" s="38" t="s">
        <v>18</v>
      </c>
      <c r="C13" s="38" t="s">
        <v>29</v>
      </c>
      <c r="D13" s="38" t="s">
        <v>31</v>
      </c>
      <c r="E13" s="37">
        <v>233</v>
      </c>
      <c r="F13" s="39">
        <f>COUNTIF('p-pi-6'!$E$3:$E$152,1)/$L$2</f>
        <v>0.78666666666666663</v>
      </c>
      <c r="G13" s="40">
        <f>SQRT(SUM('p-pi-6'!$G$3:$G$152)/$L$2)</f>
        <v>55.795818242349789</v>
      </c>
      <c r="H13" s="41">
        <f>G13/E13</f>
        <v>0.23946703108304632</v>
      </c>
      <c r="I13" s="40">
        <f>SUM('p-pi-6'!$F$3:$F$152)/$L$2</f>
        <v>42.8</v>
      </c>
      <c r="J13" s="17" t="s">
        <v>43</v>
      </c>
    </row>
    <row r="14" spans="1:12" s="17" customFormat="1">
      <c r="A14" s="28" t="s">
        <v>39</v>
      </c>
      <c r="B14" s="16" t="s">
        <v>18</v>
      </c>
      <c r="C14" s="16" t="s">
        <v>29</v>
      </c>
      <c r="D14" s="16" t="s">
        <v>32</v>
      </c>
      <c r="E14" s="28">
        <v>343</v>
      </c>
      <c r="F14" s="3">
        <f>COUNTIF('p-pi-9'!$E$3:$E$152,1)/$L$2</f>
        <v>0.73333333333333328</v>
      </c>
      <c r="G14" s="7">
        <f>SQRT(SUM('p-pi-9'!$G$3:$G$152)/$L$2)</f>
        <v>74.477513384913706</v>
      </c>
      <c r="H14" s="18">
        <f>G14/E14</f>
        <v>0.21713560753619157</v>
      </c>
      <c r="I14" s="7">
        <f>SUM('p-pi-9'!$F$3:$F$152)/$L$2</f>
        <v>54.046666666666667</v>
      </c>
    </row>
    <row r="15" spans="1:12" s="17" customFormat="1">
      <c r="A15" s="28" t="s">
        <v>39</v>
      </c>
      <c r="B15" s="16" t="s">
        <v>18</v>
      </c>
      <c r="C15" s="16" t="s">
        <v>29</v>
      </c>
      <c r="D15" s="16" t="s">
        <v>33</v>
      </c>
      <c r="E15" s="28">
        <v>452</v>
      </c>
      <c r="F15" s="3">
        <f>COUNTIF('p-pi-12'!$E$3:$E$152,1)/$L$2</f>
        <v>0.82666666666666666</v>
      </c>
      <c r="G15" s="7">
        <f>SQRT(SUM('p-pi-12'!$G$3:$G$152)/$L$2)</f>
        <v>90.16133687266769</v>
      </c>
      <c r="H15" s="18">
        <f>G15/E15</f>
        <v>0.19947198423156567</v>
      </c>
      <c r="I15" s="7">
        <f>SUM('p-pi-12'!$F$3:$F$152)/$L$2</f>
        <v>55.946666666666665</v>
      </c>
    </row>
    <row r="16" spans="1:12" s="17" customFormat="1">
      <c r="A16" s="28" t="s">
        <v>39</v>
      </c>
      <c r="B16" s="16" t="s">
        <v>18</v>
      </c>
      <c r="C16" s="16" t="s">
        <v>29</v>
      </c>
      <c r="D16" s="16" t="s">
        <v>27</v>
      </c>
      <c r="E16" s="28">
        <v>497</v>
      </c>
      <c r="F16" s="3">
        <f>COUNTIF('p-pi-14'!$E$3:$E$152,1)/$L$2</f>
        <v>0.77333333333333332</v>
      </c>
      <c r="G16" s="7">
        <f>SQRT(SUM('p-pi-14'!$G$3:$G$152)/$L$2)</f>
        <v>103.66005337962481</v>
      </c>
      <c r="H16" s="18">
        <f>G16/E16</f>
        <v>0.20857153597510023</v>
      </c>
      <c r="I16" s="7">
        <f>SUM('p-pi-14'!$F$3:$F$152)/$L$2</f>
        <v>65.806666666666672</v>
      </c>
    </row>
    <row r="17" spans="1:10" s="17" customFormat="1">
      <c r="A17" s="27" t="s">
        <v>39</v>
      </c>
      <c r="B17" s="23" t="s">
        <v>19</v>
      </c>
      <c r="C17" s="23" t="s">
        <v>29</v>
      </c>
      <c r="D17" s="23" t="s">
        <v>34</v>
      </c>
      <c r="E17" s="27" t="s">
        <v>15</v>
      </c>
      <c r="F17" s="24">
        <f>COUNTIF('p-pi-multi'!$E$3:$E$902,1)/900</f>
        <v>0.87333333333333329</v>
      </c>
      <c r="G17" s="25"/>
      <c r="H17" s="36">
        <f>SQRT(SUM('p-pi-multi'!$G$3:$G$902)/900)</f>
        <v>0.32963480917746762</v>
      </c>
      <c r="I17" s="25">
        <f>SUM('p-pi-multi'!$F$3:$F$902)/900</f>
        <v>31.932222222222222</v>
      </c>
      <c r="J17" s="17" t="s">
        <v>42</v>
      </c>
    </row>
    <row r="18" spans="1:10" s="17" customFormat="1">
      <c r="A18" s="27" t="s">
        <v>40</v>
      </c>
      <c r="B18" s="23" t="s">
        <v>19</v>
      </c>
      <c r="C18" s="23" t="s">
        <v>29</v>
      </c>
      <c r="D18" s="23" t="s">
        <v>34</v>
      </c>
      <c r="E18" s="27" t="s">
        <v>15</v>
      </c>
      <c r="F18" s="24">
        <f>COUNTIF('p-native-multi'!$E$3:$E$902,1)/900</f>
        <v>0.35444444444444445</v>
      </c>
      <c r="G18" s="25"/>
      <c r="H18" s="36">
        <f>SQRT(SUM('p-native-multi'!$G$3:$G$902)/900)</f>
        <v>0.70131118665640413</v>
      </c>
      <c r="I18" s="25">
        <f>SUM('p-native-multi'!$F$3:$F$902)/900</f>
        <v>121.69333333333333</v>
      </c>
      <c r="J18" s="17" t="s">
        <v>42</v>
      </c>
    </row>
    <row r="19" spans="1:10">
      <c r="A19" s="37" t="s">
        <v>40</v>
      </c>
      <c r="B19" s="38" t="s">
        <v>18</v>
      </c>
      <c r="C19" s="38" t="s">
        <v>29</v>
      </c>
      <c r="D19" s="38" t="s">
        <v>31</v>
      </c>
      <c r="E19" s="37">
        <v>233</v>
      </c>
      <c r="F19" s="39">
        <f>COUNTIF('p-native-fixed'!$E$3:$E$152,1)/$L$2</f>
        <v>0.83333333333333337</v>
      </c>
      <c r="G19" s="40">
        <f>SQRT(SUM('p-native-fixed'!$H$3:$H$152)/$L$2)</f>
        <v>47.272402096783701</v>
      </c>
      <c r="H19" s="41">
        <f>G19/E19</f>
        <v>0.20288584590894293</v>
      </c>
      <c r="I19" s="40">
        <f>SUM('p-native-fixed'!$F$3:$F$152)/$L$2</f>
        <v>31.84</v>
      </c>
      <c r="J19" t="s">
        <v>43</v>
      </c>
    </row>
  </sheetData>
  <mergeCells count="6">
    <mergeCell ref="A1:A2"/>
    <mergeCell ref="F1:I1"/>
    <mergeCell ref="D1:D2"/>
    <mergeCell ref="B1:B2"/>
    <mergeCell ref="C1:C2"/>
    <mergeCell ref="E1:E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r-native-multi</vt:lpstr>
      <vt:lpstr>r-native-fixed</vt:lpstr>
      <vt:lpstr>r-pi-2</vt:lpstr>
      <vt:lpstr>r-pi-5</vt:lpstr>
      <vt:lpstr>r-pi-8</vt:lpstr>
      <vt:lpstr>r-pi-11</vt:lpstr>
      <vt:lpstr>r-pi-14</vt:lpstr>
      <vt:lpstr>r-pi-multi</vt:lpstr>
      <vt:lpstr>p-native-fixed</vt:lpstr>
      <vt:lpstr>p-native-multi</vt:lpstr>
      <vt:lpstr>p-pi-3</vt:lpstr>
      <vt:lpstr>p-pi-6</vt:lpstr>
      <vt:lpstr>p-pi-9</vt:lpstr>
      <vt:lpstr>p-pi-12</vt:lpstr>
      <vt:lpstr>p-pi-14</vt:lpstr>
      <vt:lpstr>p-pi-multi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2026-09-25T12:39:00Z</dcterms:created>
  <dcterms:modified xsi:type="dcterms:W3CDTF">2026-10-12T00:37:43Z</dcterms:modified>
</cp:coreProperties>
</file>